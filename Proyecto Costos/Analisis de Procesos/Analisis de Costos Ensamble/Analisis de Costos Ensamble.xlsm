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drawings/drawing23.xml" ContentType="application/vnd.openxmlformats-officedocument.drawing+xml"/>
  <Override PartName="/xl/ctrlProps/ctrlProp23.xml" ContentType="application/vnd.ms-excel.controlproperties+xml"/>
  <Override PartName="/xl/drawings/drawing24.xml" ContentType="application/vnd.openxmlformats-officedocument.drawing+xml"/>
  <Override PartName="/xl/ctrlProps/ctrlProp24.xml" ContentType="application/vnd.ms-excel.controlproperties+xml"/>
  <Override PartName="/xl/drawings/drawing25.xml" ContentType="application/vnd.openxmlformats-officedocument.drawing+xml"/>
  <Override PartName="/xl/ctrlProps/ctrlProp25.xml" ContentType="application/vnd.ms-excel.controlproperties+xml"/>
  <Override PartName="/xl/drawings/drawing26.xml" ContentType="application/vnd.openxmlformats-officedocument.drawing+xml"/>
  <Override PartName="/xl/ctrlProps/ctrlProp26.xml" ContentType="application/vnd.ms-excel.controlproperties+xml"/>
  <Override PartName="/xl/drawings/drawing27.xml" ContentType="application/vnd.openxmlformats-officedocument.drawing+xml"/>
  <Override PartName="/xl/ctrlProps/ctrlProp27.xml" ContentType="application/vnd.ms-excel.controlproperties+xml"/>
  <Override PartName="/xl/drawings/drawing28.xml" ContentType="application/vnd.openxmlformats-officedocument.drawing+xml"/>
  <Override PartName="/xl/ctrlProps/ctrlProp28.xml" ContentType="application/vnd.ms-excel.controlproperties+xml"/>
  <Override PartName="/xl/drawings/drawing29.xml" ContentType="application/vnd.openxmlformats-officedocument.drawing+xml"/>
  <Override PartName="/xl/ctrlProps/ctrlProp29.xml" ContentType="application/vnd.ms-excel.controlproperties+xml"/>
  <Override PartName="/xl/drawings/drawing30.xml" ContentType="application/vnd.openxmlformats-officedocument.drawing+xml"/>
  <Override PartName="/xl/ctrlProps/ctrlProp30.xml" ContentType="application/vnd.ms-excel.controlproperties+xml"/>
  <Override PartName="/xl/drawings/drawing31.xml" ContentType="application/vnd.openxmlformats-officedocument.drawing+xml"/>
  <Override PartName="/xl/ctrlProps/ctrlProp31.xml" ContentType="application/vnd.ms-excel.controlproperties+xml"/>
  <Override PartName="/xl/drawings/drawing32.xml" ContentType="application/vnd.openxmlformats-officedocument.drawing+xml"/>
  <Override PartName="/xl/ctrlProps/ctrlProp32.xml" ContentType="application/vnd.ms-excel.controlproperties+xml"/>
  <Override PartName="/xl/drawings/drawing33.xml" ContentType="application/vnd.openxmlformats-officedocument.drawing+xml"/>
  <Override PartName="/xl/ctrlProps/ctrlProp33.xml" ContentType="application/vnd.ms-excel.controlproperties+xml"/>
  <Override PartName="/xl/drawings/drawing34.xml" ContentType="application/vnd.openxmlformats-officedocument.drawing+xml"/>
  <Override PartName="/xl/ctrlProps/ctrlProp34.xml" ContentType="application/vnd.ms-excel.controlproperties+xml"/>
  <Override PartName="/xl/drawings/drawing35.xml" ContentType="application/vnd.openxmlformats-officedocument.drawing+xml"/>
  <Override PartName="/xl/ctrlProps/ctrlProp35.xml" ContentType="application/vnd.ms-excel.controlproperties+xml"/>
  <Override PartName="/xl/drawings/drawing36.xml" ContentType="application/vnd.openxmlformats-officedocument.drawing+xml"/>
  <Override PartName="/xl/ctrlProps/ctrlProp36.xml" ContentType="application/vnd.ms-excel.controlproperties+xml"/>
  <Override PartName="/xl/drawings/drawing37.xml" ContentType="application/vnd.openxmlformats-officedocument.drawing+xml"/>
  <Override PartName="/xl/ctrlProps/ctrlProp3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BPBSRV03\lcontigiani\Proyecto Costos\Analisis de Procesos\Analisis de Costos Ensamble\"/>
    </mc:Choice>
  </mc:AlternateContent>
  <bookViews>
    <workbookView xWindow="0" yWindow="0" windowWidth="28800" windowHeight="12330" firstSheet="32" activeTab="36"/>
  </bookViews>
  <sheets>
    <sheet name="INDICE" sheetId="38" r:id="rId1"/>
    <sheet name="INFO-OEE" sheetId="2" r:id="rId2"/>
    <sheet name="INFO-Personal" sheetId="1" r:id="rId3"/>
    <sheet name="INFO-Direc" sheetId="6" r:id="rId4"/>
    <sheet name="INFO-Mant" sheetId="3" r:id="rId5"/>
    <sheet name="INFO-INSUMOS-P" sheetId="37" r:id="rId6"/>
    <sheet name="INFO-Pos" sheetId="5" r:id="rId7"/>
    <sheet name="ENGRASADORA MANUAL" sheetId="7" r:id="rId8"/>
    <sheet name="PRENSA QY-10-1" sheetId="8" r:id="rId9"/>
    <sheet name="PRENSA QY-10-2" sheetId="9" r:id="rId10"/>
    <sheet name="PRENSA QY-10-3" sheetId="10" r:id="rId11"/>
    <sheet name="LAVADORA 0448" sheetId="11" r:id="rId12"/>
    <sheet name="TB-SCAMRIVT-40120 CONICO 518" sheetId="12" r:id="rId13"/>
    <sheet name="TE-SCAMRIVT-2060 CONICO 30207" sheetId="13" r:id="rId14"/>
    <sheet name="HERMANADORA MANUAL IM247" sheetId="14" r:id="rId15"/>
    <sheet name="HER. AUT MS03 DP 02HTQJ2" sheetId="15" r:id="rId16"/>
    <sheet name="HER. AUT JAULA-MS03 BCJL02A" sheetId="21" r:id="rId17"/>
    <sheet name="ENGRASADORA MS03 0510-5120051" sheetId="22" r:id="rId18"/>
    <sheet name="HER. AUT MS04 DP 03TQJ3" sheetId="18" r:id="rId19"/>
    <sheet name="HER. AUT JAULA-MS04 BCJL02A" sheetId="16" r:id="rId20"/>
    <sheet name="ENGRASADORA AUTOM MS04 ZYJ3H " sheetId="17" r:id="rId21"/>
    <sheet name="LASER CHICO 30" sheetId="20" r:id="rId22"/>
    <sheet name="LASER GRANDE 50" sheetId="19" r:id="rId23"/>
    <sheet name="PRENSA QY-16" sheetId="23" r:id="rId24"/>
    <sheet name="LAVADORA QXC-1-2 MS03" sheetId="24" r:id="rId25"/>
    <sheet name="LAVADORA QXC-1 MS04" sheetId="25" r:id="rId26"/>
    <sheet name="ANDEROMETRO IM-250" sheetId="26" r:id="rId27"/>
    <sheet name="ANDEROMETRO IM251" sheetId="27" r:id="rId28"/>
    <sheet name="HERMANADORA AUT MS05 LHT90" sheetId="28" r:id="rId29"/>
    <sheet name="HER. AUT JAULA MS05 BCJT03" sheetId="29" r:id="rId30"/>
    <sheet name="PD52 POACHER" sheetId="30" r:id="rId31"/>
    <sheet name="RADIAL X095B" sheetId="31" r:id="rId32"/>
    <sheet name="LAVADO MANUAL PMT25-36" sheetId="32" r:id="rId33"/>
    <sheet name="HERMANADORA MANUAL IM248" sheetId="33" r:id="rId34"/>
    <sheet name="RADIAL X095A" sheetId="34" r:id="rId35"/>
    <sheet name="DESIMANTADOR NS-400-B1" sheetId="35" r:id="rId36"/>
    <sheet name="LAVADORA GRANDE PMD-SJ" sheetId="36" r:id="rId37"/>
  </sheets>
  <functionGroups builtInGroupCount="18"/>
  <externalReferences>
    <externalReference r:id="rId38"/>
    <externalReference r:id="rId39"/>
    <externalReference r:id="rId40"/>
    <externalReference r:id="rId41"/>
  </externalReferences>
  <definedNames>
    <definedName name="AireComprimido">OFFSET('[1]INFO-Direc'!$D$11,0,0,COUNTIF('[1]INFO-Direc'!$D$11:$D$12,"?*"),1)</definedName>
    <definedName name="AireComprimido_Ensamble" localSheetId="5">OFFSET('INFO-INSUMOS-P'!$D$12,0,0,COUNTIF('INFO-INSUMOS-P'!$D$12:$D$12,"?*"),1)</definedName>
    <definedName name="AireComprimido_Ensamble">OFFSET('INFO-Direc'!$D$11,0,0,COUNTIF('INFO-Direc'!$D$11:$D$12,"?*"),1)</definedName>
    <definedName name="Anticorrosivo_Ensamble" localSheetId="5">OFFSET('INFO-INSUMOS-P'!#REF!,0,0,COUNTIF('INFO-INSUMOS-P'!#REF!,"?*"),1)</definedName>
    <definedName name="Anticorrosivo_Ensamble">OFFSET('INFO-Direc'!#REF!,0,0,COUNTIF('INFO-Direc'!#REF!,"?*"),1)</definedName>
    <definedName name="Areas">OFFSET('[1]INFO-Pos'!$O$9,0,0,COUNTIF('[1]INFO-Pos'!$O$9:$O$122,"?*"),1)</definedName>
    <definedName name="Areas_Ensamble">OFFSET('INFO-Pos'!$O$9,0,0,COUNTIF('INFO-Pos'!$O$9:$O$122,"?*"),1)</definedName>
    <definedName name="Fresas" localSheetId="0">OFFSET('[1]INFO-INSUMOS'!$D$11:$E$11,0,0,COUNTIF('[1]INFO-INSUMOS'!$D$11:$AC$11,"?*"),1)</definedName>
    <definedName name="Fresas">OFFSET('[2]INFO-INSUMOS'!$D$11:$E$11,0,0,COUNTIF('[2]INFO-INSUMOS'!$D$11:$AC$11,"?*"),1)</definedName>
    <definedName name="Grasa">OFFSET('[1]INFO-Direc'!$D$17,0,0,COUNTIF('[1]INFO-Direc'!$D$17:$D$19,"?*"),1)</definedName>
    <definedName name="Grasa_Ensamble" localSheetId="5">OFFSET('INFO-INSUMOS-P'!$D$17,0,0,COUNTIF('INFO-INSUMOS-P'!$D$17:$D$19,"?*"),1)</definedName>
    <definedName name="Grasa_Ensamble">OFFSET('INFO-Direc'!$D$17,0,0,COUNTIF('INFO-Direc'!$D$17:$D$19,"?*"),1)</definedName>
    <definedName name="Herramientas">OFFSET('[1]INFO-Pos'!$N$124,0,0,COUNTIF('[1]INFO-Pos'!$N$124:$N$165,"?*"),1)</definedName>
    <definedName name="Herramientas_Ensamble">OFFSET('INFO-Pos'!$N$190,0,0,COUNTIF('INFO-Pos'!$N$190:$N$219,"?*"),1)</definedName>
    <definedName name="INSUMOS" localSheetId="0">OFFSET('[1]INFO-INSUMOS'!$CJ$9,0,0,COUNTIF('[1]INFO-INSUMOS'!$CJ$9:$CJ$14,"?*"),1)</definedName>
    <definedName name="INSUMOS">OFFSET('[2]INFO-INSUMOS'!$CJ$9,0,0,COUNTIF('[2]INFO-INSUMOS'!$CJ$9:$CJ$14,"?*"),1)</definedName>
    <definedName name="Lista_Ensamble">OFFSET('INFO-Personal'!$AW$10,0,0,COUNTIF('INFO-Personal'!$AW$10:$AW$100,"?*"),1)</definedName>
    <definedName name="Lista_Produccion" localSheetId="0">OFFSET('[1]INFO-Personal'!$AE$10,0,0,COUNTIF('[1]INFO-Personal'!$AE$10:$AE$100,"?*"),1)</definedName>
    <definedName name="Lista_Produccion">OFFSET('INFO-Personal'!$AV$10,0,0,COUNTIF('INFO-Personal'!$AV$10:$AV$100,"?*"),1)</definedName>
    <definedName name="Lubricantes" localSheetId="0">OFFSET('[1]INFO-Direc'!$D$13,0,0,COUNTIF('[1]INFO-Direc'!$D$13:$D$16,"?*"),1)</definedName>
    <definedName name="Lubricantes">'[2]INFO-Direc'!$D$14:$D$19</definedName>
    <definedName name="Lubricantes_Ensamble" localSheetId="5">OFFSET('INFO-INSUMOS-P'!$D$13,0,0,COUNTIF('INFO-INSUMOS-P'!$D$13:$D$16,"?*"),1)</definedName>
    <definedName name="Lubricantes_Ensamble">OFFSET('INFO-Direc'!$D$13,0,0,COUNTIF('INFO-Direc'!$D$13:$D$16,"?*"),1)</definedName>
    <definedName name="Maquinaria">OFFSET('[1]INFO-Pos'!$N$9,0,0,COUNTIF('[1]INFO-Pos'!$N$9:$N$122,"?*"),1)</definedName>
    <definedName name="Maquinaria_Ensamble">OFFSET('INFO-Pos'!$N$9,0,0,COUNTIF('INFO-Pos'!$N$9:$N$188,"?*"),1)</definedName>
    <definedName name="Personal" localSheetId="0">'[1]INFO-Personal'!$C$26:$C$29</definedName>
    <definedName name="Personal">'INFO-Personal'!$C$26:$C$29</definedName>
    <definedName name="Refrigerantes" localSheetId="0">OFFSET('[1]INFO-Direc'!$D$20,0,0,COUNTIF('[1]INFO-Direc'!$D$20:$D$22,"?*"),1)</definedName>
    <definedName name="Refrigerantes" localSheetId="3">'INFO-Direc'!#REF!</definedName>
    <definedName name="Refrigerantes" localSheetId="5">'INFO-INSUMOS-P'!#REF!</definedName>
    <definedName name="Refrigerantes">'[2]INFO-Direc'!$D$22:$D$27</definedName>
    <definedName name="Refrigerantes_Ensamble" localSheetId="5">OFFSET('INFO-INSUMOS-P'!$D$20,0,0,COUNTIF('INFO-INSUMOS-P'!$D$20:$D$22,"?*"),1)</definedName>
    <definedName name="Refrigerantes_Ensamble">OFFSET('INFO-Direc'!$D$20,0,0,COUNTIF('INFO-Direc'!$D$20:$D$22,"?*"),1)</definedName>
    <definedName name="Repuestos" localSheetId="0">OFFSET(INDICE!$D$6,0,0,COUNTIF(INDICE!$D$6:$D$19,"?*"),1)</definedName>
    <definedName name="Repuestos">OFFSET('[1]INFO-Mant'!$D$9,0,0,COUNTIF('[1]INFO-Mant'!$D$9:$D$22,"?*"),1)</definedName>
    <definedName name="Repuestos_Ensamble">OFFSET('INFO-Mant'!$D$9,0,0,COUNTIF('INFO-Mant'!$D$9:$D$22,"?*"),1)</definedName>
    <definedName name="Solvente_Ensamble" localSheetId="5">OFFSET('INFO-INSUMOS-P'!#REF!,0,0,COUNTIF('INFO-INSUMOS-P'!#REF!,"?*"),1)</definedName>
    <definedName name="Solvente_Ensamble">OFFSET('INFO-Direc'!$D$23,0,0,COUNTIF('INFO-Direc'!$D$23:$D$25,"?*"),1)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7" i="6" l="1"/>
  <c r="G22" i="36" l="1"/>
  <c r="G22" i="35"/>
  <c r="G22" i="34"/>
  <c r="G22" i="33"/>
  <c r="G22" i="32"/>
  <c r="G22" i="31"/>
  <c r="G22" i="30"/>
  <c r="G22" i="29"/>
  <c r="G22" i="28"/>
  <c r="G22" i="27"/>
  <c r="G22" i="25"/>
  <c r="G22" i="24"/>
  <c r="G22" i="23"/>
  <c r="G22" i="19"/>
  <c r="G22" i="20"/>
  <c r="G22" i="17"/>
  <c r="G22" i="16"/>
  <c r="G22" i="18"/>
  <c r="G22" i="22"/>
  <c r="G22" i="21"/>
  <c r="G22" i="15"/>
  <c r="G22" i="14"/>
  <c r="G22" i="13"/>
  <c r="G22" i="12"/>
  <c r="G22" i="11"/>
  <c r="G22" i="10"/>
  <c r="G22" i="9"/>
  <c r="G22" i="8"/>
  <c r="G22" i="7"/>
  <c r="G22" i="26" l="1"/>
  <c r="G23" i="36"/>
  <c r="G25" i="36"/>
  <c r="G14" i="19" l="1" a="1"/>
  <c r="G14" i="19" s="1"/>
  <c r="G10" i="6" l="1"/>
  <c r="F18" i="2" l="1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E18" i="2"/>
  <c r="G9" i="6" l="1"/>
  <c r="G12" i="7" l="1"/>
  <c r="G13" i="8"/>
  <c r="G12" i="8"/>
  <c r="G11" i="8"/>
  <c r="G10" i="8"/>
  <c r="G13" i="9"/>
  <c r="G12" i="9"/>
  <c r="G11" i="9"/>
  <c r="G10" i="9"/>
  <c r="G13" i="10"/>
  <c r="G12" i="10"/>
  <c r="G11" i="10"/>
  <c r="G10" i="10"/>
  <c r="G13" i="11"/>
  <c r="G12" i="11"/>
  <c r="G11" i="11"/>
  <c r="G10" i="11"/>
  <c r="G13" i="12"/>
  <c r="G12" i="12"/>
  <c r="G11" i="12"/>
  <c r="G10" i="12"/>
  <c r="G13" i="13"/>
  <c r="G12" i="13"/>
  <c r="G11" i="13"/>
  <c r="G10" i="13"/>
  <c r="G13" i="14"/>
  <c r="G12" i="14"/>
  <c r="G11" i="14"/>
  <c r="G10" i="14"/>
  <c r="G13" i="15"/>
  <c r="G12" i="15"/>
  <c r="G11" i="15"/>
  <c r="G10" i="15"/>
  <c r="G13" i="21"/>
  <c r="G12" i="21"/>
  <c r="G11" i="21"/>
  <c r="G10" i="21"/>
  <c r="G13" i="22"/>
  <c r="G12" i="22"/>
  <c r="G11" i="22"/>
  <c r="G10" i="22"/>
  <c r="G13" i="18"/>
  <c r="G12" i="18"/>
  <c r="G11" i="18"/>
  <c r="G10" i="18"/>
  <c r="G13" i="16"/>
  <c r="G12" i="16"/>
  <c r="G11" i="16"/>
  <c r="G10" i="16"/>
  <c r="G13" i="17"/>
  <c r="G12" i="17"/>
  <c r="G11" i="17"/>
  <c r="G10" i="17"/>
  <c r="G13" i="20"/>
  <c r="G12" i="20"/>
  <c r="G11" i="20"/>
  <c r="G10" i="20"/>
  <c r="G13" i="19"/>
  <c r="G12" i="19"/>
  <c r="G11" i="19"/>
  <c r="G10" i="19"/>
  <c r="G13" i="23"/>
  <c r="G12" i="23"/>
  <c r="G11" i="23"/>
  <c r="G10" i="23"/>
  <c r="G13" i="24"/>
  <c r="G12" i="24"/>
  <c r="G11" i="24"/>
  <c r="G10" i="24"/>
  <c r="G13" i="25"/>
  <c r="G12" i="25"/>
  <c r="G11" i="25"/>
  <c r="G10" i="25"/>
  <c r="G13" i="26"/>
  <c r="G12" i="26"/>
  <c r="G11" i="26"/>
  <c r="G10" i="26"/>
  <c r="G13" i="27"/>
  <c r="G12" i="27"/>
  <c r="G11" i="27"/>
  <c r="G10" i="27"/>
  <c r="G13" i="28"/>
  <c r="G12" i="28"/>
  <c r="G11" i="28"/>
  <c r="G10" i="28"/>
  <c r="G13" i="29"/>
  <c r="G12" i="29"/>
  <c r="G11" i="29"/>
  <c r="G10" i="29"/>
  <c r="G13" i="30"/>
  <c r="G12" i="30"/>
  <c r="G11" i="30"/>
  <c r="G10" i="30"/>
  <c r="G13" i="31"/>
  <c r="G12" i="31"/>
  <c r="G11" i="31"/>
  <c r="G10" i="31"/>
  <c r="G13" i="32"/>
  <c r="G12" i="32"/>
  <c r="G11" i="32"/>
  <c r="G10" i="32"/>
  <c r="G13" i="33"/>
  <c r="G12" i="33"/>
  <c r="G11" i="33"/>
  <c r="G10" i="33"/>
  <c r="G13" i="34"/>
  <c r="G12" i="34"/>
  <c r="G11" i="34"/>
  <c r="G10" i="34"/>
  <c r="G13" i="35"/>
  <c r="G12" i="35"/>
  <c r="G11" i="35"/>
  <c r="G10" i="35"/>
  <c r="G13" i="36"/>
  <c r="G12" i="36"/>
  <c r="G14" i="35" l="1" a="1"/>
  <c r="G14" i="35" s="1"/>
  <c r="L10" i="35" s="1"/>
  <c r="G14" i="33" a="1"/>
  <c r="G14" i="33" s="1"/>
  <c r="L10" i="33" s="1"/>
  <c r="G14" i="31" a="1"/>
  <c r="G14" i="31" s="1"/>
  <c r="L10" i="31" s="1"/>
  <c r="G14" i="29" a="1"/>
  <c r="G14" i="29" s="1"/>
  <c r="L10" i="29" s="1"/>
  <c r="G14" i="28" a="1"/>
  <c r="G14" i="28" s="1"/>
  <c r="L10" i="28" s="1"/>
  <c r="G14" i="25" a="1"/>
  <c r="G14" i="25" s="1"/>
  <c r="L10" i="25" s="1"/>
  <c r="G14" i="24" a="1"/>
  <c r="G14" i="24" s="1"/>
  <c r="L10" i="24" s="1"/>
  <c r="G14" i="17" a="1"/>
  <c r="G14" i="17" s="1"/>
  <c r="L10" i="17" s="1"/>
  <c r="G14" i="18" a="1"/>
  <c r="G14" i="18" s="1"/>
  <c r="L10" i="18" s="1"/>
  <c r="G14" i="21" a="1"/>
  <c r="G14" i="21" s="1"/>
  <c r="L10" i="21" s="1"/>
  <c r="G14" i="15" a="1"/>
  <c r="G14" i="15" s="1"/>
  <c r="L10" i="15" s="1"/>
  <c r="G14" i="14" a="1"/>
  <c r="G14" i="14" s="1"/>
  <c r="L10" i="14" s="1"/>
  <c r="G14" i="12" a="1"/>
  <c r="G14" i="12" s="1"/>
  <c r="L10" i="12" s="1"/>
  <c r="G14" i="11" a="1"/>
  <c r="G14" i="11" s="1"/>
  <c r="L10" i="11" s="1"/>
  <c r="G14" i="10" a="1"/>
  <c r="G14" i="10" s="1"/>
  <c r="L10" i="10" s="1"/>
  <c r="G14" i="9" a="1"/>
  <c r="G14" i="9" s="1"/>
  <c r="L10" i="9" s="1"/>
  <c r="G14" i="8" a="1"/>
  <c r="G14" i="8" s="1"/>
  <c r="L10" i="8" s="1"/>
  <c r="G14" i="34" a="1"/>
  <c r="G14" i="34" s="1"/>
  <c r="L10" i="34" s="1"/>
  <c r="G14" i="32" a="1"/>
  <c r="G14" i="32" s="1"/>
  <c r="L10" i="32" s="1"/>
  <c r="G14" i="30" a="1"/>
  <c r="G14" i="30" s="1"/>
  <c r="L10" i="30" s="1"/>
  <c r="G14" i="27" a="1"/>
  <c r="G14" i="27" s="1"/>
  <c r="L10" i="27" s="1"/>
  <c r="G14" i="26" a="1"/>
  <c r="G14" i="26" s="1"/>
  <c r="L10" i="26" s="1"/>
  <c r="G14" i="23" a="1"/>
  <c r="G14" i="23" s="1"/>
  <c r="L10" i="23" s="1"/>
  <c r="G14" i="20" a="1"/>
  <c r="G14" i="20" s="1"/>
  <c r="L10" i="20" s="1"/>
  <c r="G14" i="16" a="1"/>
  <c r="G14" i="16" s="1"/>
  <c r="L10" i="16" s="1"/>
  <c r="G14" i="22" a="1"/>
  <c r="G14" i="22" s="1"/>
  <c r="L10" i="22" s="1"/>
  <c r="G14" i="13" a="1"/>
  <c r="G14" i="13" s="1"/>
  <c r="L10" i="13" s="1"/>
  <c r="L10" i="19"/>
  <c r="G11" i="36" l="1"/>
  <c r="AH9" i="1" l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F30" i="16" l="1"/>
  <c r="G30" i="16"/>
  <c r="L30" i="16"/>
  <c r="D31" i="16"/>
  <c r="F31" i="16" s="1"/>
  <c r="F32" i="16"/>
  <c r="G32" i="16"/>
  <c r="D33" i="16"/>
  <c r="F33" i="16" s="1"/>
  <c r="F34" i="16"/>
  <c r="G218" i="5"/>
  <c r="G212" i="5"/>
  <c r="G206" i="5"/>
  <c r="G200" i="5"/>
  <c r="G194" i="5"/>
  <c r="F19" i="37"/>
  <c r="F18" i="37"/>
  <c r="F17" i="37"/>
  <c r="F16" i="37"/>
  <c r="F15" i="37"/>
  <c r="F14" i="37"/>
  <c r="F13" i="37"/>
  <c r="G20" i="37"/>
  <c r="G13" i="6" l="1"/>
  <c r="G13" i="37"/>
  <c r="AV100" i="1" l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O85" i="5" a="1"/>
  <c r="O85" i="5" s="1"/>
  <c r="O92" i="5" a="1"/>
  <c r="O92" i="5" s="1"/>
  <c r="O67" i="5" a="1"/>
  <c r="O67" i="5" s="1"/>
  <c r="O72" i="5" a="1"/>
  <c r="O72" i="5" s="1"/>
  <c r="O97" i="5" a="1"/>
  <c r="O97" i="5" s="1"/>
  <c r="O74" i="5" a="1"/>
  <c r="O74" i="5" s="1"/>
  <c r="O81" i="5" a="1"/>
  <c r="O81" i="5" s="1"/>
  <c r="O91" i="5" a="1"/>
  <c r="O91" i="5" s="1"/>
  <c r="O75" i="5" a="1"/>
  <c r="O75" i="5" s="1"/>
  <c r="O84" i="5" a="1"/>
  <c r="O84" i="5" s="1"/>
  <c r="O69" i="5" a="1"/>
  <c r="O69" i="5" s="1"/>
  <c r="O73" i="5" a="1"/>
  <c r="O73" i="5" s="1"/>
  <c r="O89" i="5" a="1"/>
  <c r="O89" i="5" s="1"/>
  <c r="O83" i="5" a="1"/>
  <c r="O83" i="5" s="1"/>
  <c r="O79" i="5" a="1"/>
  <c r="O79" i="5" s="1"/>
  <c r="O68" i="5" a="1"/>
  <c r="O68" i="5" s="1"/>
  <c r="O90" i="5" a="1"/>
  <c r="O90" i="5" s="1"/>
  <c r="O95" i="5" a="1"/>
  <c r="O95" i="5" s="1"/>
  <c r="O94" i="5" a="1"/>
  <c r="O94" i="5" s="1"/>
  <c r="O88" i="5" a="1"/>
  <c r="O88" i="5" s="1"/>
  <c r="O87" i="5" a="1"/>
  <c r="O87" i="5" s="1"/>
  <c r="O80" i="5" a="1"/>
  <c r="O80" i="5" s="1"/>
  <c r="O82" i="5" a="1"/>
  <c r="O82" i="5" s="1"/>
  <c r="O76" i="5" a="1"/>
  <c r="O76" i="5" s="1"/>
  <c r="O77" i="5" a="1"/>
  <c r="O77" i="5" s="1"/>
  <c r="O71" i="5" a="1"/>
  <c r="O71" i="5" s="1"/>
  <c r="O70" i="5" a="1"/>
  <c r="O70" i="5" s="1"/>
  <c r="O93" i="5" a="1"/>
  <c r="O93" i="5" s="1"/>
  <c r="O78" i="5" a="1"/>
  <c r="O78" i="5" s="1"/>
  <c r="O96" i="5" a="1"/>
  <c r="O96" i="5" s="1"/>
  <c r="O86" i="5" a="1"/>
  <c r="O86" i="5" s="1"/>
  <c r="O122" i="5" a="1"/>
  <c r="O122" i="5" s="1"/>
  <c r="O121" i="5" a="1"/>
  <c r="O121" i="5" s="1"/>
  <c r="O111" i="5" a="1"/>
  <c r="O111" i="5" s="1"/>
  <c r="O117" i="5" a="1"/>
  <c r="O117" i="5" s="1"/>
  <c r="O116" i="5" a="1"/>
  <c r="O116" i="5" s="1"/>
  <c r="O114" i="5" a="1"/>
  <c r="O114" i="5" s="1"/>
  <c r="O102" i="5" a="1"/>
  <c r="O102" i="5" s="1"/>
  <c r="O112" i="5" a="1"/>
  <c r="O112" i="5" s="1"/>
  <c r="O106" i="5" a="1"/>
  <c r="O106" i="5" s="1"/>
  <c r="O120" i="5" a="1"/>
  <c r="O120" i="5" s="1"/>
  <c r="O105" i="5" a="1"/>
  <c r="O105" i="5" s="1"/>
  <c r="O119" i="5" a="1"/>
  <c r="O119" i="5" s="1"/>
  <c r="O110" i="5" a="1"/>
  <c r="O110" i="5" s="1"/>
  <c r="O104" i="5" a="1"/>
  <c r="O104" i="5" s="1"/>
  <c r="O128" i="5" a="1"/>
  <c r="O128" i="5" s="1"/>
  <c r="O126" i="5" a="1"/>
  <c r="O126" i="5" s="1"/>
  <c r="O125" i="5" a="1"/>
  <c r="O125" i="5" s="1"/>
  <c r="O124" i="5" a="1"/>
  <c r="O124" i="5" s="1"/>
  <c r="O99" i="5" a="1"/>
  <c r="O99" i="5" s="1"/>
  <c r="O107" i="5" a="1"/>
  <c r="O107" i="5" s="1"/>
  <c r="O115" i="5" a="1"/>
  <c r="O115" i="5" s="1"/>
  <c r="O109" i="5" a="1"/>
  <c r="O109" i="5" s="1"/>
  <c r="O98" i="5" a="1"/>
  <c r="O98" i="5" s="1"/>
  <c r="O103" i="5" a="1"/>
  <c r="O103" i="5" s="1"/>
  <c r="O118" i="5" a="1"/>
  <c r="O118" i="5" s="1"/>
  <c r="O101" i="5" a="1"/>
  <c r="O101" i="5" s="1"/>
  <c r="O108" i="5" a="1"/>
  <c r="O108" i="5" s="1"/>
  <c r="O127" i="5" a="1"/>
  <c r="O127" i="5" s="1"/>
  <c r="O113" i="5" a="1"/>
  <c r="O113" i="5" s="1"/>
  <c r="O100" i="5" a="1"/>
  <c r="O100" i="5" s="1"/>
  <c r="O123" i="5" a="1"/>
  <c r="O123" i="5" s="1"/>
  <c r="O133" i="5" a="1"/>
  <c r="O133" i="5" s="1"/>
  <c r="O135" i="5" a="1"/>
  <c r="O135" i="5" s="1"/>
  <c r="O159" i="5" a="1"/>
  <c r="O159" i="5" s="1"/>
  <c r="O158" i="5" a="1"/>
  <c r="O158" i="5" s="1"/>
  <c r="O154" i="5" a="1"/>
  <c r="O154" i="5" s="1"/>
  <c r="O152" i="5" a="1"/>
  <c r="O152" i="5" s="1"/>
  <c r="O137" i="5" a="1"/>
  <c r="O137" i="5" s="1"/>
  <c r="O151" i="5" a="1"/>
  <c r="O151" i="5" s="1"/>
  <c r="O149" i="5" a="1"/>
  <c r="O149" i="5" s="1"/>
  <c r="O141" i="5" a="1"/>
  <c r="O141" i="5" s="1"/>
  <c r="O145" i="5" a="1"/>
  <c r="O145" i="5" s="1"/>
  <c r="O129" i="5" a="1"/>
  <c r="O129" i="5" s="1"/>
  <c r="O138" i="5" a="1"/>
  <c r="O138" i="5" s="1"/>
  <c r="O136" i="5" a="1"/>
  <c r="O136" i="5" s="1"/>
  <c r="O146" i="5" a="1"/>
  <c r="O146" i="5" s="1"/>
  <c r="O156" i="5" a="1"/>
  <c r="O156" i="5" s="1"/>
  <c r="O150" i="5" a="1"/>
  <c r="O150" i="5" s="1"/>
  <c r="O131" i="5" a="1"/>
  <c r="O131" i="5" s="1"/>
  <c r="O144" i="5" a="1"/>
  <c r="O144" i="5" s="1"/>
  <c r="O130" i="5" a="1"/>
  <c r="O130" i="5" s="1"/>
  <c r="O142" i="5" a="1"/>
  <c r="O142" i="5" s="1"/>
  <c r="O155" i="5" a="1"/>
  <c r="O155" i="5" s="1"/>
  <c r="O157" i="5" a="1"/>
  <c r="O157" i="5" s="1"/>
  <c r="O153" i="5" a="1"/>
  <c r="O153" i="5" s="1"/>
  <c r="O143" i="5" a="1"/>
  <c r="O143" i="5" s="1"/>
  <c r="O134" i="5" a="1"/>
  <c r="O134" i="5" s="1"/>
  <c r="O148" i="5" a="1"/>
  <c r="O148" i="5" s="1"/>
  <c r="O147" i="5" a="1"/>
  <c r="O147" i="5" s="1"/>
  <c r="O139" i="5" a="1"/>
  <c r="O139" i="5" s="1"/>
  <c r="O140" i="5" a="1"/>
  <c r="O140" i="5" s="1"/>
  <c r="O132" i="5" a="1"/>
  <c r="O132" i="5" s="1"/>
  <c r="O172" i="5" a="1"/>
  <c r="O172" i="5" s="1"/>
  <c r="O177" i="5" a="1"/>
  <c r="O177" i="5" s="1"/>
  <c r="O181" i="5" a="1"/>
  <c r="O181" i="5" s="1"/>
  <c r="O170" i="5" a="1"/>
  <c r="O170" i="5" s="1"/>
  <c r="O169" i="5" a="1"/>
  <c r="O169" i="5" s="1"/>
  <c r="O173" i="5" a="1"/>
  <c r="O173" i="5" s="1"/>
  <c r="O175" i="5" a="1"/>
  <c r="O175" i="5" s="1"/>
  <c r="O168" i="5" a="1"/>
  <c r="O168" i="5" s="1"/>
  <c r="O165" i="5" a="1"/>
  <c r="O165" i="5" s="1"/>
  <c r="O161" i="5" a="1"/>
  <c r="O161" i="5" s="1"/>
  <c r="O185" i="5" a="1"/>
  <c r="O185" i="5" s="1"/>
  <c r="O160" i="5" a="1"/>
  <c r="O160" i="5" s="1"/>
  <c r="O167" i="5" a="1"/>
  <c r="O167" i="5" s="1"/>
  <c r="O182" i="5" a="1"/>
  <c r="O182" i="5" s="1"/>
  <c r="O180" i="5" a="1"/>
  <c r="O180" i="5" s="1"/>
  <c r="O174" i="5" a="1"/>
  <c r="O174" i="5" s="1"/>
  <c r="O171" i="5" a="1"/>
  <c r="O171" i="5" s="1"/>
  <c r="O176" i="5" a="1"/>
  <c r="O176" i="5" s="1"/>
  <c r="O162" i="5" a="1"/>
  <c r="O162" i="5" s="1"/>
  <c r="O188" i="5" a="1"/>
  <c r="O188" i="5" s="1"/>
  <c r="O187" i="5" a="1"/>
  <c r="O187" i="5" s="1"/>
  <c r="O186" i="5" a="1"/>
  <c r="O186" i="5" s="1"/>
  <c r="O179" i="5" a="1"/>
  <c r="O179" i="5" s="1"/>
  <c r="O166" i="5" a="1"/>
  <c r="O166" i="5" s="1"/>
  <c r="O178" i="5" a="1"/>
  <c r="O178" i="5" s="1"/>
  <c r="O164" i="5" a="1"/>
  <c r="O164" i="5" s="1"/>
  <c r="O163" i="5" a="1"/>
  <c r="O163" i="5" s="1"/>
  <c r="O184" i="5" a="1"/>
  <c r="O184" i="5" s="1"/>
  <c r="O183" i="5" a="1"/>
  <c r="O183" i="5" s="1"/>
  <c r="O47" i="5" a="1"/>
  <c r="O47" i="5" s="1"/>
  <c r="O65" i="5" a="1"/>
  <c r="O65" i="5" s="1"/>
  <c r="O38" i="5" a="1"/>
  <c r="O38" i="5" s="1"/>
  <c r="O36" i="5" a="1"/>
  <c r="O36" i="5" s="1"/>
  <c r="O55" i="5" a="1"/>
  <c r="O55" i="5" s="1"/>
  <c r="O41" i="5" a="1"/>
  <c r="O41" i="5" s="1"/>
  <c r="O64" i="5" a="1"/>
  <c r="O64" i="5" s="1"/>
  <c r="O62" i="5" a="1"/>
  <c r="O62" i="5" s="1"/>
  <c r="O48" i="5" a="1"/>
  <c r="O48" i="5" s="1"/>
  <c r="O40" i="5" a="1"/>
  <c r="O40" i="5" s="1"/>
  <c r="O39" i="5" a="1"/>
  <c r="O39" i="5" s="1"/>
  <c r="O61" i="5" a="1"/>
  <c r="O61" i="5" s="1"/>
  <c r="O59" i="5" a="1"/>
  <c r="O59" i="5" s="1"/>
  <c r="O42" i="5" a="1"/>
  <c r="O42" i="5" s="1"/>
  <c r="O46" i="5" a="1"/>
  <c r="O46" i="5" s="1"/>
  <c r="O52" i="5" a="1"/>
  <c r="O52" i="5" s="1"/>
  <c r="O63" i="5" a="1"/>
  <c r="O63" i="5" s="1"/>
  <c r="O60" i="5" a="1"/>
  <c r="O60" i="5" s="1"/>
  <c r="O58" i="5" a="1"/>
  <c r="O58" i="5" s="1"/>
  <c r="O49" i="5" a="1"/>
  <c r="O49" i="5" s="1"/>
  <c r="O54" i="5" a="1"/>
  <c r="O54" i="5" s="1"/>
  <c r="O53" i="5" a="1"/>
  <c r="O53" i="5" s="1"/>
  <c r="O51" i="5" a="1"/>
  <c r="O51" i="5" s="1"/>
  <c r="O44" i="5" a="1"/>
  <c r="O44" i="5" s="1"/>
  <c r="O43" i="5" a="1"/>
  <c r="O43" i="5" s="1"/>
  <c r="O50" i="5" a="1"/>
  <c r="O50" i="5" s="1"/>
  <c r="O45" i="5" a="1"/>
  <c r="O45" i="5" s="1"/>
  <c r="O37" i="5" a="1"/>
  <c r="O37" i="5" s="1"/>
  <c r="O57" i="5" a="1"/>
  <c r="O57" i="5" s="1"/>
  <c r="O56" i="5" a="1"/>
  <c r="O56" i="5" s="1"/>
  <c r="O21" i="5" a="1"/>
  <c r="O21" i="5" s="1"/>
  <c r="O9" i="5" a="1"/>
  <c r="O9" i="5" s="1"/>
  <c r="O27" i="5" a="1"/>
  <c r="O27" i="5" s="1"/>
  <c r="O25" i="5" a="1"/>
  <c r="O25" i="5" s="1"/>
  <c r="O15" i="5" a="1"/>
  <c r="O15" i="5" s="1"/>
  <c r="O19" i="5" a="1"/>
  <c r="O19" i="5" s="1"/>
  <c r="O35" i="5" a="1"/>
  <c r="O35" i="5" s="1"/>
  <c r="O34" i="5" a="1"/>
  <c r="O34" i="5" s="1"/>
  <c r="O32" i="5" a="1"/>
  <c r="O32" i="5" s="1"/>
  <c r="O26" i="5" a="1"/>
  <c r="O26" i="5" s="1"/>
  <c r="O29" i="5" a="1"/>
  <c r="O29" i="5" s="1"/>
  <c r="O16" i="5" a="1"/>
  <c r="O16" i="5" s="1"/>
  <c r="O10" i="5" a="1"/>
  <c r="O10" i="5" s="1"/>
  <c r="O31" i="5" a="1"/>
  <c r="O31" i="5" s="1"/>
  <c r="O22" i="5" a="1"/>
  <c r="O22" i="5" s="1"/>
  <c r="O13" i="5" a="1"/>
  <c r="O13" i="5" s="1"/>
  <c r="O33" i="5" a="1"/>
  <c r="O33" i="5" s="1"/>
  <c r="O24" i="5" a="1"/>
  <c r="O24" i="5" s="1"/>
  <c r="O11" i="5" a="1"/>
  <c r="O11" i="5" s="1"/>
  <c r="O14" i="5" a="1"/>
  <c r="O14" i="5" s="1"/>
  <c r="O12" i="5" a="1"/>
  <c r="O12" i="5" s="1"/>
  <c r="O20" i="5" a="1"/>
  <c r="O20" i="5" s="1"/>
  <c r="O17" i="5" a="1"/>
  <c r="O17" i="5" s="1"/>
  <c r="O30" i="5" a="1"/>
  <c r="O30" i="5" s="1"/>
  <c r="O28" i="5" a="1"/>
  <c r="O28" i="5" s="1"/>
  <c r="O18" i="5" a="1"/>
  <c r="O18" i="5" s="1"/>
  <c r="O23" i="5" a="1"/>
  <c r="O23" i="5" s="1"/>
  <c r="O66" i="5" a="1"/>
  <c r="O66" i="5" s="1"/>
  <c r="G10" i="36"/>
  <c r="G11" i="6"/>
  <c r="H10" i="6"/>
  <c r="H9" i="6"/>
  <c r="G13" i="7"/>
  <c r="AD26" i="1"/>
  <c r="AP26" i="1"/>
  <c r="AG26" i="1"/>
  <c r="S26" i="1"/>
  <c r="AC26" i="1"/>
  <c r="O26" i="1"/>
  <c r="Q26" i="1"/>
  <c r="AI26" i="1"/>
  <c r="AF26" i="1"/>
  <c r="G26" i="1"/>
  <c r="AN26" i="1"/>
  <c r="AL26" i="1"/>
  <c r="AJ26" i="1"/>
  <c r="H26" i="1"/>
  <c r="AB26" i="1"/>
  <c r="V26" i="1"/>
  <c r="AH26" i="1"/>
  <c r="I26" i="1"/>
  <c r="T26" i="1"/>
  <c r="AR26" i="1"/>
  <c r="W26" i="1"/>
  <c r="L26" i="1"/>
  <c r="Z26" i="1"/>
  <c r="K26" i="1"/>
  <c r="R26" i="1"/>
  <c r="AQ26" i="1"/>
  <c r="F26" i="1"/>
  <c r="J26" i="1"/>
  <c r="N26" i="1"/>
  <c r="U26" i="1"/>
  <c r="AM26" i="1"/>
  <c r="AK26" i="1"/>
  <c r="AE26" i="1"/>
  <c r="AA26" i="1"/>
  <c r="AO26" i="1"/>
  <c r="Y26" i="1"/>
  <c r="P26" i="1"/>
  <c r="M26" i="1"/>
  <c r="X26" i="1"/>
  <c r="E26" i="1"/>
  <c r="G14" i="6" l="1"/>
  <c r="G20" i="6"/>
  <c r="G23" i="6"/>
  <c r="F10" i="37" l="1"/>
  <c r="F12" i="37"/>
  <c r="F21" i="37"/>
  <c r="F22" i="37"/>
  <c r="F9" i="37"/>
  <c r="G9" i="37"/>
  <c r="E3" i="37"/>
  <c r="H3" i="37"/>
  <c r="F54" i="36" l="1"/>
  <c r="F53" i="36"/>
  <c r="F52" i="36"/>
  <c r="F51" i="36"/>
  <c r="F50" i="36"/>
  <c r="F48" i="36"/>
  <c r="D47" i="36"/>
  <c r="F47" i="36" s="1"/>
  <c r="G46" i="36"/>
  <c r="F46" i="36"/>
  <c r="D45" i="36"/>
  <c r="F45" i="36" s="1"/>
  <c r="G44" i="36"/>
  <c r="F44" i="36"/>
  <c r="D43" i="36"/>
  <c r="F43" i="36" s="1"/>
  <c r="G42" i="36"/>
  <c r="F42" i="36"/>
  <c r="F41" i="36"/>
  <c r="D41" i="36"/>
  <c r="F40" i="36"/>
  <c r="D40" i="36"/>
  <c r="F39" i="36"/>
  <c r="F38" i="36"/>
  <c r="D38" i="36"/>
  <c r="F36" i="36"/>
  <c r="F35" i="36"/>
  <c r="D35" i="36"/>
  <c r="F34" i="36"/>
  <c r="D33" i="36"/>
  <c r="F33" i="36" s="1"/>
  <c r="G32" i="36"/>
  <c r="F32" i="36"/>
  <c r="D31" i="36"/>
  <c r="F31" i="36" s="1"/>
  <c r="L30" i="36"/>
  <c r="G30" i="36"/>
  <c r="F30" i="36"/>
  <c r="F29" i="36"/>
  <c r="D28" i="36"/>
  <c r="F28" i="36" s="1"/>
  <c r="G27" i="36"/>
  <c r="F27" i="36"/>
  <c r="D26" i="36"/>
  <c r="F26" i="36" s="1"/>
  <c r="L25" i="36"/>
  <c r="F25" i="36"/>
  <c r="F24" i="36"/>
  <c r="F23" i="36"/>
  <c r="D23" i="36"/>
  <c r="D22" i="36"/>
  <c r="F22" i="36" s="1"/>
  <c r="G21" i="36"/>
  <c r="F21" i="36"/>
  <c r="F20" i="36"/>
  <c r="D19" i="36"/>
  <c r="F19" i="36" s="1"/>
  <c r="G18" i="36"/>
  <c r="F18" i="36"/>
  <c r="D17" i="36"/>
  <c r="F17" i="36" s="1"/>
  <c r="L16" i="36"/>
  <c r="G16" i="36"/>
  <c r="F16" i="36"/>
  <c r="F15" i="36"/>
  <c r="F14" i="36"/>
  <c r="D14" i="36"/>
  <c r="F13" i="36"/>
  <c r="D13" i="36"/>
  <c r="F12" i="36"/>
  <c r="D11" i="36"/>
  <c r="F11" i="36" s="1"/>
  <c r="F10" i="36"/>
  <c r="F54" i="35"/>
  <c r="F53" i="35"/>
  <c r="F52" i="35"/>
  <c r="F51" i="35"/>
  <c r="F50" i="35"/>
  <c r="F48" i="35"/>
  <c r="D47" i="35"/>
  <c r="F47" i="35" s="1"/>
  <c r="G46" i="35"/>
  <c r="F46" i="35"/>
  <c r="D45" i="35"/>
  <c r="F45" i="35" s="1"/>
  <c r="G44" i="35"/>
  <c r="F44" i="35"/>
  <c r="D43" i="35"/>
  <c r="F43" i="35" s="1"/>
  <c r="G42" i="35"/>
  <c r="F42" i="35"/>
  <c r="F41" i="35"/>
  <c r="D41" i="35"/>
  <c r="F40" i="35"/>
  <c r="D40" i="35"/>
  <c r="F39" i="35"/>
  <c r="F38" i="35"/>
  <c r="D38" i="35"/>
  <c r="F36" i="35"/>
  <c r="F35" i="35"/>
  <c r="D35" i="35"/>
  <c r="F34" i="35"/>
  <c r="D33" i="35"/>
  <c r="F33" i="35" s="1"/>
  <c r="G32" i="35"/>
  <c r="F32" i="35"/>
  <c r="D31" i="35"/>
  <c r="F31" i="35" s="1"/>
  <c r="L30" i="35"/>
  <c r="G30" i="35"/>
  <c r="F30" i="35"/>
  <c r="F29" i="35"/>
  <c r="D28" i="35"/>
  <c r="F28" i="35" s="1"/>
  <c r="G27" i="35"/>
  <c r="F27" i="35"/>
  <c r="D26" i="35"/>
  <c r="F26" i="35" s="1"/>
  <c r="L25" i="35"/>
  <c r="G25" i="35"/>
  <c r="F25" i="35"/>
  <c r="F24" i="35"/>
  <c r="G23" i="35"/>
  <c r="D23" i="35"/>
  <c r="F23" i="35" s="1"/>
  <c r="D22" i="35"/>
  <c r="F22" i="35" s="1"/>
  <c r="G21" i="35"/>
  <c r="F21" i="35"/>
  <c r="F20" i="35"/>
  <c r="D19" i="35"/>
  <c r="F19" i="35" s="1"/>
  <c r="G18" i="35"/>
  <c r="F18" i="35"/>
  <c r="D17" i="35"/>
  <c r="F17" i="35" s="1"/>
  <c r="L16" i="35"/>
  <c r="G16" i="35"/>
  <c r="F16" i="35"/>
  <c r="F15" i="35"/>
  <c r="F14" i="35"/>
  <c r="D14" i="35"/>
  <c r="F13" i="35"/>
  <c r="D13" i="35"/>
  <c r="F12" i="35"/>
  <c r="D11" i="35"/>
  <c r="F11" i="35" s="1"/>
  <c r="F10" i="35"/>
  <c r="F54" i="34"/>
  <c r="F53" i="34"/>
  <c r="F52" i="34"/>
  <c r="F51" i="34"/>
  <c r="F50" i="34"/>
  <c r="F48" i="34"/>
  <c r="D47" i="34"/>
  <c r="F47" i="34" s="1"/>
  <c r="G46" i="34"/>
  <c r="F46" i="34"/>
  <c r="D45" i="34"/>
  <c r="F45" i="34" s="1"/>
  <c r="G44" i="34"/>
  <c r="F44" i="34"/>
  <c r="D43" i="34"/>
  <c r="F43" i="34" s="1"/>
  <c r="G42" i="34"/>
  <c r="F42" i="34"/>
  <c r="F41" i="34"/>
  <c r="D41" i="34"/>
  <c r="F40" i="34"/>
  <c r="D40" i="34"/>
  <c r="F39" i="34"/>
  <c r="F38" i="34"/>
  <c r="D38" i="34"/>
  <c r="F36" i="34"/>
  <c r="F35" i="34"/>
  <c r="D35" i="34"/>
  <c r="F34" i="34"/>
  <c r="D33" i="34"/>
  <c r="F33" i="34" s="1"/>
  <c r="G32" i="34"/>
  <c r="F32" i="34"/>
  <c r="D31" i="34"/>
  <c r="F31" i="34" s="1"/>
  <c r="L30" i="34"/>
  <c r="G30" i="34"/>
  <c r="F30" i="34"/>
  <c r="F29" i="34"/>
  <c r="D28" i="34"/>
  <c r="F28" i="34" s="1"/>
  <c r="G27" i="34"/>
  <c r="F27" i="34"/>
  <c r="D26" i="34"/>
  <c r="F26" i="34" s="1"/>
  <c r="L25" i="34"/>
  <c r="G25" i="34"/>
  <c r="F25" i="34"/>
  <c r="F24" i="34"/>
  <c r="G23" i="34"/>
  <c r="D23" i="34"/>
  <c r="F23" i="34" s="1"/>
  <c r="D22" i="34"/>
  <c r="F22" i="34" s="1"/>
  <c r="G21" i="34"/>
  <c r="F21" i="34"/>
  <c r="F20" i="34"/>
  <c r="D19" i="34"/>
  <c r="F19" i="34" s="1"/>
  <c r="G18" i="34"/>
  <c r="F18" i="34"/>
  <c r="D17" i="34"/>
  <c r="F17" i="34" s="1"/>
  <c r="L16" i="34"/>
  <c r="G16" i="34"/>
  <c r="F16" i="34"/>
  <c r="F15" i="34"/>
  <c r="F14" i="34"/>
  <c r="D14" i="34"/>
  <c r="F13" i="34"/>
  <c r="D13" i="34"/>
  <c r="F12" i="34"/>
  <c r="D11" i="34"/>
  <c r="F11" i="34" s="1"/>
  <c r="F10" i="34"/>
  <c r="F54" i="33"/>
  <c r="F53" i="33"/>
  <c r="F52" i="33"/>
  <c r="F51" i="33"/>
  <c r="F50" i="33"/>
  <c r="F48" i="33"/>
  <c r="D47" i="33"/>
  <c r="F47" i="33" s="1"/>
  <c r="G46" i="33"/>
  <c r="F46" i="33"/>
  <c r="D45" i="33"/>
  <c r="F45" i="33" s="1"/>
  <c r="G44" i="33"/>
  <c r="F44" i="33"/>
  <c r="D43" i="33"/>
  <c r="F43" i="33" s="1"/>
  <c r="G42" i="33"/>
  <c r="F42" i="33"/>
  <c r="F41" i="33"/>
  <c r="D41" i="33"/>
  <c r="F40" i="33"/>
  <c r="D40" i="33"/>
  <c r="F39" i="33"/>
  <c r="F38" i="33"/>
  <c r="D38" i="33"/>
  <c r="F36" i="33"/>
  <c r="F35" i="33"/>
  <c r="D35" i="33"/>
  <c r="F34" i="33"/>
  <c r="D33" i="33"/>
  <c r="F33" i="33" s="1"/>
  <c r="G32" i="33"/>
  <c r="F32" i="33"/>
  <c r="D31" i="33"/>
  <c r="F31" i="33" s="1"/>
  <c r="L30" i="33"/>
  <c r="G30" i="33"/>
  <c r="F30" i="33"/>
  <c r="F29" i="33"/>
  <c r="D28" i="33"/>
  <c r="F28" i="33" s="1"/>
  <c r="G27" i="33"/>
  <c r="F27" i="33"/>
  <c r="D26" i="33"/>
  <c r="F26" i="33" s="1"/>
  <c r="L25" i="33"/>
  <c r="G25" i="33"/>
  <c r="F25" i="33"/>
  <c r="F24" i="33"/>
  <c r="G23" i="33"/>
  <c r="D23" i="33"/>
  <c r="F23" i="33" s="1"/>
  <c r="D22" i="33"/>
  <c r="F22" i="33" s="1"/>
  <c r="G21" i="33"/>
  <c r="F21" i="33"/>
  <c r="F20" i="33"/>
  <c r="D19" i="33"/>
  <c r="F19" i="33" s="1"/>
  <c r="G18" i="33"/>
  <c r="F18" i="33"/>
  <c r="D17" i="33"/>
  <c r="F17" i="33" s="1"/>
  <c r="L16" i="33"/>
  <c r="G16" i="33"/>
  <c r="F16" i="33"/>
  <c r="F15" i="33"/>
  <c r="F14" i="33"/>
  <c r="D14" i="33"/>
  <c r="F13" i="33"/>
  <c r="D13" i="33"/>
  <c r="F12" i="33"/>
  <c r="D11" i="33"/>
  <c r="F11" i="33" s="1"/>
  <c r="F10" i="33"/>
  <c r="F54" i="32"/>
  <c r="F53" i="32"/>
  <c r="F52" i="32"/>
  <c r="F51" i="32"/>
  <c r="F50" i="32"/>
  <c r="F48" i="32"/>
  <c r="D47" i="32"/>
  <c r="F47" i="32" s="1"/>
  <c r="G46" i="32"/>
  <c r="F46" i="32"/>
  <c r="D45" i="32"/>
  <c r="F45" i="32" s="1"/>
  <c r="G44" i="32"/>
  <c r="F44" i="32"/>
  <c r="D43" i="32"/>
  <c r="F43" i="32" s="1"/>
  <c r="G42" i="32"/>
  <c r="F42" i="32"/>
  <c r="F41" i="32"/>
  <c r="D41" i="32"/>
  <c r="F40" i="32"/>
  <c r="D40" i="32"/>
  <c r="F39" i="32"/>
  <c r="F38" i="32"/>
  <c r="D38" i="32"/>
  <c r="F36" i="32"/>
  <c r="F35" i="32"/>
  <c r="D35" i="32"/>
  <c r="F34" i="32"/>
  <c r="D33" i="32"/>
  <c r="F33" i="32" s="1"/>
  <c r="G32" i="32"/>
  <c r="F32" i="32"/>
  <c r="D31" i="32"/>
  <c r="F31" i="32" s="1"/>
  <c r="G30" i="32"/>
  <c r="F30" i="32"/>
  <c r="F29" i="32"/>
  <c r="F28" i="32"/>
  <c r="D28" i="32"/>
  <c r="G27" i="32"/>
  <c r="F27" i="32"/>
  <c r="D26" i="32"/>
  <c r="F26" i="32" s="1"/>
  <c r="G25" i="32"/>
  <c r="L25" i="32" s="1"/>
  <c r="F25" i="32"/>
  <c r="F24" i="32"/>
  <c r="G23" i="32"/>
  <c r="D23" i="32"/>
  <c r="F23" i="32" s="1"/>
  <c r="D22" i="32"/>
  <c r="F22" i="32" s="1"/>
  <c r="G21" i="32"/>
  <c r="F21" i="32"/>
  <c r="F20" i="32"/>
  <c r="F19" i="32"/>
  <c r="D19" i="32"/>
  <c r="G18" i="32"/>
  <c r="F18" i="32"/>
  <c r="F17" i="32"/>
  <c r="D17" i="32"/>
  <c r="L16" i="32"/>
  <c r="G16" i="32"/>
  <c r="F16" i="32"/>
  <c r="F15" i="32"/>
  <c r="F14" i="32"/>
  <c r="D14" i="32"/>
  <c r="F13" i="32"/>
  <c r="D13" i="32"/>
  <c r="F12" i="32"/>
  <c r="D11" i="32"/>
  <c r="F11" i="32" s="1"/>
  <c r="F10" i="32"/>
  <c r="F54" i="31"/>
  <c r="F53" i="31"/>
  <c r="F52" i="31"/>
  <c r="F51" i="31"/>
  <c r="F50" i="31"/>
  <c r="F48" i="31"/>
  <c r="D47" i="31"/>
  <c r="F47" i="31" s="1"/>
  <c r="G46" i="31"/>
  <c r="F46" i="31"/>
  <c r="D45" i="31"/>
  <c r="F45" i="31" s="1"/>
  <c r="G44" i="31"/>
  <c r="F44" i="31"/>
  <c r="D43" i="31"/>
  <c r="F43" i="31" s="1"/>
  <c r="G42" i="31"/>
  <c r="F42" i="31"/>
  <c r="F41" i="31"/>
  <c r="D41" i="31"/>
  <c r="F40" i="31"/>
  <c r="D40" i="31"/>
  <c r="F39" i="31"/>
  <c r="F38" i="31"/>
  <c r="D38" i="31"/>
  <c r="F36" i="31"/>
  <c r="F35" i="31"/>
  <c r="D35" i="31"/>
  <c r="F34" i="31"/>
  <c r="D33" i="31"/>
  <c r="F33" i="31" s="1"/>
  <c r="G32" i="31"/>
  <c r="F32" i="31"/>
  <c r="D31" i="31"/>
  <c r="F31" i="31" s="1"/>
  <c r="L30" i="31"/>
  <c r="G30" i="31"/>
  <c r="F30" i="31"/>
  <c r="F29" i="31"/>
  <c r="F28" i="31"/>
  <c r="D28" i="31"/>
  <c r="G27" i="31"/>
  <c r="F27" i="31"/>
  <c r="F26" i="31"/>
  <c r="D26" i="31"/>
  <c r="L25" i="31"/>
  <c r="G25" i="31"/>
  <c r="F25" i="31"/>
  <c r="F24" i="31"/>
  <c r="G23" i="31"/>
  <c r="D23" i="31"/>
  <c r="F23" i="31" s="1"/>
  <c r="D22" i="31"/>
  <c r="F22" i="31" s="1"/>
  <c r="G21" i="31"/>
  <c r="F21" i="31"/>
  <c r="F20" i="31"/>
  <c r="D19" i="31"/>
  <c r="F19" i="31" s="1"/>
  <c r="G18" i="31"/>
  <c r="F18" i="31"/>
  <c r="D17" i="31"/>
  <c r="F17" i="31" s="1"/>
  <c r="L16" i="31"/>
  <c r="G16" i="31"/>
  <c r="F16" i="31"/>
  <c r="F15" i="31"/>
  <c r="F14" i="31"/>
  <c r="D14" i="31"/>
  <c r="F13" i="31"/>
  <c r="D13" i="31"/>
  <c r="F12" i="31"/>
  <c r="D11" i="31"/>
  <c r="F11" i="31" s="1"/>
  <c r="F10" i="31"/>
  <c r="F54" i="30"/>
  <c r="F53" i="30"/>
  <c r="F52" i="30"/>
  <c r="F51" i="30"/>
  <c r="F50" i="30"/>
  <c r="F48" i="30"/>
  <c r="D47" i="30"/>
  <c r="F47" i="30" s="1"/>
  <c r="G46" i="30"/>
  <c r="F46" i="30"/>
  <c r="D45" i="30"/>
  <c r="F45" i="30" s="1"/>
  <c r="G44" i="30"/>
  <c r="F44" i="30"/>
  <c r="D43" i="30"/>
  <c r="F43" i="30" s="1"/>
  <c r="G42" i="30"/>
  <c r="F42" i="30"/>
  <c r="F41" i="30"/>
  <c r="D41" i="30"/>
  <c r="F40" i="30"/>
  <c r="D40" i="30"/>
  <c r="F39" i="30"/>
  <c r="F38" i="30"/>
  <c r="D38" i="30"/>
  <c r="F36" i="30"/>
  <c r="F35" i="30"/>
  <c r="D35" i="30"/>
  <c r="F34" i="30"/>
  <c r="D33" i="30"/>
  <c r="F33" i="30" s="1"/>
  <c r="G32" i="30"/>
  <c r="F32" i="30"/>
  <c r="D31" i="30"/>
  <c r="F31" i="30" s="1"/>
  <c r="L30" i="30"/>
  <c r="G30" i="30"/>
  <c r="F30" i="30"/>
  <c r="F29" i="30"/>
  <c r="D28" i="30"/>
  <c r="F28" i="30" s="1"/>
  <c r="G27" i="30"/>
  <c r="F27" i="30"/>
  <c r="D26" i="30"/>
  <c r="F26" i="30" s="1"/>
  <c r="L25" i="30"/>
  <c r="G25" i="30"/>
  <c r="F25" i="30"/>
  <c r="F24" i="30"/>
  <c r="G23" i="30"/>
  <c r="D23" i="30"/>
  <c r="F23" i="30" s="1"/>
  <c r="D22" i="30"/>
  <c r="F22" i="30" s="1"/>
  <c r="G21" i="30"/>
  <c r="F21" i="30"/>
  <c r="F20" i="30"/>
  <c r="D19" i="30"/>
  <c r="F19" i="30" s="1"/>
  <c r="G18" i="30"/>
  <c r="F18" i="30"/>
  <c r="D17" i="30"/>
  <c r="F17" i="30" s="1"/>
  <c r="L16" i="30"/>
  <c r="G16" i="30"/>
  <c r="F16" i="30"/>
  <c r="F15" i="30"/>
  <c r="F14" i="30"/>
  <c r="D14" i="30"/>
  <c r="F13" i="30"/>
  <c r="D13" i="30"/>
  <c r="F12" i="30"/>
  <c r="D11" i="30"/>
  <c r="F11" i="30" s="1"/>
  <c r="F10" i="30"/>
  <c r="F54" i="29"/>
  <c r="F53" i="29"/>
  <c r="F52" i="29"/>
  <c r="F51" i="29"/>
  <c r="F50" i="29"/>
  <c r="F48" i="29"/>
  <c r="D47" i="29"/>
  <c r="F47" i="29" s="1"/>
  <c r="G46" i="29"/>
  <c r="F46" i="29"/>
  <c r="D45" i="29"/>
  <c r="F45" i="29" s="1"/>
  <c r="G44" i="29"/>
  <c r="F44" i="29"/>
  <c r="D43" i="29"/>
  <c r="F43" i="29" s="1"/>
  <c r="G42" i="29"/>
  <c r="F42" i="29"/>
  <c r="F41" i="29"/>
  <c r="D41" i="29"/>
  <c r="F40" i="29"/>
  <c r="D40" i="29"/>
  <c r="F39" i="29"/>
  <c r="F38" i="29"/>
  <c r="D38" i="29"/>
  <c r="F36" i="29"/>
  <c r="F35" i="29"/>
  <c r="D35" i="29"/>
  <c r="F34" i="29"/>
  <c r="D33" i="29"/>
  <c r="F33" i="29" s="1"/>
  <c r="G32" i="29"/>
  <c r="F32" i="29"/>
  <c r="D31" i="29"/>
  <c r="F31" i="29" s="1"/>
  <c r="L30" i="29"/>
  <c r="G30" i="29"/>
  <c r="F30" i="29"/>
  <c r="F29" i="29"/>
  <c r="D28" i="29"/>
  <c r="F28" i="29" s="1"/>
  <c r="G27" i="29"/>
  <c r="F27" i="29"/>
  <c r="F26" i="29"/>
  <c r="D26" i="29"/>
  <c r="L25" i="29"/>
  <c r="G25" i="29"/>
  <c r="F25" i="29"/>
  <c r="F24" i="29"/>
  <c r="G23" i="29"/>
  <c r="D23" i="29"/>
  <c r="F23" i="29" s="1"/>
  <c r="D22" i="29"/>
  <c r="F22" i="29" s="1"/>
  <c r="G21" i="29"/>
  <c r="F21" i="29"/>
  <c r="F20" i="29"/>
  <c r="D19" i="29"/>
  <c r="F19" i="29" s="1"/>
  <c r="G18" i="29"/>
  <c r="F18" i="29"/>
  <c r="D17" i="29"/>
  <c r="F17" i="29" s="1"/>
  <c r="L16" i="29"/>
  <c r="G16" i="29"/>
  <c r="F16" i="29"/>
  <c r="F15" i="29"/>
  <c r="F14" i="29"/>
  <c r="D14" i="29"/>
  <c r="F13" i="29"/>
  <c r="D13" i="29"/>
  <c r="F12" i="29"/>
  <c r="D11" i="29"/>
  <c r="F11" i="29" s="1"/>
  <c r="F10" i="29"/>
  <c r="F54" i="28"/>
  <c r="F53" i="28"/>
  <c r="F52" i="28"/>
  <c r="F51" i="28"/>
  <c r="F50" i="28"/>
  <c r="F48" i="28"/>
  <c r="D47" i="28"/>
  <c r="F47" i="28" s="1"/>
  <c r="G46" i="28"/>
  <c r="F46" i="28"/>
  <c r="D45" i="28"/>
  <c r="F45" i="28" s="1"/>
  <c r="G44" i="28"/>
  <c r="F44" i="28"/>
  <c r="D43" i="28"/>
  <c r="F43" i="28" s="1"/>
  <c r="G42" i="28"/>
  <c r="F42" i="28"/>
  <c r="F41" i="28"/>
  <c r="D41" i="28"/>
  <c r="F40" i="28"/>
  <c r="D40" i="28"/>
  <c r="F39" i="28"/>
  <c r="F38" i="28"/>
  <c r="D38" i="28"/>
  <c r="F36" i="28"/>
  <c r="F35" i="28"/>
  <c r="D35" i="28"/>
  <c r="F34" i="28"/>
  <c r="D33" i="28"/>
  <c r="F33" i="28" s="1"/>
  <c r="G32" i="28"/>
  <c r="F32" i="28"/>
  <c r="D31" i="28"/>
  <c r="F31" i="28" s="1"/>
  <c r="L30" i="28"/>
  <c r="G30" i="28"/>
  <c r="F30" i="28"/>
  <c r="F29" i="28"/>
  <c r="D28" i="28"/>
  <c r="F28" i="28" s="1"/>
  <c r="G27" i="28"/>
  <c r="F27" i="28"/>
  <c r="D26" i="28"/>
  <c r="F26" i="28" s="1"/>
  <c r="L25" i="28"/>
  <c r="G25" i="28"/>
  <c r="F25" i="28"/>
  <c r="F24" i="28"/>
  <c r="G23" i="28"/>
  <c r="D23" i="28"/>
  <c r="F23" i="28" s="1"/>
  <c r="D22" i="28"/>
  <c r="F22" i="28" s="1"/>
  <c r="G21" i="28"/>
  <c r="F21" i="28"/>
  <c r="F20" i="28"/>
  <c r="D19" i="28"/>
  <c r="F19" i="28" s="1"/>
  <c r="G18" i="28"/>
  <c r="F18" i="28"/>
  <c r="D17" i="28"/>
  <c r="F17" i="28" s="1"/>
  <c r="L16" i="28"/>
  <c r="G16" i="28"/>
  <c r="F16" i="28"/>
  <c r="F15" i="28"/>
  <c r="F14" i="28"/>
  <c r="D14" i="28"/>
  <c r="F13" i="28"/>
  <c r="D13" i="28"/>
  <c r="F12" i="28"/>
  <c r="D11" i="28"/>
  <c r="F11" i="28" s="1"/>
  <c r="F10" i="28"/>
  <c r="F54" i="27"/>
  <c r="F53" i="27"/>
  <c r="F52" i="27"/>
  <c r="F51" i="27"/>
  <c r="F50" i="27"/>
  <c r="F48" i="27"/>
  <c r="D47" i="27"/>
  <c r="F47" i="27" s="1"/>
  <c r="G46" i="27"/>
  <c r="F46" i="27"/>
  <c r="D45" i="27"/>
  <c r="F45" i="27" s="1"/>
  <c r="G44" i="27"/>
  <c r="F44" i="27"/>
  <c r="D43" i="27"/>
  <c r="F43" i="27" s="1"/>
  <c r="G42" i="27"/>
  <c r="F42" i="27"/>
  <c r="F41" i="27"/>
  <c r="D41" i="27"/>
  <c r="F40" i="27"/>
  <c r="D40" i="27"/>
  <c r="F39" i="27"/>
  <c r="F38" i="27"/>
  <c r="D38" i="27"/>
  <c r="F36" i="27"/>
  <c r="F35" i="27"/>
  <c r="D35" i="27"/>
  <c r="F34" i="27"/>
  <c r="D33" i="27"/>
  <c r="F33" i="27" s="1"/>
  <c r="G32" i="27"/>
  <c r="F32" i="27"/>
  <c r="D31" i="27"/>
  <c r="F31" i="27" s="1"/>
  <c r="L30" i="27"/>
  <c r="G30" i="27"/>
  <c r="F30" i="27"/>
  <c r="F29" i="27"/>
  <c r="D28" i="27"/>
  <c r="F28" i="27" s="1"/>
  <c r="G27" i="27"/>
  <c r="F27" i="27"/>
  <c r="D26" i="27"/>
  <c r="F26" i="27" s="1"/>
  <c r="L25" i="27"/>
  <c r="G25" i="27"/>
  <c r="F25" i="27"/>
  <c r="F24" i="27"/>
  <c r="G23" i="27"/>
  <c r="D23" i="27"/>
  <c r="F23" i="27" s="1"/>
  <c r="D22" i="27"/>
  <c r="F22" i="27" s="1"/>
  <c r="G21" i="27"/>
  <c r="F21" i="27"/>
  <c r="F20" i="27"/>
  <c r="D19" i="27"/>
  <c r="F19" i="27" s="1"/>
  <c r="G18" i="27"/>
  <c r="F18" i="27"/>
  <c r="D17" i="27"/>
  <c r="F17" i="27" s="1"/>
  <c r="L16" i="27"/>
  <c r="G16" i="27"/>
  <c r="F16" i="27"/>
  <c r="F15" i="27"/>
  <c r="F14" i="27"/>
  <c r="D14" i="27"/>
  <c r="F13" i="27"/>
  <c r="D13" i="27"/>
  <c r="F12" i="27"/>
  <c r="D11" i="27"/>
  <c r="F11" i="27" s="1"/>
  <c r="F10" i="27"/>
  <c r="F54" i="26"/>
  <c r="F53" i="26"/>
  <c r="F52" i="26"/>
  <c r="F51" i="26"/>
  <c r="F50" i="26"/>
  <c r="F48" i="26"/>
  <c r="D47" i="26"/>
  <c r="F47" i="26" s="1"/>
  <c r="G46" i="26"/>
  <c r="F46" i="26"/>
  <c r="D45" i="26"/>
  <c r="F45" i="26" s="1"/>
  <c r="G44" i="26"/>
  <c r="F44" i="26"/>
  <c r="D43" i="26"/>
  <c r="F43" i="26" s="1"/>
  <c r="G42" i="26"/>
  <c r="F42" i="26"/>
  <c r="F41" i="26"/>
  <c r="D41" i="26"/>
  <c r="F40" i="26"/>
  <c r="D40" i="26"/>
  <c r="F39" i="26"/>
  <c r="F38" i="26"/>
  <c r="D38" i="26"/>
  <c r="F36" i="26"/>
  <c r="F35" i="26"/>
  <c r="D35" i="26"/>
  <c r="F34" i="26"/>
  <c r="F33" i="26"/>
  <c r="D33" i="26"/>
  <c r="G32" i="26"/>
  <c r="F32" i="26"/>
  <c r="F31" i="26"/>
  <c r="D31" i="26"/>
  <c r="L30" i="26"/>
  <c r="G30" i="26"/>
  <c r="F30" i="26"/>
  <c r="F29" i="26"/>
  <c r="D28" i="26"/>
  <c r="F28" i="26" s="1"/>
  <c r="G27" i="26"/>
  <c r="F27" i="26"/>
  <c r="D26" i="26"/>
  <c r="F26" i="26" s="1"/>
  <c r="L25" i="26"/>
  <c r="G25" i="26"/>
  <c r="F25" i="26"/>
  <c r="F24" i="26"/>
  <c r="G23" i="26"/>
  <c r="D23" i="26"/>
  <c r="F23" i="26" s="1"/>
  <c r="D22" i="26"/>
  <c r="F22" i="26" s="1"/>
  <c r="G21" i="26"/>
  <c r="F21" i="26"/>
  <c r="F20" i="26"/>
  <c r="F19" i="26"/>
  <c r="D19" i="26"/>
  <c r="G18" i="26"/>
  <c r="F18" i="26"/>
  <c r="F17" i="26"/>
  <c r="D17" i="26"/>
  <c r="L16" i="26"/>
  <c r="G16" i="26"/>
  <c r="F16" i="26"/>
  <c r="F15" i="26"/>
  <c r="F14" i="26"/>
  <c r="D14" i="26"/>
  <c r="F13" i="26"/>
  <c r="D13" i="26"/>
  <c r="F12" i="26"/>
  <c r="D11" i="26"/>
  <c r="F11" i="26" s="1"/>
  <c r="F10" i="26"/>
  <c r="F54" i="25"/>
  <c r="F53" i="25"/>
  <c r="F52" i="25"/>
  <c r="F51" i="25"/>
  <c r="F50" i="25"/>
  <c r="F48" i="25"/>
  <c r="D47" i="25"/>
  <c r="F47" i="25" s="1"/>
  <c r="G46" i="25"/>
  <c r="F46" i="25"/>
  <c r="D45" i="25"/>
  <c r="F45" i="25" s="1"/>
  <c r="G44" i="25"/>
  <c r="F44" i="25"/>
  <c r="D43" i="25"/>
  <c r="F43" i="25" s="1"/>
  <c r="G42" i="25"/>
  <c r="F42" i="25"/>
  <c r="F41" i="25"/>
  <c r="D41" i="25"/>
  <c r="F40" i="25"/>
  <c r="D40" i="25"/>
  <c r="F39" i="25"/>
  <c r="F38" i="25"/>
  <c r="D38" i="25"/>
  <c r="F36" i="25"/>
  <c r="F35" i="25"/>
  <c r="D35" i="25"/>
  <c r="F34" i="25"/>
  <c r="D33" i="25"/>
  <c r="F33" i="25" s="1"/>
  <c r="G32" i="25"/>
  <c r="F32" i="25"/>
  <c r="D31" i="25"/>
  <c r="F31" i="25" s="1"/>
  <c r="G30" i="25"/>
  <c r="F30" i="25"/>
  <c r="F29" i="25"/>
  <c r="D28" i="25"/>
  <c r="F28" i="25" s="1"/>
  <c r="G27" i="25"/>
  <c r="F27" i="25"/>
  <c r="D26" i="25"/>
  <c r="F26" i="25" s="1"/>
  <c r="L25" i="25"/>
  <c r="G25" i="25"/>
  <c r="F25" i="25"/>
  <c r="F24" i="25"/>
  <c r="G23" i="25"/>
  <c r="D23" i="25"/>
  <c r="F23" i="25" s="1"/>
  <c r="D22" i="25"/>
  <c r="F22" i="25" s="1"/>
  <c r="G21" i="25"/>
  <c r="F21" i="25"/>
  <c r="F20" i="25"/>
  <c r="D19" i="25"/>
  <c r="F19" i="25" s="1"/>
  <c r="G18" i="25"/>
  <c r="F18" i="25"/>
  <c r="D17" i="25"/>
  <c r="F17" i="25" s="1"/>
  <c r="L16" i="25"/>
  <c r="G16" i="25"/>
  <c r="F16" i="25"/>
  <c r="F15" i="25"/>
  <c r="F14" i="25"/>
  <c r="D14" i="25"/>
  <c r="F13" i="25"/>
  <c r="D13" i="25"/>
  <c r="F12" i="25"/>
  <c r="D11" i="25"/>
  <c r="F11" i="25" s="1"/>
  <c r="F10" i="25"/>
  <c r="F54" i="24"/>
  <c r="F53" i="24"/>
  <c r="F52" i="24"/>
  <c r="F51" i="24"/>
  <c r="F50" i="24"/>
  <c r="F48" i="24"/>
  <c r="D47" i="24"/>
  <c r="F47" i="24" s="1"/>
  <c r="G46" i="24"/>
  <c r="F46" i="24"/>
  <c r="D45" i="24"/>
  <c r="F45" i="24" s="1"/>
  <c r="G44" i="24"/>
  <c r="F44" i="24"/>
  <c r="D43" i="24"/>
  <c r="F43" i="24" s="1"/>
  <c r="G42" i="24"/>
  <c r="F42" i="24"/>
  <c r="F41" i="24"/>
  <c r="D41" i="24"/>
  <c r="F40" i="24"/>
  <c r="D40" i="24"/>
  <c r="F39" i="24"/>
  <c r="F38" i="24"/>
  <c r="D38" i="24"/>
  <c r="F36" i="24"/>
  <c r="F35" i="24"/>
  <c r="D35" i="24"/>
  <c r="F34" i="24"/>
  <c r="F33" i="24"/>
  <c r="D33" i="24"/>
  <c r="G32" i="24"/>
  <c r="F32" i="24"/>
  <c r="D31" i="24"/>
  <c r="F31" i="24" s="1"/>
  <c r="G30" i="24"/>
  <c r="F30" i="24"/>
  <c r="F29" i="24"/>
  <c r="D28" i="24"/>
  <c r="F28" i="24" s="1"/>
  <c r="G27" i="24"/>
  <c r="F27" i="24"/>
  <c r="D26" i="24"/>
  <c r="F26" i="24" s="1"/>
  <c r="L25" i="24"/>
  <c r="G25" i="24"/>
  <c r="F25" i="24"/>
  <c r="F24" i="24"/>
  <c r="G23" i="24"/>
  <c r="D23" i="24"/>
  <c r="F23" i="24" s="1"/>
  <c r="D22" i="24"/>
  <c r="F22" i="24" s="1"/>
  <c r="G21" i="24"/>
  <c r="F21" i="24"/>
  <c r="F20" i="24"/>
  <c r="F19" i="24"/>
  <c r="D19" i="24"/>
  <c r="G18" i="24"/>
  <c r="F18" i="24"/>
  <c r="F17" i="24"/>
  <c r="D17" i="24"/>
  <c r="L16" i="24"/>
  <c r="G16" i="24"/>
  <c r="F16" i="24"/>
  <c r="F15" i="24"/>
  <c r="F14" i="24"/>
  <c r="D14" i="24"/>
  <c r="F13" i="24"/>
  <c r="D13" i="24"/>
  <c r="F12" i="24"/>
  <c r="D11" i="24"/>
  <c r="F11" i="24" s="1"/>
  <c r="F10" i="24"/>
  <c r="F54" i="23"/>
  <c r="F53" i="23"/>
  <c r="F52" i="23"/>
  <c r="F51" i="23"/>
  <c r="F50" i="23"/>
  <c r="F48" i="23"/>
  <c r="D47" i="23"/>
  <c r="F47" i="23" s="1"/>
  <c r="G46" i="23"/>
  <c r="F46" i="23"/>
  <c r="D45" i="23"/>
  <c r="F45" i="23" s="1"/>
  <c r="G44" i="23"/>
  <c r="F44" i="23"/>
  <c r="D43" i="23"/>
  <c r="F43" i="23" s="1"/>
  <c r="G42" i="23"/>
  <c r="F42" i="23"/>
  <c r="F41" i="23"/>
  <c r="D41" i="23"/>
  <c r="F40" i="23"/>
  <c r="D40" i="23"/>
  <c r="F39" i="23"/>
  <c r="F38" i="23"/>
  <c r="D38" i="23"/>
  <c r="F36" i="23"/>
  <c r="F35" i="23"/>
  <c r="D35" i="23"/>
  <c r="F34" i="23"/>
  <c r="F33" i="23"/>
  <c r="D33" i="23"/>
  <c r="G32" i="23"/>
  <c r="F32" i="23"/>
  <c r="F31" i="23"/>
  <c r="D31" i="23"/>
  <c r="L30" i="23"/>
  <c r="G30" i="23"/>
  <c r="F30" i="23"/>
  <c r="F29" i="23"/>
  <c r="D28" i="23"/>
  <c r="F28" i="23" s="1"/>
  <c r="G27" i="23"/>
  <c r="F27" i="23"/>
  <c r="D26" i="23"/>
  <c r="F26" i="23" s="1"/>
  <c r="L25" i="23"/>
  <c r="G25" i="23"/>
  <c r="F25" i="23"/>
  <c r="F24" i="23"/>
  <c r="G23" i="23"/>
  <c r="D23" i="23"/>
  <c r="F23" i="23" s="1"/>
  <c r="D22" i="23"/>
  <c r="F22" i="23" s="1"/>
  <c r="G21" i="23"/>
  <c r="F21" i="23"/>
  <c r="F20" i="23"/>
  <c r="D19" i="23"/>
  <c r="F19" i="23" s="1"/>
  <c r="G18" i="23"/>
  <c r="F18" i="23"/>
  <c r="D17" i="23"/>
  <c r="F17" i="23" s="1"/>
  <c r="L16" i="23"/>
  <c r="G16" i="23"/>
  <c r="F16" i="23"/>
  <c r="F15" i="23"/>
  <c r="F14" i="23"/>
  <c r="D14" i="23"/>
  <c r="F13" i="23"/>
  <c r="D13" i="23"/>
  <c r="F12" i="23"/>
  <c r="D11" i="23"/>
  <c r="F11" i="23" s="1"/>
  <c r="F10" i="23"/>
  <c r="F54" i="19"/>
  <c r="F53" i="19"/>
  <c r="F52" i="19"/>
  <c r="F51" i="19"/>
  <c r="F50" i="19"/>
  <c r="F48" i="19"/>
  <c r="D47" i="19"/>
  <c r="F47" i="19" s="1"/>
  <c r="G46" i="19"/>
  <c r="F46" i="19"/>
  <c r="D45" i="19"/>
  <c r="F45" i="19" s="1"/>
  <c r="G44" i="19"/>
  <c r="F44" i="19"/>
  <c r="D43" i="19"/>
  <c r="F43" i="19" s="1"/>
  <c r="G42" i="19"/>
  <c r="F42" i="19"/>
  <c r="G41" i="19"/>
  <c r="F41" i="19"/>
  <c r="D41" i="19"/>
  <c r="L40" i="19"/>
  <c r="G40" i="19"/>
  <c r="F40" i="19"/>
  <c r="D40" i="19"/>
  <c r="F39" i="19"/>
  <c r="G38" i="19"/>
  <c r="F38" i="19"/>
  <c r="D38" i="19"/>
  <c r="F36" i="19"/>
  <c r="G35" i="19"/>
  <c r="F35" i="19"/>
  <c r="D35" i="19"/>
  <c r="F34" i="19"/>
  <c r="D33" i="19"/>
  <c r="F33" i="19" s="1"/>
  <c r="G32" i="19"/>
  <c r="F32" i="19"/>
  <c r="D31" i="19"/>
  <c r="F31" i="19" s="1"/>
  <c r="L30" i="19"/>
  <c r="G30" i="19"/>
  <c r="F30" i="19"/>
  <c r="F29" i="19"/>
  <c r="D28" i="19"/>
  <c r="F28" i="19" s="1"/>
  <c r="G27" i="19"/>
  <c r="F27" i="19"/>
  <c r="D26" i="19"/>
  <c r="F26" i="19" s="1"/>
  <c r="L25" i="19"/>
  <c r="G25" i="19"/>
  <c r="F25" i="19"/>
  <c r="F24" i="19"/>
  <c r="G23" i="19"/>
  <c r="F23" i="19"/>
  <c r="D23" i="19"/>
  <c r="D22" i="19"/>
  <c r="F22" i="19" s="1"/>
  <c r="G21" i="19"/>
  <c r="F21" i="19"/>
  <c r="F20" i="19"/>
  <c r="F19" i="19"/>
  <c r="D19" i="19"/>
  <c r="G18" i="19"/>
  <c r="F18" i="19"/>
  <c r="F17" i="19"/>
  <c r="D17" i="19"/>
  <c r="L16" i="19"/>
  <c r="G16" i="19"/>
  <c r="F16" i="19"/>
  <c r="F15" i="19"/>
  <c r="F14" i="19"/>
  <c r="D14" i="19"/>
  <c r="F13" i="19"/>
  <c r="D13" i="19"/>
  <c r="F12" i="19"/>
  <c r="D11" i="19"/>
  <c r="F11" i="19" s="1"/>
  <c r="F10" i="19"/>
  <c r="F54" i="20"/>
  <c r="F53" i="20"/>
  <c r="F52" i="20"/>
  <c r="F51" i="20"/>
  <c r="F50" i="20"/>
  <c r="F48" i="20"/>
  <c r="D47" i="20"/>
  <c r="F47" i="20" s="1"/>
  <c r="G46" i="20"/>
  <c r="F46" i="20"/>
  <c r="D45" i="20"/>
  <c r="F45" i="20" s="1"/>
  <c r="G44" i="20"/>
  <c r="F44" i="20"/>
  <c r="D43" i="20"/>
  <c r="F43" i="20" s="1"/>
  <c r="G42" i="20"/>
  <c r="F42" i="20"/>
  <c r="F41" i="20"/>
  <c r="D41" i="20"/>
  <c r="F40" i="20"/>
  <c r="D40" i="20"/>
  <c r="F39" i="20"/>
  <c r="F38" i="20"/>
  <c r="D38" i="20"/>
  <c r="F36" i="20"/>
  <c r="F35" i="20"/>
  <c r="D35" i="20"/>
  <c r="F34" i="20"/>
  <c r="D33" i="20"/>
  <c r="F33" i="20" s="1"/>
  <c r="G32" i="20"/>
  <c r="F32" i="20"/>
  <c r="D31" i="20"/>
  <c r="F31" i="20" s="1"/>
  <c r="L30" i="20"/>
  <c r="G30" i="20"/>
  <c r="F30" i="20"/>
  <c r="F29" i="20"/>
  <c r="D28" i="20"/>
  <c r="F28" i="20" s="1"/>
  <c r="G27" i="20"/>
  <c r="F27" i="20"/>
  <c r="D26" i="20"/>
  <c r="F26" i="20" s="1"/>
  <c r="L25" i="20"/>
  <c r="G25" i="20"/>
  <c r="F25" i="20"/>
  <c r="F24" i="20"/>
  <c r="G23" i="20"/>
  <c r="D23" i="20"/>
  <c r="F23" i="20" s="1"/>
  <c r="D22" i="20"/>
  <c r="F22" i="20" s="1"/>
  <c r="G21" i="20"/>
  <c r="F21" i="20"/>
  <c r="F20" i="20"/>
  <c r="D19" i="20"/>
  <c r="F19" i="20" s="1"/>
  <c r="G18" i="20"/>
  <c r="F18" i="20"/>
  <c r="D17" i="20"/>
  <c r="F17" i="20" s="1"/>
  <c r="L16" i="20"/>
  <c r="G16" i="20"/>
  <c r="F16" i="20"/>
  <c r="F15" i="20"/>
  <c r="F14" i="20"/>
  <c r="D14" i="20"/>
  <c r="F13" i="20"/>
  <c r="D13" i="20"/>
  <c r="F12" i="20"/>
  <c r="D11" i="20"/>
  <c r="F11" i="20" s="1"/>
  <c r="F10" i="20"/>
  <c r="F54" i="17"/>
  <c r="F53" i="17"/>
  <c r="F52" i="17"/>
  <c r="F51" i="17"/>
  <c r="F50" i="17"/>
  <c r="F48" i="17"/>
  <c r="D47" i="17"/>
  <c r="F47" i="17" s="1"/>
  <c r="G46" i="17"/>
  <c r="F46" i="17"/>
  <c r="D45" i="17"/>
  <c r="F45" i="17" s="1"/>
  <c r="G44" i="17"/>
  <c r="F44" i="17"/>
  <c r="D43" i="17"/>
  <c r="F43" i="17" s="1"/>
  <c r="G42" i="17"/>
  <c r="F42" i="17"/>
  <c r="F41" i="17"/>
  <c r="D41" i="17"/>
  <c r="F40" i="17"/>
  <c r="D40" i="17"/>
  <c r="F39" i="17"/>
  <c r="F38" i="17"/>
  <c r="D38" i="17"/>
  <c r="F36" i="17"/>
  <c r="F35" i="17"/>
  <c r="D35" i="17"/>
  <c r="F34" i="17"/>
  <c r="D33" i="17"/>
  <c r="F33" i="17" s="1"/>
  <c r="G32" i="17"/>
  <c r="F32" i="17"/>
  <c r="D31" i="17"/>
  <c r="F31" i="17" s="1"/>
  <c r="L30" i="17"/>
  <c r="G30" i="17"/>
  <c r="F30" i="17"/>
  <c r="F29" i="17"/>
  <c r="D28" i="17"/>
  <c r="F28" i="17" s="1"/>
  <c r="G27" i="17"/>
  <c r="F27" i="17"/>
  <c r="D26" i="17"/>
  <c r="F26" i="17" s="1"/>
  <c r="L25" i="17"/>
  <c r="G25" i="17"/>
  <c r="F25" i="17"/>
  <c r="F24" i="17"/>
  <c r="G23" i="17"/>
  <c r="D23" i="17"/>
  <c r="F23" i="17" s="1"/>
  <c r="D22" i="17"/>
  <c r="F22" i="17" s="1"/>
  <c r="G21" i="17"/>
  <c r="F21" i="17"/>
  <c r="F20" i="17"/>
  <c r="D19" i="17"/>
  <c r="F19" i="17" s="1"/>
  <c r="G18" i="17"/>
  <c r="F18" i="17"/>
  <c r="D17" i="17"/>
  <c r="F17" i="17" s="1"/>
  <c r="L16" i="17"/>
  <c r="G16" i="17"/>
  <c r="F16" i="17"/>
  <c r="F15" i="17"/>
  <c r="F14" i="17"/>
  <c r="D14" i="17"/>
  <c r="F13" i="17"/>
  <c r="D13" i="17"/>
  <c r="F12" i="17"/>
  <c r="D11" i="17"/>
  <c r="F11" i="17" s="1"/>
  <c r="F10" i="17"/>
  <c r="F54" i="16"/>
  <c r="F53" i="16"/>
  <c r="F52" i="16"/>
  <c r="F51" i="16"/>
  <c r="F50" i="16"/>
  <c r="F48" i="16"/>
  <c r="D47" i="16"/>
  <c r="F47" i="16" s="1"/>
  <c r="G46" i="16"/>
  <c r="F46" i="16"/>
  <c r="D45" i="16"/>
  <c r="F45" i="16" s="1"/>
  <c r="G44" i="16"/>
  <c r="F44" i="16"/>
  <c r="D43" i="16"/>
  <c r="F43" i="16" s="1"/>
  <c r="G42" i="16"/>
  <c r="F42" i="16"/>
  <c r="F41" i="16"/>
  <c r="D41" i="16"/>
  <c r="F40" i="16"/>
  <c r="D40" i="16"/>
  <c r="F39" i="16"/>
  <c r="F38" i="16"/>
  <c r="D38" i="16"/>
  <c r="F36" i="16"/>
  <c r="F35" i="16"/>
  <c r="D35" i="16"/>
  <c r="F29" i="16"/>
  <c r="D28" i="16"/>
  <c r="F28" i="16" s="1"/>
  <c r="G27" i="16"/>
  <c r="F27" i="16"/>
  <c r="D26" i="16"/>
  <c r="F26" i="16" s="1"/>
  <c r="L25" i="16"/>
  <c r="G25" i="16"/>
  <c r="F25" i="16"/>
  <c r="F24" i="16"/>
  <c r="G23" i="16"/>
  <c r="D23" i="16"/>
  <c r="F23" i="16" s="1"/>
  <c r="D22" i="16"/>
  <c r="F22" i="16" s="1"/>
  <c r="G21" i="16"/>
  <c r="F21" i="16"/>
  <c r="F20" i="16"/>
  <c r="D19" i="16"/>
  <c r="F19" i="16" s="1"/>
  <c r="G18" i="16"/>
  <c r="F18" i="16"/>
  <c r="D17" i="16"/>
  <c r="F17" i="16" s="1"/>
  <c r="L16" i="16"/>
  <c r="G16" i="16"/>
  <c r="F16" i="16"/>
  <c r="F15" i="16"/>
  <c r="F14" i="16"/>
  <c r="D14" i="16"/>
  <c r="F13" i="16"/>
  <c r="D13" i="16"/>
  <c r="F12" i="16"/>
  <c r="D11" i="16"/>
  <c r="F11" i="16" s="1"/>
  <c r="F10" i="16"/>
  <c r="F54" i="18"/>
  <c r="F53" i="18"/>
  <c r="F52" i="18"/>
  <c r="F51" i="18"/>
  <c r="F50" i="18"/>
  <c r="F48" i="18"/>
  <c r="D47" i="18"/>
  <c r="F47" i="18" s="1"/>
  <c r="G46" i="18"/>
  <c r="F46" i="18"/>
  <c r="D45" i="18"/>
  <c r="F45" i="18" s="1"/>
  <c r="G44" i="18"/>
  <c r="F44" i="18"/>
  <c r="D43" i="18"/>
  <c r="F43" i="18" s="1"/>
  <c r="G42" i="18"/>
  <c r="F42" i="18"/>
  <c r="F41" i="18"/>
  <c r="D41" i="18"/>
  <c r="F40" i="18"/>
  <c r="D40" i="18"/>
  <c r="F39" i="18"/>
  <c r="F38" i="18"/>
  <c r="D38" i="18"/>
  <c r="F36" i="18"/>
  <c r="F35" i="18"/>
  <c r="D35" i="18"/>
  <c r="F34" i="18"/>
  <c r="D33" i="18"/>
  <c r="F33" i="18" s="1"/>
  <c r="G32" i="18"/>
  <c r="F32" i="18"/>
  <c r="D31" i="18"/>
  <c r="F31" i="18" s="1"/>
  <c r="L30" i="18"/>
  <c r="G30" i="18"/>
  <c r="F30" i="18"/>
  <c r="F29" i="18"/>
  <c r="D28" i="18"/>
  <c r="F28" i="18" s="1"/>
  <c r="G27" i="18"/>
  <c r="F27" i="18"/>
  <c r="D26" i="18"/>
  <c r="F26" i="18" s="1"/>
  <c r="L25" i="18"/>
  <c r="G25" i="18"/>
  <c r="F25" i="18"/>
  <c r="F24" i="18"/>
  <c r="G23" i="18"/>
  <c r="D23" i="18"/>
  <c r="F23" i="18" s="1"/>
  <c r="D22" i="18"/>
  <c r="F22" i="18" s="1"/>
  <c r="G21" i="18"/>
  <c r="F21" i="18"/>
  <c r="F20" i="18"/>
  <c r="D19" i="18"/>
  <c r="F19" i="18" s="1"/>
  <c r="G18" i="18"/>
  <c r="F18" i="18"/>
  <c r="D17" i="18"/>
  <c r="F17" i="18" s="1"/>
  <c r="L16" i="18"/>
  <c r="G16" i="18"/>
  <c r="F16" i="18"/>
  <c r="F15" i="18"/>
  <c r="F14" i="18"/>
  <c r="D14" i="18"/>
  <c r="F13" i="18"/>
  <c r="D13" i="18"/>
  <c r="F12" i="18"/>
  <c r="D11" i="18"/>
  <c r="F11" i="18" s="1"/>
  <c r="F10" i="18"/>
  <c r="F54" i="22"/>
  <c r="F53" i="22"/>
  <c r="F52" i="22"/>
  <c r="F51" i="22"/>
  <c r="F50" i="22"/>
  <c r="F48" i="22"/>
  <c r="D47" i="22"/>
  <c r="F47" i="22" s="1"/>
  <c r="G46" i="22"/>
  <c r="F46" i="22"/>
  <c r="D45" i="22"/>
  <c r="F45" i="22" s="1"/>
  <c r="G44" i="22"/>
  <c r="F44" i="22"/>
  <c r="D43" i="22"/>
  <c r="F43" i="22" s="1"/>
  <c r="G42" i="22"/>
  <c r="F42" i="22"/>
  <c r="F41" i="22"/>
  <c r="D41" i="22"/>
  <c r="F40" i="22"/>
  <c r="D40" i="22"/>
  <c r="F39" i="22"/>
  <c r="F38" i="22"/>
  <c r="D38" i="22"/>
  <c r="F36" i="22"/>
  <c r="F35" i="22"/>
  <c r="D35" i="22"/>
  <c r="F34" i="22"/>
  <c r="F33" i="22"/>
  <c r="D33" i="22"/>
  <c r="G32" i="22"/>
  <c r="F32" i="22"/>
  <c r="F31" i="22"/>
  <c r="D31" i="22"/>
  <c r="L30" i="22"/>
  <c r="G30" i="22"/>
  <c r="F30" i="22"/>
  <c r="F29" i="22"/>
  <c r="D28" i="22"/>
  <c r="F28" i="22" s="1"/>
  <c r="G27" i="22"/>
  <c r="F27" i="22"/>
  <c r="D26" i="22"/>
  <c r="F26" i="22" s="1"/>
  <c r="L25" i="22"/>
  <c r="G25" i="22"/>
  <c r="F25" i="22"/>
  <c r="F24" i="22"/>
  <c r="G23" i="22"/>
  <c r="D23" i="22"/>
  <c r="F23" i="22" s="1"/>
  <c r="D22" i="22"/>
  <c r="F22" i="22" s="1"/>
  <c r="G21" i="22"/>
  <c r="F21" i="22"/>
  <c r="F20" i="22"/>
  <c r="D19" i="22"/>
  <c r="F19" i="22" s="1"/>
  <c r="G18" i="22"/>
  <c r="F18" i="22"/>
  <c r="D17" i="22"/>
  <c r="F17" i="22" s="1"/>
  <c r="L16" i="22"/>
  <c r="G16" i="22"/>
  <c r="F16" i="22"/>
  <c r="F15" i="22"/>
  <c r="F14" i="22"/>
  <c r="D14" i="22"/>
  <c r="F13" i="22"/>
  <c r="D13" i="22"/>
  <c r="F12" i="22"/>
  <c r="D11" i="22"/>
  <c r="F11" i="22" s="1"/>
  <c r="F10" i="22"/>
  <c r="F54" i="21"/>
  <c r="F53" i="21"/>
  <c r="F52" i="21"/>
  <c r="F51" i="21"/>
  <c r="F50" i="21"/>
  <c r="F48" i="21"/>
  <c r="D47" i="21"/>
  <c r="F47" i="21" s="1"/>
  <c r="G46" i="21"/>
  <c r="F46" i="21"/>
  <c r="D45" i="21"/>
  <c r="F45" i="21" s="1"/>
  <c r="G44" i="21"/>
  <c r="F44" i="21"/>
  <c r="D43" i="21"/>
  <c r="F43" i="21" s="1"/>
  <c r="G42" i="21"/>
  <c r="F42" i="21"/>
  <c r="F41" i="21"/>
  <c r="D41" i="21"/>
  <c r="F40" i="21"/>
  <c r="D40" i="21"/>
  <c r="F39" i="21"/>
  <c r="F38" i="21"/>
  <c r="D38" i="21"/>
  <c r="F36" i="21"/>
  <c r="F35" i="21"/>
  <c r="D35" i="21"/>
  <c r="F34" i="21"/>
  <c r="D33" i="21"/>
  <c r="F33" i="21" s="1"/>
  <c r="G32" i="21"/>
  <c r="F32" i="21"/>
  <c r="D31" i="21"/>
  <c r="F31" i="21" s="1"/>
  <c r="L30" i="21"/>
  <c r="G30" i="21"/>
  <c r="F30" i="21"/>
  <c r="F29" i="21"/>
  <c r="D28" i="21"/>
  <c r="F28" i="21" s="1"/>
  <c r="G27" i="21"/>
  <c r="F27" i="21"/>
  <c r="D26" i="21"/>
  <c r="F26" i="21" s="1"/>
  <c r="L25" i="21"/>
  <c r="G25" i="21"/>
  <c r="F25" i="21"/>
  <c r="F24" i="21"/>
  <c r="G23" i="21"/>
  <c r="D23" i="21"/>
  <c r="F23" i="21" s="1"/>
  <c r="D22" i="21"/>
  <c r="F22" i="21" s="1"/>
  <c r="G21" i="21"/>
  <c r="F21" i="21"/>
  <c r="F20" i="21"/>
  <c r="F19" i="21"/>
  <c r="D19" i="21"/>
  <c r="G18" i="21"/>
  <c r="F18" i="21"/>
  <c r="F17" i="21"/>
  <c r="D17" i="21"/>
  <c r="L16" i="21"/>
  <c r="G16" i="21"/>
  <c r="F16" i="21"/>
  <c r="F15" i="21"/>
  <c r="F14" i="21"/>
  <c r="D14" i="21"/>
  <c r="F13" i="21"/>
  <c r="D13" i="21"/>
  <c r="F12" i="21"/>
  <c r="D11" i="21"/>
  <c r="F11" i="21" s="1"/>
  <c r="F10" i="21"/>
  <c r="F54" i="15"/>
  <c r="F53" i="15"/>
  <c r="F52" i="15"/>
  <c r="F51" i="15"/>
  <c r="F50" i="15"/>
  <c r="F48" i="15"/>
  <c r="D47" i="15"/>
  <c r="F47" i="15" s="1"/>
  <c r="G46" i="15"/>
  <c r="F46" i="15"/>
  <c r="D45" i="15"/>
  <c r="F45" i="15" s="1"/>
  <c r="G44" i="15"/>
  <c r="F44" i="15"/>
  <c r="D43" i="15"/>
  <c r="F43" i="15" s="1"/>
  <c r="G42" i="15"/>
  <c r="F42" i="15"/>
  <c r="F41" i="15"/>
  <c r="D41" i="15"/>
  <c r="F40" i="15"/>
  <c r="D40" i="15"/>
  <c r="F39" i="15"/>
  <c r="F38" i="15"/>
  <c r="D38" i="15"/>
  <c r="F36" i="15"/>
  <c r="F35" i="15"/>
  <c r="D35" i="15"/>
  <c r="F34" i="15"/>
  <c r="D33" i="15"/>
  <c r="F33" i="15" s="1"/>
  <c r="G32" i="15"/>
  <c r="F32" i="15"/>
  <c r="D31" i="15"/>
  <c r="F31" i="15" s="1"/>
  <c r="L30" i="15"/>
  <c r="G30" i="15"/>
  <c r="F30" i="15"/>
  <c r="F29" i="15"/>
  <c r="F28" i="15"/>
  <c r="D28" i="15"/>
  <c r="G27" i="15"/>
  <c r="F27" i="15"/>
  <c r="F26" i="15"/>
  <c r="D26" i="15"/>
  <c r="L25" i="15"/>
  <c r="G25" i="15"/>
  <c r="F25" i="15"/>
  <c r="F24" i="15"/>
  <c r="G23" i="15"/>
  <c r="D23" i="15"/>
  <c r="F23" i="15" s="1"/>
  <c r="D22" i="15"/>
  <c r="F22" i="15" s="1"/>
  <c r="G21" i="15"/>
  <c r="F21" i="15"/>
  <c r="F20" i="15"/>
  <c r="D19" i="15"/>
  <c r="F19" i="15" s="1"/>
  <c r="G18" i="15"/>
  <c r="F18" i="15"/>
  <c r="D17" i="15"/>
  <c r="F17" i="15" s="1"/>
  <c r="L16" i="15"/>
  <c r="G16" i="15"/>
  <c r="F16" i="15"/>
  <c r="F15" i="15"/>
  <c r="F14" i="15"/>
  <c r="D14" i="15"/>
  <c r="F13" i="15"/>
  <c r="D13" i="15"/>
  <c r="F12" i="15"/>
  <c r="D11" i="15"/>
  <c r="F11" i="15" s="1"/>
  <c r="F10" i="15"/>
  <c r="F54" i="14"/>
  <c r="F53" i="14"/>
  <c r="F52" i="14"/>
  <c r="F51" i="14"/>
  <c r="F50" i="14"/>
  <c r="F48" i="14"/>
  <c r="D47" i="14"/>
  <c r="F47" i="14" s="1"/>
  <c r="G46" i="14"/>
  <c r="F46" i="14"/>
  <c r="D45" i="14"/>
  <c r="F45" i="14" s="1"/>
  <c r="G44" i="14"/>
  <c r="F44" i="14"/>
  <c r="D43" i="14"/>
  <c r="F43" i="14" s="1"/>
  <c r="G42" i="14"/>
  <c r="F42" i="14"/>
  <c r="F41" i="14"/>
  <c r="D41" i="14"/>
  <c r="F40" i="14"/>
  <c r="D40" i="14"/>
  <c r="F39" i="14"/>
  <c r="F38" i="14"/>
  <c r="D38" i="14"/>
  <c r="F36" i="14"/>
  <c r="F35" i="14"/>
  <c r="D35" i="14"/>
  <c r="F34" i="14"/>
  <c r="D33" i="14"/>
  <c r="F33" i="14" s="1"/>
  <c r="G32" i="14"/>
  <c r="F32" i="14"/>
  <c r="D31" i="14"/>
  <c r="F31" i="14" s="1"/>
  <c r="L30" i="14"/>
  <c r="G30" i="14"/>
  <c r="F30" i="14"/>
  <c r="F29" i="14"/>
  <c r="F28" i="14"/>
  <c r="D28" i="14"/>
  <c r="G27" i="14"/>
  <c r="F27" i="14"/>
  <c r="F26" i="14"/>
  <c r="D26" i="14"/>
  <c r="L25" i="14"/>
  <c r="G25" i="14"/>
  <c r="F25" i="14"/>
  <c r="F24" i="14"/>
  <c r="G23" i="14"/>
  <c r="D23" i="14"/>
  <c r="F23" i="14" s="1"/>
  <c r="D22" i="14"/>
  <c r="F22" i="14" s="1"/>
  <c r="G21" i="14"/>
  <c r="F21" i="14"/>
  <c r="F20" i="14"/>
  <c r="D19" i="14"/>
  <c r="F19" i="14" s="1"/>
  <c r="G18" i="14"/>
  <c r="F18" i="14"/>
  <c r="D17" i="14"/>
  <c r="F17" i="14" s="1"/>
  <c r="L16" i="14"/>
  <c r="G16" i="14"/>
  <c r="F16" i="14"/>
  <c r="F15" i="14"/>
  <c r="F14" i="14"/>
  <c r="D14" i="14"/>
  <c r="F13" i="14"/>
  <c r="D13" i="14"/>
  <c r="F12" i="14"/>
  <c r="D11" i="14"/>
  <c r="F11" i="14" s="1"/>
  <c r="F10" i="14"/>
  <c r="F54" i="13"/>
  <c r="F53" i="13"/>
  <c r="F52" i="13"/>
  <c r="F51" i="13"/>
  <c r="F50" i="13"/>
  <c r="F48" i="13"/>
  <c r="D47" i="13"/>
  <c r="F47" i="13" s="1"/>
  <c r="G46" i="13"/>
  <c r="F46" i="13"/>
  <c r="D45" i="13"/>
  <c r="F45" i="13" s="1"/>
  <c r="G44" i="13"/>
  <c r="F44" i="13"/>
  <c r="D43" i="13"/>
  <c r="F43" i="13" s="1"/>
  <c r="G42" i="13"/>
  <c r="F42" i="13"/>
  <c r="F41" i="13"/>
  <c r="D41" i="13"/>
  <c r="F40" i="13"/>
  <c r="D40" i="13"/>
  <c r="F39" i="13"/>
  <c r="F38" i="13"/>
  <c r="D38" i="13"/>
  <c r="F36" i="13"/>
  <c r="F35" i="13"/>
  <c r="D35" i="13"/>
  <c r="F34" i="13"/>
  <c r="D33" i="13"/>
  <c r="F33" i="13" s="1"/>
  <c r="G32" i="13"/>
  <c r="F32" i="13"/>
  <c r="D31" i="13"/>
  <c r="F31" i="13" s="1"/>
  <c r="L30" i="13"/>
  <c r="G30" i="13"/>
  <c r="F30" i="13"/>
  <c r="F29" i="13"/>
  <c r="D28" i="13"/>
  <c r="F28" i="13" s="1"/>
  <c r="G27" i="13"/>
  <c r="F27" i="13"/>
  <c r="D26" i="13"/>
  <c r="F26" i="13" s="1"/>
  <c r="L25" i="13"/>
  <c r="G25" i="13"/>
  <c r="F25" i="13"/>
  <c r="F24" i="13"/>
  <c r="G23" i="13"/>
  <c r="D23" i="13"/>
  <c r="F23" i="13" s="1"/>
  <c r="D22" i="13"/>
  <c r="F22" i="13" s="1"/>
  <c r="G21" i="13"/>
  <c r="F21" i="13"/>
  <c r="F20" i="13"/>
  <c r="D19" i="13"/>
  <c r="F19" i="13" s="1"/>
  <c r="G18" i="13"/>
  <c r="F18" i="13"/>
  <c r="D17" i="13"/>
  <c r="F17" i="13" s="1"/>
  <c r="L16" i="13"/>
  <c r="G16" i="13"/>
  <c r="F16" i="13"/>
  <c r="F15" i="13"/>
  <c r="F14" i="13"/>
  <c r="D14" i="13"/>
  <c r="F13" i="13"/>
  <c r="D13" i="13"/>
  <c r="F12" i="13"/>
  <c r="D11" i="13"/>
  <c r="F11" i="13" s="1"/>
  <c r="F10" i="13"/>
  <c r="F54" i="12"/>
  <c r="F53" i="12"/>
  <c r="F52" i="12"/>
  <c r="F51" i="12"/>
  <c r="F50" i="12"/>
  <c r="F48" i="12"/>
  <c r="D47" i="12"/>
  <c r="F47" i="12" s="1"/>
  <c r="G46" i="12"/>
  <c r="F46" i="12"/>
  <c r="D45" i="12"/>
  <c r="F45" i="12" s="1"/>
  <c r="G44" i="12"/>
  <c r="F44" i="12"/>
  <c r="D43" i="12"/>
  <c r="F43" i="12" s="1"/>
  <c r="G42" i="12"/>
  <c r="F42" i="12"/>
  <c r="F41" i="12"/>
  <c r="D41" i="12"/>
  <c r="F40" i="12"/>
  <c r="D40" i="12"/>
  <c r="F39" i="12"/>
  <c r="F38" i="12"/>
  <c r="D38" i="12"/>
  <c r="F36" i="12"/>
  <c r="F35" i="12"/>
  <c r="D35" i="12"/>
  <c r="F34" i="12"/>
  <c r="F33" i="12"/>
  <c r="D33" i="12"/>
  <c r="G32" i="12"/>
  <c r="F32" i="12"/>
  <c r="F31" i="12"/>
  <c r="D31" i="12"/>
  <c r="L30" i="12"/>
  <c r="G30" i="12"/>
  <c r="F30" i="12"/>
  <c r="F29" i="12"/>
  <c r="D28" i="12"/>
  <c r="F28" i="12" s="1"/>
  <c r="G27" i="12"/>
  <c r="F27" i="12"/>
  <c r="D26" i="12"/>
  <c r="F26" i="12" s="1"/>
  <c r="L25" i="12"/>
  <c r="G25" i="12"/>
  <c r="F25" i="12"/>
  <c r="F24" i="12"/>
  <c r="G23" i="12"/>
  <c r="D23" i="12"/>
  <c r="F23" i="12" s="1"/>
  <c r="D22" i="12"/>
  <c r="F22" i="12" s="1"/>
  <c r="G21" i="12"/>
  <c r="F21" i="12"/>
  <c r="F20" i="12"/>
  <c r="D19" i="12"/>
  <c r="F19" i="12" s="1"/>
  <c r="G18" i="12"/>
  <c r="F18" i="12"/>
  <c r="D17" i="12"/>
  <c r="F17" i="12" s="1"/>
  <c r="L16" i="12"/>
  <c r="G16" i="12"/>
  <c r="F16" i="12"/>
  <c r="F15" i="12"/>
  <c r="F14" i="12"/>
  <c r="D14" i="12"/>
  <c r="F13" i="12"/>
  <c r="D13" i="12"/>
  <c r="F12" i="12"/>
  <c r="D11" i="12"/>
  <c r="F11" i="12" s="1"/>
  <c r="F10" i="12"/>
  <c r="F54" i="11"/>
  <c r="F53" i="11"/>
  <c r="F52" i="11"/>
  <c r="F51" i="11"/>
  <c r="F50" i="11"/>
  <c r="F48" i="11"/>
  <c r="D47" i="11"/>
  <c r="F47" i="11" s="1"/>
  <c r="G46" i="11"/>
  <c r="F46" i="11"/>
  <c r="D45" i="11"/>
  <c r="F45" i="11" s="1"/>
  <c r="G44" i="11"/>
  <c r="F44" i="11"/>
  <c r="D43" i="11"/>
  <c r="F43" i="11" s="1"/>
  <c r="G42" i="11"/>
  <c r="F42" i="11"/>
  <c r="F41" i="11"/>
  <c r="D41" i="11"/>
  <c r="F40" i="11"/>
  <c r="D40" i="11"/>
  <c r="F39" i="11"/>
  <c r="F38" i="11"/>
  <c r="D38" i="11"/>
  <c r="F36" i="11"/>
  <c r="F35" i="11"/>
  <c r="D35" i="11"/>
  <c r="F34" i="11"/>
  <c r="D33" i="11"/>
  <c r="F33" i="11" s="1"/>
  <c r="G32" i="11"/>
  <c r="F32" i="11"/>
  <c r="D31" i="11"/>
  <c r="F31" i="11" s="1"/>
  <c r="G30" i="11"/>
  <c r="F30" i="11"/>
  <c r="F29" i="11"/>
  <c r="D28" i="11"/>
  <c r="F28" i="11" s="1"/>
  <c r="G27" i="11"/>
  <c r="F27" i="11"/>
  <c r="D26" i="11"/>
  <c r="F26" i="11" s="1"/>
  <c r="L25" i="11"/>
  <c r="G25" i="11"/>
  <c r="F25" i="11"/>
  <c r="F24" i="11"/>
  <c r="G23" i="11"/>
  <c r="D23" i="11"/>
  <c r="F23" i="11" s="1"/>
  <c r="D22" i="11"/>
  <c r="F22" i="11" s="1"/>
  <c r="G21" i="11"/>
  <c r="F21" i="11"/>
  <c r="F20" i="11"/>
  <c r="D19" i="11"/>
  <c r="F19" i="11" s="1"/>
  <c r="G18" i="11"/>
  <c r="F18" i="11"/>
  <c r="D17" i="11"/>
  <c r="F17" i="11" s="1"/>
  <c r="L16" i="11"/>
  <c r="G16" i="11"/>
  <c r="F16" i="11"/>
  <c r="F15" i="11"/>
  <c r="F14" i="11"/>
  <c r="D14" i="11"/>
  <c r="F13" i="11"/>
  <c r="D13" i="11"/>
  <c r="F12" i="11"/>
  <c r="D11" i="11"/>
  <c r="F11" i="11" s="1"/>
  <c r="F10" i="11"/>
  <c r="F54" i="10"/>
  <c r="F53" i="10"/>
  <c r="F52" i="10"/>
  <c r="F51" i="10"/>
  <c r="F50" i="10"/>
  <c r="F48" i="10"/>
  <c r="D47" i="10"/>
  <c r="F47" i="10" s="1"/>
  <c r="G46" i="10"/>
  <c r="F46" i="10"/>
  <c r="D45" i="10"/>
  <c r="F45" i="10" s="1"/>
  <c r="G44" i="10"/>
  <c r="F44" i="10"/>
  <c r="D43" i="10"/>
  <c r="F43" i="10" s="1"/>
  <c r="G42" i="10"/>
  <c r="F42" i="10"/>
  <c r="F41" i="10"/>
  <c r="D41" i="10"/>
  <c r="F40" i="10"/>
  <c r="D40" i="10"/>
  <c r="F39" i="10"/>
  <c r="F38" i="10"/>
  <c r="D38" i="10"/>
  <c r="F36" i="10"/>
  <c r="F35" i="10"/>
  <c r="D35" i="10"/>
  <c r="F34" i="10"/>
  <c r="F33" i="10"/>
  <c r="D33" i="10"/>
  <c r="G32" i="10"/>
  <c r="F32" i="10"/>
  <c r="F31" i="10"/>
  <c r="D31" i="10"/>
  <c r="L30" i="10"/>
  <c r="G30" i="10"/>
  <c r="F30" i="10"/>
  <c r="F29" i="10"/>
  <c r="D28" i="10"/>
  <c r="F28" i="10" s="1"/>
  <c r="G27" i="10"/>
  <c r="F27" i="10"/>
  <c r="D26" i="10"/>
  <c r="F26" i="10" s="1"/>
  <c r="L25" i="10"/>
  <c r="G25" i="10"/>
  <c r="F25" i="10"/>
  <c r="F24" i="10"/>
  <c r="G23" i="10"/>
  <c r="D23" i="10"/>
  <c r="F23" i="10" s="1"/>
  <c r="D22" i="10"/>
  <c r="F22" i="10" s="1"/>
  <c r="G21" i="10"/>
  <c r="F21" i="10"/>
  <c r="F20" i="10"/>
  <c r="D19" i="10"/>
  <c r="F19" i="10" s="1"/>
  <c r="G18" i="10"/>
  <c r="F18" i="10"/>
  <c r="D17" i="10"/>
  <c r="F17" i="10" s="1"/>
  <c r="L16" i="10"/>
  <c r="G16" i="10"/>
  <c r="F16" i="10"/>
  <c r="F15" i="10"/>
  <c r="F14" i="10"/>
  <c r="D14" i="10"/>
  <c r="F13" i="10"/>
  <c r="D13" i="10"/>
  <c r="F12" i="10"/>
  <c r="D11" i="10"/>
  <c r="F11" i="10" s="1"/>
  <c r="F10" i="10"/>
  <c r="F54" i="9"/>
  <c r="F53" i="9"/>
  <c r="F52" i="9"/>
  <c r="F51" i="9"/>
  <c r="F50" i="9"/>
  <c r="F48" i="9"/>
  <c r="D47" i="9"/>
  <c r="F47" i="9" s="1"/>
  <c r="G46" i="9"/>
  <c r="F46" i="9"/>
  <c r="D45" i="9"/>
  <c r="F45" i="9" s="1"/>
  <c r="G44" i="9"/>
  <c r="F44" i="9"/>
  <c r="D43" i="9"/>
  <c r="F43" i="9" s="1"/>
  <c r="G42" i="9"/>
  <c r="F42" i="9"/>
  <c r="F41" i="9"/>
  <c r="D41" i="9"/>
  <c r="F40" i="9"/>
  <c r="D40" i="9"/>
  <c r="F39" i="9"/>
  <c r="F38" i="9"/>
  <c r="D38" i="9"/>
  <c r="F36" i="9"/>
  <c r="F35" i="9"/>
  <c r="D35" i="9"/>
  <c r="F34" i="9"/>
  <c r="D33" i="9"/>
  <c r="F33" i="9" s="1"/>
  <c r="G32" i="9"/>
  <c r="F32" i="9"/>
  <c r="D31" i="9"/>
  <c r="F31" i="9" s="1"/>
  <c r="L30" i="9"/>
  <c r="G30" i="9"/>
  <c r="F30" i="9"/>
  <c r="F29" i="9"/>
  <c r="D28" i="9"/>
  <c r="F28" i="9" s="1"/>
  <c r="G27" i="9"/>
  <c r="F27" i="9"/>
  <c r="D26" i="9"/>
  <c r="F26" i="9" s="1"/>
  <c r="L25" i="9"/>
  <c r="G25" i="9"/>
  <c r="F25" i="9"/>
  <c r="F24" i="9"/>
  <c r="G23" i="9"/>
  <c r="D23" i="9"/>
  <c r="F23" i="9" s="1"/>
  <c r="D22" i="9"/>
  <c r="F22" i="9" s="1"/>
  <c r="G21" i="9"/>
  <c r="F21" i="9"/>
  <c r="F20" i="9"/>
  <c r="D19" i="9"/>
  <c r="F19" i="9" s="1"/>
  <c r="G18" i="9"/>
  <c r="F18" i="9"/>
  <c r="D17" i="9"/>
  <c r="F17" i="9" s="1"/>
  <c r="L16" i="9"/>
  <c r="G16" i="9"/>
  <c r="F16" i="9"/>
  <c r="F15" i="9"/>
  <c r="F14" i="9"/>
  <c r="D14" i="9"/>
  <c r="F13" i="9"/>
  <c r="D13" i="9"/>
  <c r="F12" i="9"/>
  <c r="D11" i="9"/>
  <c r="F11" i="9" s="1"/>
  <c r="F10" i="9"/>
  <c r="F54" i="8"/>
  <c r="F53" i="8"/>
  <c r="F52" i="8"/>
  <c r="F51" i="8"/>
  <c r="F50" i="8"/>
  <c r="F48" i="8"/>
  <c r="D47" i="8"/>
  <c r="F47" i="8" s="1"/>
  <c r="G46" i="8"/>
  <c r="F46" i="8"/>
  <c r="D45" i="8"/>
  <c r="F45" i="8" s="1"/>
  <c r="G44" i="8"/>
  <c r="F44" i="8"/>
  <c r="D43" i="8"/>
  <c r="F43" i="8" s="1"/>
  <c r="G42" i="8"/>
  <c r="F42" i="8"/>
  <c r="F41" i="8"/>
  <c r="D41" i="8"/>
  <c r="F40" i="8"/>
  <c r="D40" i="8"/>
  <c r="F39" i="8"/>
  <c r="F38" i="8"/>
  <c r="D38" i="8"/>
  <c r="F36" i="8"/>
  <c r="F35" i="8"/>
  <c r="D35" i="8"/>
  <c r="F34" i="8"/>
  <c r="D33" i="8"/>
  <c r="F33" i="8" s="1"/>
  <c r="G32" i="8"/>
  <c r="F32" i="8"/>
  <c r="D31" i="8"/>
  <c r="F31" i="8" s="1"/>
  <c r="L30" i="8"/>
  <c r="G30" i="8"/>
  <c r="F30" i="8"/>
  <c r="F29" i="8"/>
  <c r="D28" i="8"/>
  <c r="F28" i="8" s="1"/>
  <c r="G27" i="8"/>
  <c r="F27" i="8"/>
  <c r="D26" i="8"/>
  <c r="F26" i="8" s="1"/>
  <c r="L25" i="8"/>
  <c r="G25" i="8"/>
  <c r="F25" i="8"/>
  <c r="F24" i="8"/>
  <c r="G23" i="8"/>
  <c r="D23" i="8"/>
  <c r="F23" i="8" s="1"/>
  <c r="D22" i="8"/>
  <c r="F22" i="8" s="1"/>
  <c r="G21" i="8"/>
  <c r="F21" i="8"/>
  <c r="F20" i="8"/>
  <c r="D19" i="8"/>
  <c r="F19" i="8" s="1"/>
  <c r="G18" i="8"/>
  <c r="F18" i="8"/>
  <c r="D17" i="8"/>
  <c r="F17" i="8" s="1"/>
  <c r="L16" i="8"/>
  <c r="G16" i="8"/>
  <c r="F16" i="8"/>
  <c r="F15" i="8"/>
  <c r="F14" i="8"/>
  <c r="D14" i="8"/>
  <c r="F13" i="8"/>
  <c r="D13" i="8"/>
  <c r="F12" i="8"/>
  <c r="D11" i="8"/>
  <c r="F11" i="8" s="1"/>
  <c r="F10" i="8"/>
  <c r="L30" i="24" l="1"/>
  <c r="L30" i="32"/>
  <c r="L30" i="25"/>
  <c r="L30" i="11"/>
  <c r="L21" i="11"/>
  <c r="L21" i="13"/>
  <c r="L21" i="14"/>
  <c r="L21" i="15"/>
  <c r="L21" i="21"/>
  <c r="L21" i="18"/>
  <c r="L21" i="17"/>
  <c r="L21" i="26"/>
  <c r="L21" i="28"/>
  <c r="L21" i="29"/>
  <c r="L21" i="30"/>
  <c r="L21" i="31"/>
  <c r="L21" i="35"/>
  <c r="L21" i="9"/>
  <c r="L21" i="10"/>
  <c r="L21" i="20"/>
  <c r="L21" i="23"/>
  <c r="L21" i="32"/>
  <c r="L21" i="33"/>
  <c r="L21" i="12"/>
  <c r="L21" i="16"/>
  <c r="L21" i="24"/>
  <c r="L21" i="27"/>
  <c r="L21" i="36"/>
  <c r="L21" i="22"/>
  <c r="L21" i="19"/>
  <c r="L21" i="25"/>
  <c r="L21" i="34"/>
  <c r="L21" i="8"/>
  <c r="F54" i="7"/>
  <c r="F53" i="7"/>
  <c r="F52" i="7"/>
  <c r="F51" i="7"/>
  <c r="F50" i="7"/>
  <c r="G46" i="7"/>
  <c r="G44" i="7"/>
  <c r="G42" i="7"/>
  <c r="F48" i="7"/>
  <c r="F41" i="7"/>
  <c r="F40" i="7"/>
  <c r="D41" i="7"/>
  <c r="D40" i="7"/>
  <c r="D47" i="7"/>
  <c r="F47" i="7" s="1"/>
  <c r="F46" i="7"/>
  <c r="D45" i="7"/>
  <c r="F45" i="7" s="1"/>
  <c r="F44" i="7"/>
  <c r="D43" i="7"/>
  <c r="F43" i="7" s="1"/>
  <c r="F42" i="7"/>
  <c r="F39" i="7"/>
  <c r="F38" i="7"/>
  <c r="D38" i="7"/>
  <c r="F36" i="7"/>
  <c r="F35" i="7"/>
  <c r="D35" i="7"/>
  <c r="D33" i="7"/>
  <c r="F33" i="7" s="1"/>
  <c r="D31" i="7"/>
  <c r="F31" i="7" s="1"/>
  <c r="F34" i="7"/>
  <c r="G32" i="7"/>
  <c r="F32" i="7"/>
  <c r="G30" i="7"/>
  <c r="L30" i="7" s="1"/>
  <c r="F30" i="7"/>
  <c r="L16" i="7"/>
  <c r="G16" i="7" l="1"/>
  <c r="G18" i="7"/>
  <c r="G21" i="7"/>
  <c r="G25" i="7"/>
  <c r="L25" i="7" s="1"/>
  <c r="G27" i="7"/>
  <c r="G23" i="7"/>
  <c r="F29" i="7"/>
  <c r="D28" i="7"/>
  <c r="F28" i="7" s="1"/>
  <c r="F27" i="7"/>
  <c r="D26" i="7"/>
  <c r="F26" i="7" s="1"/>
  <c r="F25" i="7"/>
  <c r="F24" i="7" l="1"/>
  <c r="D23" i="7"/>
  <c r="F23" i="7" s="1"/>
  <c r="D22" i="7"/>
  <c r="F22" i="7" s="1"/>
  <c r="F21" i="7"/>
  <c r="F20" i="7"/>
  <c r="D19" i="7"/>
  <c r="F19" i="7" s="1"/>
  <c r="F18" i="7"/>
  <c r="D17" i="7"/>
  <c r="F17" i="7" s="1"/>
  <c r="F16" i="7"/>
  <c r="F15" i="7" l="1"/>
  <c r="F14" i="7"/>
  <c r="D14" i="7"/>
  <c r="F13" i="7"/>
  <c r="D13" i="7"/>
  <c r="F12" i="7"/>
  <c r="D11" i="7"/>
  <c r="F11" i="7" s="1"/>
  <c r="F10" i="7"/>
  <c r="E3" i="2"/>
  <c r="AG17" i="2"/>
  <c r="AH17" i="2"/>
  <c r="AI17" i="2"/>
  <c r="AJ17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AF17" i="2"/>
  <c r="AE17" i="2"/>
  <c r="AD17" i="2"/>
  <c r="AC17" i="2"/>
  <c r="AB17" i="2"/>
  <c r="AA17" i="2"/>
  <c r="Z17" i="2"/>
  <c r="Y17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G25" i="3"/>
  <c r="N192" i="5" a="1"/>
  <c r="N192" i="5" s="1"/>
  <c r="N193" i="5" a="1"/>
  <c r="N193" i="5" s="1"/>
  <c r="N194" i="5" a="1"/>
  <c r="N194" i="5" s="1"/>
  <c r="N195" i="5" a="1"/>
  <c r="N195" i="5" s="1"/>
  <c r="N196" i="5" a="1"/>
  <c r="N196" i="5" s="1"/>
  <c r="N198" i="5" a="1"/>
  <c r="N198" i="5" s="1"/>
  <c r="N199" i="5" a="1"/>
  <c r="N199" i="5" s="1"/>
  <c r="N200" i="5" a="1"/>
  <c r="N200" i="5" s="1"/>
  <c r="N201" i="5" a="1"/>
  <c r="N201" i="5" s="1"/>
  <c r="N202" i="5" a="1"/>
  <c r="N202" i="5" s="1"/>
  <c r="N204" i="5" a="1"/>
  <c r="N204" i="5" s="1"/>
  <c r="N205" i="5" a="1"/>
  <c r="N205" i="5" s="1"/>
  <c r="N206" i="5" a="1"/>
  <c r="N206" i="5" s="1"/>
  <c r="N207" i="5" a="1"/>
  <c r="N207" i="5" s="1"/>
  <c r="N208" i="5" a="1"/>
  <c r="N208" i="5" s="1"/>
  <c r="N210" i="5" a="1"/>
  <c r="N210" i="5" s="1"/>
  <c r="N211" i="5" a="1"/>
  <c r="N211" i="5" s="1"/>
  <c r="N212" i="5" a="1"/>
  <c r="N212" i="5" s="1"/>
  <c r="N213" i="5" a="1"/>
  <c r="N213" i="5" s="1"/>
  <c r="N214" i="5" a="1"/>
  <c r="N214" i="5" s="1"/>
  <c r="N216" i="5" a="1"/>
  <c r="N216" i="5" s="1"/>
  <c r="N217" i="5" a="1"/>
  <c r="N217" i="5" s="1"/>
  <c r="N218" i="5" a="1"/>
  <c r="N218" i="5" s="1"/>
  <c r="N219" i="5" a="1"/>
  <c r="N219" i="5" s="1"/>
  <c r="N190" i="5" a="1"/>
  <c r="N190" i="5" s="1"/>
  <c r="B183" i="5"/>
  <c r="B177" i="5"/>
  <c r="B171" i="5"/>
  <c r="B165" i="5"/>
  <c r="B159" i="5"/>
  <c r="B153" i="5"/>
  <c r="B147" i="5"/>
  <c r="B141" i="5"/>
  <c r="B135" i="5"/>
  <c r="B129" i="5"/>
  <c r="B123" i="5"/>
  <c r="B117" i="5"/>
  <c r="B111" i="5"/>
  <c r="B105" i="5"/>
  <c r="F3" i="36"/>
  <c r="F3" i="35"/>
  <c r="F3" i="34"/>
  <c r="F3" i="33"/>
  <c r="F3" i="32"/>
  <c r="F3" i="31"/>
  <c r="F3" i="30"/>
  <c r="F3" i="29"/>
  <c r="F3" i="28"/>
  <c r="F3" i="27"/>
  <c r="F3" i="26"/>
  <c r="F3" i="25"/>
  <c r="F3" i="24"/>
  <c r="F3" i="23"/>
  <c r="B99" i="5"/>
  <c r="B93" i="5"/>
  <c r="B87" i="5"/>
  <c r="B81" i="5"/>
  <c r="B75" i="5"/>
  <c r="B69" i="5"/>
  <c r="B63" i="5"/>
  <c r="B57" i="5"/>
  <c r="B51" i="5"/>
  <c r="B45" i="5"/>
  <c r="B39" i="5"/>
  <c r="B33" i="5"/>
  <c r="B27" i="5"/>
  <c r="B21" i="5"/>
  <c r="B15" i="5"/>
  <c r="B9" i="5"/>
  <c r="C4" i="35" l="1"/>
  <c r="C4" i="34"/>
  <c r="C4" i="31"/>
  <c r="C4" i="27"/>
  <c r="C4" i="25"/>
  <c r="C4" i="16"/>
  <c r="C4" i="12"/>
  <c r="C4" i="10"/>
  <c r="C4" i="33"/>
  <c r="C4" i="28"/>
  <c r="C4" i="19"/>
  <c r="C4" i="30"/>
  <c r="C4" i="26"/>
  <c r="C4" i="24"/>
  <c r="C4" i="18"/>
  <c r="C4" i="15"/>
  <c r="C4" i="29"/>
  <c r="C4" i="23"/>
  <c r="C4" i="20"/>
  <c r="C4" i="22"/>
  <c r="C4" i="14"/>
  <c r="C4" i="36"/>
  <c r="C4" i="32"/>
  <c r="C4" i="17"/>
  <c r="C4" i="21"/>
  <c r="C4" i="9"/>
  <c r="C4" i="13"/>
  <c r="C4" i="11"/>
  <c r="L38" i="19"/>
  <c r="L35" i="19"/>
  <c r="G54" i="36"/>
  <c r="G52" i="36"/>
  <c r="G50" i="36"/>
  <c r="G54" i="35"/>
  <c r="G52" i="35"/>
  <c r="G50" i="35"/>
  <c r="G54" i="32"/>
  <c r="G52" i="32"/>
  <c r="G50" i="32"/>
  <c r="G54" i="31"/>
  <c r="G52" i="31"/>
  <c r="G50" i="31"/>
  <c r="G53" i="29"/>
  <c r="G51" i="29"/>
  <c r="G54" i="27"/>
  <c r="G52" i="27"/>
  <c r="G50" i="27"/>
  <c r="G53" i="25"/>
  <c r="G51" i="25"/>
  <c r="G53" i="23"/>
  <c r="G51" i="23"/>
  <c r="G54" i="20"/>
  <c r="G52" i="20"/>
  <c r="G50" i="20"/>
  <c r="G54" i="16"/>
  <c r="G52" i="16"/>
  <c r="G50" i="16"/>
  <c r="G53" i="22"/>
  <c r="G51" i="22"/>
  <c r="G54" i="15"/>
  <c r="G52" i="15"/>
  <c r="G50" i="15"/>
  <c r="G53" i="14"/>
  <c r="G51" i="14"/>
  <c r="G54" i="12"/>
  <c r="G52" i="12"/>
  <c r="G50" i="12"/>
  <c r="G54" i="10"/>
  <c r="G52" i="10"/>
  <c r="G50" i="10"/>
  <c r="G51" i="34"/>
  <c r="G51" i="33"/>
  <c r="G53" i="30"/>
  <c r="G54" i="28"/>
  <c r="G50" i="28"/>
  <c r="G53" i="26"/>
  <c r="G51" i="24"/>
  <c r="G52" i="19"/>
  <c r="G50" i="19"/>
  <c r="G52" i="17"/>
  <c r="G53" i="18"/>
  <c r="G52" i="21"/>
  <c r="G54" i="34"/>
  <c r="G52" i="34"/>
  <c r="G50" i="34"/>
  <c r="G54" i="33"/>
  <c r="G52" i="33"/>
  <c r="G50" i="33"/>
  <c r="G54" i="30"/>
  <c r="G52" i="30"/>
  <c r="G50" i="30"/>
  <c r="G53" i="28"/>
  <c r="G51" i="28"/>
  <c r="G54" i="26"/>
  <c r="G52" i="26"/>
  <c r="G50" i="26"/>
  <c r="G54" i="24"/>
  <c r="G52" i="24"/>
  <c r="G50" i="24"/>
  <c r="G53" i="19"/>
  <c r="G51" i="19"/>
  <c r="G53" i="17"/>
  <c r="G51" i="17"/>
  <c r="G54" i="18"/>
  <c r="G52" i="18"/>
  <c r="G50" i="18"/>
  <c r="G53" i="21"/>
  <c r="G51" i="21"/>
  <c r="G53" i="13"/>
  <c r="G51" i="13"/>
  <c r="G54" i="11"/>
  <c r="G52" i="11"/>
  <c r="G50" i="11"/>
  <c r="G54" i="9"/>
  <c r="G52" i="9"/>
  <c r="G50" i="9"/>
  <c r="G53" i="36"/>
  <c r="G51" i="36"/>
  <c r="G53" i="35"/>
  <c r="G51" i="35"/>
  <c r="G53" i="32"/>
  <c r="G51" i="32"/>
  <c r="G53" i="31"/>
  <c r="G51" i="31"/>
  <c r="G54" i="29"/>
  <c r="G52" i="29"/>
  <c r="G50" i="29"/>
  <c r="G53" i="27"/>
  <c r="G51" i="27"/>
  <c r="G54" i="25"/>
  <c r="G52" i="25"/>
  <c r="G50" i="25"/>
  <c r="G54" i="23"/>
  <c r="G52" i="23"/>
  <c r="G50" i="23"/>
  <c r="G53" i="20"/>
  <c r="G51" i="20"/>
  <c r="G53" i="16"/>
  <c r="G51" i="16"/>
  <c r="G54" i="22"/>
  <c r="G52" i="22"/>
  <c r="G50" i="22"/>
  <c r="G53" i="15"/>
  <c r="G51" i="15"/>
  <c r="G54" i="14"/>
  <c r="G52" i="14"/>
  <c r="G50" i="14"/>
  <c r="G53" i="12"/>
  <c r="G51" i="12"/>
  <c r="G53" i="10"/>
  <c r="G51" i="10"/>
  <c r="G53" i="34"/>
  <c r="G53" i="33"/>
  <c r="G51" i="30"/>
  <c r="G52" i="28"/>
  <c r="G51" i="26"/>
  <c r="G53" i="24"/>
  <c r="G54" i="19"/>
  <c r="G54" i="17"/>
  <c r="G50" i="17"/>
  <c r="G51" i="18"/>
  <c r="G54" i="21"/>
  <c r="G50" i="21"/>
  <c r="G50" i="13"/>
  <c r="G53" i="11"/>
  <c r="G52" i="13"/>
  <c r="G54" i="13"/>
  <c r="G51" i="9"/>
  <c r="G53" i="9"/>
  <c r="G51" i="11"/>
  <c r="N178" i="5" a="1"/>
  <c r="N178" i="5" s="1"/>
  <c r="G54" i="8"/>
  <c r="H54" i="8" s="1"/>
  <c r="G52" i="8"/>
  <c r="H52" i="8" s="1"/>
  <c r="G50" i="8"/>
  <c r="H50" i="8" s="1"/>
  <c r="G53" i="8"/>
  <c r="H53" i="8" s="1"/>
  <c r="G51" i="8"/>
  <c r="H51" i="8" s="1"/>
  <c r="N82" i="5" a="1"/>
  <c r="N82" i="5" s="1"/>
  <c r="C4" i="8"/>
  <c r="N10" i="5" a="1"/>
  <c r="N10" i="5" s="1"/>
  <c r="G52" i="7"/>
  <c r="H52" i="7" s="1"/>
  <c r="G51" i="7"/>
  <c r="H51" i="7" s="1"/>
  <c r="G53" i="7"/>
  <c r="H53" i="7" s="1"/>
  <c r="G50" i="7"/>
  <c r="H50" i="7" s="1"/>
  <c r="G54" i="7"/>
  <c r="H54" i="7" s="1"/>
  <c r="N146" i="5" a="1"/>
  <c r="N146" i="5" s="1"/>
  <c r="N114" i="5" a="1"/>
  <c r="N114" i="5" s="1"/>
  <c r="N175" i="5" a="1"/>
  <c r="N175" i="5" s="1"/>
  <c r="N143" i="5" a="1"/>
  <c r="N143" i="5" s="1"/>
  <c r="N111" i="5" a="1"/>
  <c r="N111" i="5" s="1"/>
  <c r="N162" i="5" a="1"/>
  <c r="N162" i="5" s="1"/>
  <c r="N130" i="5" a="1"/>
  <c r="N130" i="5" s="1"/>
  <c r="N98" i="5" a="1"/>
  <c r="N98" i="5" s="1"/>
  <c r="N9" i="5" a="1"/>
  <c r="N9" i="5" s="1"/>
  <c r="N159" i="5" a="1"/>
  <c r="N159" i="5" s="1"/>
  <c r="N127" i="5" a="1"/>
  <c r="N127" i="5" s="1"/>
  <c r="N95" i="5" a="1"/>
  <c r="N95" i="5" s="1"/>
  <c r="N186" i="5" a="1"/>
  <c r="N186" i="5" s="1"/>
  <c r="N169" i="5" a="1"/>
  <c r="N169" i="5" s="1"/>
  <c r="N153" i="5" a="1"/>
  <c r="N153" i="5" s="1"/>
  <c r="N137" i="5" a="1"/>
  <c r="N137" i="5" s="1"/>
  <c r="N121" i="5" a="1"/>
  <c r="N121" i="5" s="1"/>
  <c r="N105" i="5" a="1"/>
  <c r="N105" i="5" s="1"/>
  <c r="N89" i="5" a="1"/>
  <c r="N89" i="5" s="1"/>
  <c r="N181" i="5" a="1"/>
  <c r="N181" i="5" s="1"/>
  <c r="N165" i="5" a="1"/>
  <c r="N165" i="5" s="1"/>
  <c r="N149" i="5" a="1"/>
  <c r="N149" i="5" s="1"/>
  <c r="N133" i="5" a="1"/>
  <c r="N133" i="5" s="1"/>
  <c r="N117" i="5" a="1"/>
  <c r="N117" i="5" s="1"/>
  <c r="N101" i="5" a="1"/>
  <c r="N101" i="5" s="1"/>
  <c r="N85" i="5" a="1"/>
  <c r="N85" i="5" s="1"/>
  <c r="N182" i="5" a="1"/>
  <c r="N182" i="5" s="1"/>
  <c r="N173" i="5" a="1"/>
  <c r="N173" i="5" s="1"/>
  <c r="N167" i="5" a="1"/>
  <c r="N167" i="5" s="1"/>
  <c r="N157" i="5" a="1"/>
  <c r="N157" i="5" s="1"/>
  <c r="N151" i="5" a="1"/>
  <c r="N151" i="5" s="1"/>
  <c r="N141" i="5" a="1"/>
  <c r="N141" i="5" s="1"/>
  <c r="N135" i="5" a="1"/>
  <c r="N135" i="5" s="1"/>
  <c r="N125" i="5" a="1"/>
  <c r="N125" i="5" s="1"/>
  <c r="N119" i="5" a="1"/>
  <c r="N119" i="5" s="1"/>
  <c r="N109" i="5" a="1"/>
  <c r="N109" i="5" s="1"/>
  <c r="N103" i="5" a="1"/>
  <c r="N103" i="5" s="1"/>
  <c r="N93" i="5" a="1"/>
  <c r="N93" i="5" s="1"/>
  <c r="N90" i="5" a="1"/>
  <c r="N90" i="5" s="1"/>
  <c r="N87" i="5" a="1"/>
  <c r="N87" i="5" s="1"/>
  <c r="N81" i="5" a="1"/>
  <c r="N81" i="5" s="1"/>
  <c r="N77" i="5" a="1"/>
  <c r="N77" i="5" s="1"/>
  <c r="N74" i="5" a="1"/>
  <c r="N74" i="5" s="1"/>
  <c r="N71" i="5" a="1"/>
  <c r="N71" i="5" s="1"/>
  <c r="N65" i="5" a="1"/>
  <c r="N65" i="5" s="1"/>
  <c r="N61" i="5" a="1"/>
  <c r="N61" i="5" s="1"/>
  <c r="N58" i="5" a="1"/>
  <c r="N58" i="5" s="1"/>
  <c r="N55" i="5" a="1"/>
  <c r="N55" i="5" s="1"/>
  <c r="N49" i="5" a="1"/>
  <c r="N49" i="5" s="1"/>
  <c r="N45" i="5" a="1"/>
  <c r="N45" i="5" s="1"/>
  <c r="N42" i="5" a="1"/>
  <c r="N42" i="5" s="1"/>
  <c r="N39" i="5" a="1"/>
  <c r="N39" i="5" s="1"/>
  <c r="N33" i="5" a="1"/>
  <c r="N33" i="5" s="1"/>
  <c r="N29" i="5" a="1"/>
  <c r="N29" i="5" s="1"/>
  <c r="N26" i="5" a="1"/>
  <c r="N26" i="5" s="1"/>
  <c r="N23" i="5" a="1"/>
  <c r="N23" i="5" s="1"/>
  <c r="N19" i="5" a="1"/>
  <c r="N19" i="5" s="1"/>
  <c r="N16" i="5" a="1"/>
  <c r="N16" i="5" s="1"/>
  <c r="N12" i="5" a="1"/>
  <c r="N12" i="5" s="1"/>
  <c r="N185" i="5" a="1"/>
  <c r="N185" i="5" s="1"/>
  <c r="N177" i="5" a="1"/>
  <c r="N177" i="5" s="1"/>
  <c r="N170" i="5" a="1"/>
  <c r="N170" i="5" s="1"/>
  <c r="N161" i="5" a="1"/>
  <c r="N161" i="5" s="1"/>
  <c r="N154" i="5" a="1"/>
  <c r="N154" i="5" s="1"/>
  <c r="N145" i="5" a="1"/>
  <c r="N145" i="5" s="1"/>
  <c r="N138" i="5" a="1"/>
  <c r="N138" i="5" s="1"/>
  <c r="N129" i="5" a="1"/>
  <c r="N129" i="5" s="1"/>
  <c r="N122" i="5" a="1"/>
  <c r="N122" i="5" s="1"/>
  <c r="N113" i="5" a="1"/>
  <c r="N113" i="5" s="1"/>
  <c r="N106" i="5" a="1"/>
  <c r="N106" i="5" s="1"/>
  <c r="N97" i="5" a="1"/>
  <c r="N97" i="5" s="1"/>
  <c r="N187" i="5" a="1"/>
  <c r="N187" i="5" s="1"/>
  <c r="N184" i="5" a="1"/>
  <c r="N184" i="5" s="1"/>
  <c r="N179" i="5" a="1"/>
  <c r="N179" i="5" s="1"/>
  <c r="N176" i="5" a="1"/>
  <c r="N176" i="5" s="1"/>
  <c r="N172" i="5" a="1"/>
  <c r="N172" i="5" s="1"/>
  <c r="N166" i="5" a="1"/>
  <c r="N166" i="5" s="1"/>
  <c r="N163" i="5" a="1"/>
  <c r="N163" i="5" s="1"/>
  <c r="N160" i="5" a="1"/>
  <c r="N160" i="5" s="1"/>
  <c r="N156" i="5" a="1"/>
  <c r="N156" i="5" s="1"/>
  <c r="N150" i="5" a="1"/>
  <c r="N150" i="5" s="1"/>
  <c r="N147" i="5" a="1"/>
  <c r="N147" i="5" s="1"/>
  <c r="N144" i="5" a="1"/>
  <c r="N144" i="5" s="1"/>
  <c r="N140" i="5" a="1"/>
  <c r="N140" i="5" s="1"/>
  <c r="N134" i="5" a="1"/>
  <c r="N134" i="5" s="1"/>
  <c r="N131" i="5" a="1"/>
  <c r="N131" i="5" s="1"/>
  <c r="N128" i="5" a="1"/>
  <c r="N128" i="5" s="1"/>
  <c r="N124" i="5" a="1"/>
  <c r="N124" i="5" s="1"/>
  <c r="N118" i="5" a="1"/>
  <c r="N118" i="5" s="1"/>
  <c r="N115" i="5" a="1"/>
  <c r="N115" i="5" s="1"/>
  <c r="N112" i="5" a="1"/>
  <c r="N112" i="5" s="1"/>
  <c r="N108" i="5" a="1"/>
  <c r="N108" i="5" s="1"/>
  <c r="N102" i="5" a="1"/>
  <c r="N102" i="5" s="1"/>
  <c r="N99" i="5" a="1"/>
  <c r="N99" i="5" s="1"/>
  <c r="N96" i="5" a="1"/>
  <c r="N96" i="5" s="1"/>
  <c r="N92" i="5" a="1"/>
  <c r="N92" i="5" s="1"/>
  <c r="N86" i="5" a="1"/>
  <c r="N86" i="5" s="1"/>
  <c r="N83" i="5" a="1"/>
  <c r="N83" i="5" s="1"/>
  <c r="N80" i="5" a="1"/>
  <c r="N80" i="5" s="1"/>
  <c r="N76" i="5" a="1"/>
  <c r="N76" i="5" s="1"/>
  <c r="N70" i="5" a="1"/>
  <c r="N70" i="5" s="1"/>
  <c r="N67" i="5" a="1"/>
  <c r="N67" i="5" s="1"/>
  <c r="N64" i="5" a="1"/>
  <c r="N64" i="5" s="1"/>
  <c r="N60" i="5" a="1"/>
  <c r="N60" i="5" s="1"/>
  <c r="N54" i="5" a="1"/>
  <c r="N54" i="5" s="1"/>
  <c r="N51" i="5" a="1"/>
  <c r="N51" i="5" s="1"/>
  <c r="N48" i="5" a="1"/>
  <c r="N48" i="5" s="1"/>
  <c r="N44" i="5" a="1"/>
  <c r="N44" i="5" s="1"/>
  <c r="N38" i="5" a="1"/>
  <c r="N38" i="5" s="1"/>
  <c r="N35" i="5" a="1"/>
  <c r="N35" i="5" s="1"/>
  <c r="N32" i="5" a="1"/>
  <c r="N32" i="5" s="1"/>
  <c r="N28" i="5" a="1"/>
  <c r="N28" i="5" s="1"/>
  <c r="N22" i="5" a="1"/>
  <c r="N22" i="5" s="1"/>
  <c r="N18" i="5" a="1"/>
  <c r="N18" i="5" s="1"/>
  <c r="N15" i="5" a="1"/>
  <c r="N15" i="5" s="1"/>
  <c r="N79" i="5" a="1"/>
  <c r="N79" i="5" s="1"/>
  <c r="N69" i="5" a="1"/>
  <c r="N69" i="5" s="1"/>
  <c r="N63" i="5" a="1"/>
  <c r="N63" i="5" s="1"/>
  <c r="N53" i="5" a="1"/>
  <c r="N53" i="5" s="1"/>
  <c r="N50" i="5" a="1"/>
  <c r="N50" i="5" s="1"/>
  <c r="N47" i="5" a="1"/>
  <c r="N47" i="5" s="1"/>
  <c r="N41" i="5" a="1"/>
  <c r="N41" i="5" s="1"/>
  <c r="N37" i="5" a="1"/>
  <c r="N37" i="5" s="1"/>
  <c r="N34" i="5" a="1"/>
  <c r="N34" i="5" s="1"/>
  <c r="N31" i="5" a="1"/>
  <c r="N31" i="5" s="1"/>
  <c r="N25" i="5" a="1"/>
  <c r="N25" i="5" s="1"/>
  <c r="N21" i="5" a="1"/>
  <c r="N21" i="5" s="1"/>
  <c r="N14" i="5" a="1"/>
  <c r="N14" i="5" s="1"/>
  <c r="N11" i="5" a="1"/>
  <c r="N11" i="5" s="1"/>
  <c r="N73" i="5" a="1"/>
  <c r="N73" i="5" s="1"/>
  <c r="N66" i="5" a="1"/>
  <c r="N66" i="5" s="1"/>
  <c r="N57" i="5" a="1"/>
  <c r="N57" i="5" s="1"/>
  <c r="N188" i="5" a="1"/>
  <c r="N188" i="5" s="1"/>
  <c r="N183" i="5" a="1"/>
  <c r="N183" i="5" s="1"/>
  <c r="N180" i="5" a="1"/>
  <c r="N180" i="5" s="1"/>
  <c r="N174" i="5" a="1"/>
  <c r="N174" i="5" s="1"/>
  <c r="N171" i="5" a="1"/>
  <c r="N171" i="5" s="1"/>
  <c r="N168" i="5" a="1"/>
  <c r="N168" i="5" s="1"/>
  <c r="N164" i="5" a="1"/>
  <c r="N164" i="5" s="1"/>
  <c r="N158" i="5" a="1"/>
  <c r="N158" i="5" s="1"/>
  <c r="N155" i="5" a="1"/>
  <c r="N155" i="5" s="1"/>
  <c r="N152" i="5" a="1"/>
  <c r="N152" i="5" s="1"/>
  <c r="N148" i="5" a="1"/>
  <c r="N148" i="5" s="1"/>
  <c r="N142" i="5" a="1"/>
  <c r="N142" i="5" s="1"/>
  <c r="N139" i="5" a="1"/>
  <c r="N139" i="5" s="1"/>
  <c r="N136" i="5" a="1"/>
  <c r="N136" i="5" s="1"/>
  <c r="N132" i="5" a="1"/>
  <c r="N132" i="5" s="1"/>
  <c r="N126" i="5" a="1"/>
  <c r="N126" i="5" s="1"/>
  <c r="N123" i="5" a="1"/>
  <c r="N123" i="5" s="1"/>
  <c r="N120" i="5" a="1"/>
  <c r="N120" i="5" s="1"/>
  <c r="N116" i="5" a="1"/>
  <c r="N116" i="5" s="1"/>
  <c r="N110" i="5" a="1"/>
  <c r="N110" i="5" s="1"/>
  <c r="N107" i="5" a="1"/>
  <c r="N107" i="5" s="1"/>
  <c r="N104" i="5" a="1"/>
  <c r="N104" i="5" s="1"/>
  <c r="N100" i="5" a="1"/>
  <c r="N100" i="5" s="1"/>
  <c r="N94" i="5" a="1"/>
  <c r="N94" i="5" s="1"/>
  <c r="N91" i="5" a="1"/>
  <c r="N91" i="5" s="1"/>
  <c r="N88" i="5" a="1"/>
  <c r="N88" i="5" s="1"/>
  <c r="N84" i="5" a="1"/>
  <c r="N84" i="5" s="1"/>
  <c r="N78" i="5" a="1"/>
  <c r="N78" i="5" s="1"/>
  <c r="N75" i="5" a="1"/>
  <c r="N75" i="5" s="1"/>
  <c r="N72" i="5" a="1"/>
  <c r="N72" i="5" s="1"/>
  <c r="N68" i="5" a="1"/>
  <c r="N68" i="5" s="1"/>
  <c r="N62" i="5" a="1"/>
  <c r="N62" i="5" s="1"/>
  <c r="N59" i="5" a="1"/>
  <c r="N59" i="5" s="1"/>
  <c r="N56" i="5" a="1"/>
  <c r="N56" i="5" s="1"/>
  <c r="N52" i="5" a="1"/>
  <c r="N52" i="5" s="1"/>
  <c r="N46" i="5" a="1"/>
  <c r="N46" i="5" s="1"/>
  <c r="N43" i="5" a="1"/>
  <c r="N43" i="5" s="1"/>
  <c r="N40" i="5" a="1"/>
  <c r="N40" i="5" s="1"/>
  <c r="N36" i="5" a="1"/>
  <c r="N36" i="5" s="1"/>
  <c r="N30" i="5" a="1"/>
  <c r="N30" i="5" s="1"/>
  <c r="N27" i="5" a="1"/>
  <c r="N27" i="5" s="1"/>
  <c r="N24" i="5" a="1"/>
  <c r="N24" i="5" s="1"/>
  <c r="N20" i="5" a="1"/>
  <c r="N20" i="5" s="1"/>
  <c r="N17" i="5" a="1"/>
  <c r="N17" i="5" s="1"/>
  <c r="N13" i="5" a="1"/>
  <c r="N13" i="5" s="1"/>
  <c r="G139" i="5"/>
  <c r="G19" i="5"/>
  <c r="G175" i="5"/>
  <c r="G55" i="5"/>
  <c r="G43" i="5"/>
  <c r="G61" i="5"/>
  <c r="G79" i="5"/>
  <c r="G97" i="5"/>
  <c r="G157" i="5"/>
  <c r="G187" i="5"/>
  <c r="G169" i="5"/>
  <c r="G25" i="5"/>
  <c r="G31" i="5"/>
  <c r="G49" i="5"/>
  <c r="G67" i="5"/>
  <c r="G85" i="5"/>
  <c r="G103" i="5"/>
  <c r="G145" i="5"/>
  <c r="G163" i="5"/>
  <c r="G37" i="5"/>
  <c r="G73" i="5"/>
  <c r="G91" i="5"/>
  <c r="G133" i="5"/>
  <c r="G151" i="5"/>
  <c r="G181" i="5"/>
  <c r="L53" i="9" l="1"/>
  <c r="H53" i="9"/>
  <c r="L51" i="9"/>
  <c r="H51" i="9"/>
  <c r="L50" i="9"/>
  <c r="H50" i="9"/>
  <c r="L52" i="9"/>
  <c r="H52" i="9"/>
  <c r="L54" i="9"/>
  <c r="H54" i="9"/>
  <c r="L54" i="10"/>
  <c r="H54" i="10"/>
  <c r="L51" i="10"/>
  <c r="H51" i="10"/>
  <c r="L52" i="10"/>
  <c r="H52" i="10"/>
  <c r="L53" i="10"/>
  <c r="H53" i="10"/>
  <c r="L50" i="10"/>
  <c r="H50" i="10"/>
  <c r="L50" i="11"/>
  <c r="H50" i="11"/>
  <c r="L52" i="11"/>
  <c r="H52" i="11"/>
  <c r="L54" i="11"/>
  <c r="H54" i="11"/>
  <c r="L53" i="11"/>
  <c r="H53" i="11"/>
  <c r="L51" i="11"/>
  <c r="H51" i="11"/>
  <c r="L51" i="12"/>
  <c r="H51" i="12"/>
  <c r="L54" i="12"/>
  <c r="H54" i="12"/>
  <c r="L53" i="12"/>
  <c r="H53" i="12"/>
  <c r="L50" i="12"/>
  <c r="H50" i="12"/>
  <c r="L52" i="12"/>
  <c r="H52" i="12"/>
  <c r="L50" i="13"/>
  <c r="H50" i="13"/>
  <c r="L53" i="13"/>
  <c r="H53" i="13"/>
  <c r="L54" i="13"/>
  <c r="H54" i="13"/>
  <c r="L52" i="13"/>
  <c r="H52" i="13"/>
  <c r="L51" i="13"/>
  <c r="H51" i="13"/>
  <c r="L51" i="14"/>
  <c r="H51" i="14"/>
  <c r="L50" i="14"/>
  <c r="H50" i="14"/>
  <c r="L53" i="14"/>
  <c r="H53" i="14"/>
  <c r="L54" i="14"/>
  <c r="H54" i="14"/>
  <c r="L52" i="14"/>
  <c r="H52" i="14"/>
  <c r="L51" i="15"/>
  <c r="H51" i="15"/>
  <c r="L54" i="15"/>
  <c r="H54" i="15"/>
  <c r="L52" i="15"/>
  <c r="H52" i="15"/>
  <c r="L53" i="15"/>
  <c r="H53" i="15"/>
  <c r="L50" i="15"/>
  <c r="H50" i="15"/>
  <c r="L51" i="21"/>
  <c r="H51" i="21"/>
  <c r="L50" i="21"/>
  <c r="H50" i="21"/>
  <c r="L53" i="21"/>
  <c r="H53" i="21"/>
  <c r="L54" i="21"/>
  <c r="H54" i="21"/>
  <c r="L52" i="21"/>
  <c r="H52" i="21"/>
  <c r="L52" i="22"/>
  <c r="H52" i="22"/>
  <c r="L54" i="22"/>
  <c r="H54" i="22"/>
  <c r="L51" i="22"/>
  <c r="H51" i="22"/>
  <c r="L50" i="22"/>
  <c r="H50" i="22"/>
  <c r="L53" i="22"/>
  <c r="H53" i="22"/>
  <c r="L51" i="18"/>
  <c r="H51" i="18"/>
  <c r="L54" i="18"/>
  <c r="H54" i="18"/>
  <c r="L52" i="18"/>
  <c r="H52" i="18"/>
  <c r="L53" i="18"/>
  <c r="H53" i="18"/>
  <c r="L50" i="18"/>
  <c r="H50" i="18"/>
  <c r="L50" i="16"/>
  <c r="H50" i="16"/>
  <c r="L52" i="16"/>
  <c r="H52" i="16"/>
  <c r="L51" i="16"/>
  <c r="H51" i="16"/>
  <c r="L54" i="16"/>
  <c r="H54" i="16"/>
  <c r="L53" i="16"/>
  <c r="H53" i="16"/>
  <c r="L50" i="17"/>
  <c r="H50" i="17"/>
  <c r="L52" i="17"/>
  <c r="H52" i="17"/>
  <c r="L54" i="17"/>
  <c r="H54" i="17"/>
  <c r="L51" i="17"/>
  <c r="H51" i="17"/>
  <c r="L53" i="17"/>
  <c r="H53" i="17"/>
  <c r="L51" i="20"/>
  <c r="H51" i="20"/>
  <c r="L52" i="20"/>
  <c r="H52" i="20"/>
  <c r="L53" i="20"/>
  <c r="H53" i="20"/>
  <c r="L54" i="20"/>
  <c r="H54" i="20"/>
  <c r="L50" i="20"/>
  <c r="H50" i="20"/>
  <c r="L51" i="19"/>
  <c r="H51" i="19"/>
  <c r="L53" i="19"/>
  <c r="H53" i="19"/>
  <c r="L50" i="19"/>
  <c r="H50" i="19"/>
  <c r="L54" i="19"/>
  <c r="H54" i="19"/>
  <c r="L52" i="19"/>
  <c r="H52" i="19"/>
  <c r="L54" i="23"/>
  <c r="H54" i="23"/>
  <c r="L50" i="23"/>
  <c r="H50" i="23"/>
  <c r="L51" i="23"/>
  <c r="H51" i="23"/>
  <c r="L52" i="23"/>
  <c r="H52" i="23"/>
  <c r="L53" i="23"/>
  <c r="H53" i="23"/>
  <c r="L51" i="24"/>
  <c r="H51" i="24"/>
  <c r="L50" i="24"/>
  <c r="H50" i="24"/>
  <c r="L53" i="24"/>
  <c r="H53" i="24"/>
  <c r="L54" i="24"/>
  <c r="H54" i="24"/>
  <c r="L52" i="24"/>
  <c r="H52" i="24"/>
  <c r="L51" i="25"/>
  <c r="H51" i="25"/>
  <c r="L53" i="25"/>
  <c r="H53" i="25"/>
  <c r="L52" i="25"/>
  <c r="H52" i="25"/>
  <c r="L50" i="25"/>
  <c r="H50" i="25"/>
  <c r="L54" i="25"/>
  <c r="H54" i="25"/>
  <c r="L51" i="26"/>
  <c r="H51" i="26"/>
  <c r="L50" i="26"/>
  <c r="H50" i="26"/>
  <c r="L53" i="26"/>
  <c r="H53" i="26"/>
  <c r="L52" i="26"/>
  <c r="H52" i="26"/>
  <c r="L54" i="26"/>
  <c r="H54" i="26"/>
  <c r="L53" i="27"/>
  <c r="H53" i="27"/>
  <c r="L51" i="27"/>
  <c r="H51" i="27"/>
  <c r="L54" i="27"/>
  <c r="H54" i="27"/>
  <c r="L50" i="27"/>
  <c r="H50" i="27"/>
  <c r="L52" i="27"/>
  <c r="H52" i="27"/>
  <c r="L53" i="28"/>
  <c r="H53" i="28"/>
  <c r="L51" i="28"/>
  <c r="H51" i="28"/>
  <c r="L52" i="28"/>
  <c r="H52" i="28"/>
  <c r="L50" i="28"/>
  <c r="H50" i="28"/>
  <c r="L54" i="28"/>
  <c r="H54" i="28"/>
  <c r="L54" i="29"/>
  <c r="H54" i="29"/>
  <c r="L51" i="29"/>
  <c r="H51" i="29"/>
  <c r="L50" i="29"/>
  <c r="H50" i="29"/>
  <c r="L53" i="29"/>
  <c r="H53" i="29"/>
  <c r="L52" i="29"/>
  <c r="H52" i="29"/>
  <c r="L54" i="30"/>
  <c r="H54" i="30"/>
  <c r="L50" i="30"/>
  <c r="H50" i="30"/>
  <c r="L53" i="30"/>
  <c r="H53" i="30"/>
  <c r="L51" i="30"/>
  <c r="H51" i="30"/>
  <c r="L52" i="30"/>
  <c r="H52" i="30"/>
  <c r="L52" i="31"/>
  <c r="H52" i="31"/>
  <c r="L51" i="31"/>
  <c r="H51" i="31"/>
  <c r="L54" i="31"/>
  <c r="H54" i="31"/>
  <c r="L53" i="31"/>
  <c r="H53" i="31"/>
  <c r="L50" i="31"/>
  <c r="H50" i="31"/>
  <c r="L54" i="32"/>
  <c r="H54" i="32"/>
  <c r="L50" i="32"/>
  <c r="H50" i="32"/>
  <c r="L53" i="32"/>
  <c r="H53" i="32"/>
  <c r="L51" i="32"/>
  <c r="H51" i="32"/>
  <c r="L52" i="32"/>
  <c r="H52" i="32"/>
  <c r="L52" i="33"/>
  <c r="H52" i="33"/>
  <c r="L53" i="33"/>
  <c r="H53" i="33"/>
  <c r="L50" i="33"/>
  <c r="H50" i="33"/>
  <c r="L51" i="33"/>
  <c r="H51" i="33"/>
  <c r="L54" i="33"/>
  <c r="H54" i="33"/>
  <c r="L53" i="34"/>
  <c r="H53" i="34"/>
  <c r="L52" i="34"/>
  <c r="H52" i="34"/>
  <c r="L54" i="34"/>
  <c r="H54" i="34"/>
  <c r="L51" i="34"/>
  <c r="H51" i="34"/>
  <c r="L50" i="34"/>
  <c r="H50" i="34"/>
  <c r="L51" i="35"/>
  <c r="H51" i="35"/>
  <c r="L50" i="35"/>
  <c r="H50" i="35"/>
  <c r="L53" i="35"/>
  <c r="H53" i="35"/>
  <c r="L52" i="35"/>
  <c r="H52" i="35"/>
  <c r="L54" i="35"/>
  <c r="H54" i="35"/>
  <c r="L53" i="36"/>
  <c r="H53" i="36"/>
  <c r="L52" i="36"/>
  <c r="H52" i="36"/>
  <c r="L54" i="36"/>
  <c r="H54" i="36"/>
  <c r="L51" i="36"/>
  <c r="H51" i="36"/>
  <c r="L50" i="36"/>
  <c r="H50" i="36"/>
  <c r="L53" i="8"/>
  <c r="L50" i="8"/>
  <c r="L52" i="8"/>
  <c r="L51" i="8"/>
  <c r="L54" i="8"/>
  <c r="L53" i="7"/>
  <c r="L51" i="7"/>
  <c r="L54" i="7"/>
  <c r="L50" i="7"/>
  <c r="L52" i="7"/>
  <c r="AL29" i="1"/>
  <c r="AK27" i="1"/>
  <c r="AL28" i="1"/>
  <c r="AP29" i="1"/>
  <c r="AI27" i="1"/>
  <c r="AQ28" i="1"/>
  <c r="AH29" i="1"/>
  <c r="AQ27" i="1"/>
  <c r="U27" i="1"/>
  <c r="AG29" i="1"/>
  <c r="AD27" i="1"/>
  <c r="AJ28" i="1"/>
  <c r="AH28" i="1"/>
  <c r="AB29" i="1"/>
  <c r="Z27" i="1"/>
  <c r="AI29" i="1"/>
  <c r="AD28" i="1"/>
  <c r="E29" i="1"/>
  <c r="AN27" i="1"/>
  <c r="W29" i="1"/>
  <c r="AK29" i="1"/>
  <c r="AO29" i="1"/>
  <c r="AF28" i="1"/>
  <c r="AC29" i="1"/>
  <c r="AJ29" i="1"/>
  <c r="U28" i="1"/>
  <c r="Y29" i="1"/>
  <c r="AA28" i="1"/>
  <c r="Y27" i="1"/>
  <c r="V27" i="1"/>
  <c r="AA29" i="1"/>
  <c r="AO28" i="1"/>
  <c r="AR27" i="1"/>
  <c r="AC28" i="1"/>
  <c r="AP27" i="1"/>
  <c r="AN28" i="1"/>
  <c r="AO27" i="1"/>
  <c r="AJ27" i="1"/>
  <c r="AC27" i="1"/>
  <c r="AM28" i="1"/>
  <c r="AG28" i="1"/>
  <c r="AI28" i="1"/>
  <c r="AN29" i="1"/>
  <c r="V29" i="1"/>
  <c r="Y28" i="1"/>
  <c r="AM27" i="1"/>
  <c r="AL27" i="1"/>
  <c r="AF29" i="1"/>
  <c r="AB27" i="1"/>
  <c r="W27" i="1"/>
  <c r="AR28" i="1"/>
  <c r="AR29" i="1"/>
  <c r="Z29" i="1"/>
  <c r="E28" i="1"/>
  <c r="AE27" i="1"/>
  <c r="AB28" i="1"/>
  <c r="E27" i="1"/>
  <c r="AF27" i="1"/>
  <c r="AD29" i="1"/>
  <c r="F28" i="1"/>
  <c r="AE29" i="1"/>
  <c r="V28" i="1"/>
  <c r="AE28" i="1"/>
  <c r="AM29" i="1"/>
  <c r="AH27" i="1"/>
  <c r="AP28" i="1"/>
  <c r="X27" i="1"/>
  <c r="W28" i="1"/>
  <c r="AQ29" i="1"/>
  <c r="AK28" i="1"/>
  <c r="U29" i="1"/>
  <c r="X28" i="1"/>
  <c r="AA27" i="1"/>
  <c r="Z28" i="1"/>
  <c r="X29" i="1"/>
  <c r="AG27" i="1"/>
  <c r="G38" i="27" l="1"/>
  <c r="L38" i="27" s="1"/>
  <c r="G35" i="27"/>
  <c r="L35" i="27" s="1"/>
  <c r="G38" i="25"/>
  <c r="L38" i="25" s="1"/>
  <c r="G38" i="23"/>
  <c r="L38" i="23" s="1"/>
  <c r="G41" i="28"/>
  <c r="G35" i="28"/>
  <c r="L35" i="28" s="1"/>
  <c r="G40" i="23"/>
  <c r="G35" i="24"/>
  <c r="L35" i="24" s="1"/>
  <c r="G40" i="26"/>
  <c r="G40" i="29"/>
  <c r="G41" i="33"/>
  <c r="G40" i="25"/>
  <c r="G38" i="29"/>
  <c r="L38" i="29" s="1"/>
  <c r="G38" i="35"/>
  <c r="L38" i="35" s="1"/>
  <c r="G38" i="33"/>
  <c r="L38" i="33" s="1"/>
  <c r="G35" i="29"/>
  <c r="L35" i="29" s="1"/>
  <c r="G40" i="28"/>
  <c r="G41" i="32"/>
  <c r="G41" i="26"/>
  <c r="G40" i="33"/>
  <c r="L40" i="33" s="1"/>
  <c r="G41" i="34"/>
  <c r="G40" i="34"/>
  <c r="G35" i="30"/>
  <c r="L35" i="30" s="1"/>
  <c r="G41" i="24"/>
  <c r="G35" i="35"/>
  <c r="L35" i="35" s="1"/>
  <c r="G35" i="32"/>
  <c r="L35" i="32" s="1"/>
  <c r="G35" i="25"/>
  <c r="L35" i="25" s="1"/>
  <c r="G41" i="30"/>
  <c r="G38" i="31"/>
  <c r="L38" i="31" s="1"/>
  <c r="G38" i="28"/>
  <c r="L38" i="28" s="1"/>
  <c r="G41" i="29"/>
  <c r="G40" i="27"/>
  <c r="G38" i="24"/>
  <c r="L38" i="24" s="1"/>
  <c r="G35" i="33"/>
  <c r="L35" i="33" s="1"/>
  <c r="G41" i="25"/>
  <c r="G38" i="34"/>
  <c r="L38" i="34" s="1"/>
  <c r="G41" i="35"/>
  <c r="G40" i="8"/>
  <c r="G35" i="26"/>
  <c r="L35" i="26" s="1"/>
  <c r="G35" i="31"/>
  <c r="L35" i="31" s="1"/>
  <c r="G35" i="34"/>
  <c r="L35" i="34" s="1"/>
  <c r="G40" i="24"/>
  <c r="G40" i="30"/>
  <c r="G35" i="23"/>
  <c r="L35" i="23" s="1"/>
  <c r="G41" i="23"/>
  <c r="G38" i="26"/>
  <c r="L38" i="26" s="1"/>
  <c r="G38" i="32"/>
  <c r="L38" i="32" s="1"/>
  <c r="G40" i="31"/>
  <c r="G41" i="31"/>
  <c r="G38" i="30"/>
  <c r="L38" i="30" s="1"/>
  <c r="G40" i="32"/>
  <c r="G40" i="35"/>
  <c r="G41" i="27"/>
  <c r="G40" i="36"/>
  <c r="G38" i="36"/>
  <c r="L38" i="36" s="1"/>
  <c r="G41" i="36"/>
  <c r="G35" i="36"/>
  <c r="L35" i="36" s="1"/>
  <c r="L57" i="19"/>
  <c r="D27" i="38" s="1"/>
  <c r="G40" i="7"/>
  <c r="G41" i="7"/>
  <c r="G35" i="7"/>
  <c r="L35" i="7" s="1"/>
  <c r="G38" i="7"/>
  <c r="L38" i="7" s="1"/>
  <c r="AP30" i="1"/>
  <c r="AL30" i="1"/>
  <c r="AH30" i="1"/>
  <c r="AD30" i="1"/>
  <c r="Z30" i="1"/>
  <c r="V30" i="1"/>
  <c r="AR30" i="1"/>
  <c r="AN30" i="1"/>
  <c r="AJ30" i="1"/>
  <c r="AF30" i="1"/>
  <c r="AB30" i="1"/>
  <c r="X30" i="1"/>
  <c r="AQ30" i="1"/>
  <c r="AM30" i="1"/>
  <c r="AI30" i="1"/>
  <c r="AE30" i="1"/>
  <c r="AA30" i="1"/>
  <c r="W30" i="1"/>
  <c r="AO30" i="1"/>
  <c r="AK30" i="1"/>
  <c r="AG30" i="1"/>
  <c r="AC30" i="1"/>
  <c r="Y30" i="1"/>
  <c r="U30" i="1"/>
  <c r="F3" i="19"/>
  <c r="F3" i="20"/>
  <c r="F3" i="17"/>
  <c r="F3" i="16"/>
  <c r="F3" i="18"/>
  <c r="F3" i="22"/>
  <c r="F3" i="21"/>
  <c r="F3" i="15"/>
  <c r="F3" i="14"/>
  <c r="F3" i="13"/>
  <c r="F3" i="12"/>
  <c r="F3" i="11"/>
  <c r="F3" i="10"/>
  <c r="F3" i="9"/>
  <c r="F3" i="8"/>
  <c r="F3" i="7"/>
  <c r="E3" i="5"/>
  <c r="E3" i="3"/>
  <c r="E3" i="6"/>
  <c r="F3" i="1"/>
  <c r="H3" i="6"/>
  <c r="L40" i="35" l="1"/>
  <c r="L57" i="35" s="1"/>
  <c r="D40" i="38" s="1"/>
  <c r="L40" i="28"/>
  <c r="L57" i="28" s="1"/>
  <c r="D33" i="38" s="1"/>
  <c r="L40" i="32"/>
  <c r="L57" i="32" s="1"/>
  <c r="D37" i="38" s="1"/>
  <c r="L40" i="27"/>
  <c r="L57" i="27" s="1"/>
  <c r="D32" i="38" s="1"/>
  <c r="L40" i="30"/>
  <c r="L57" i="30" s="1"/>
  <c r="D35" i="38" s="1"/>
  <c r="L57" i="33"/>
  <c r="D38" i="38" s="1"/>
  <c r="L40" i="31"/>
  <c r="L57" i="31" s="1"/>
  <c r="D36" i="38" s="1"/>
  <c r="L40" i="34"/>
  <c r="L57" i="34" s="1"/>
  <c r="D39" i="38" s="1"/>
  <c r="L40" i="24"/>
  <c r="L57" i="24" s="1"/>
  <c r="D29" i="38" s="1"/>
  <c r="L40" i="25"/>
  <c r="L57" i="25" s="1"/>
  <c r="D30" i="38" s="1"/>
  <c r="L40" i="23"/>
  <c r="L57" i="23" s="1"/>
  <c r="D28" i="38" s="1"/>
  <c r="L40" i="29"/>
  <c r="L57" i="29" s="1"/>
  <c r="D34" i="38" s="1"/>
  <c r="L40" i="26"/>
  <c r="L57" i="26" s="1"/>
  <c r="D31" i="38" s="1"/>
  <c r="L40" i="36"/>
  <c r="L57" i="36" s="1"/>
  <c r="D41" i="38" s="1"/>
  <c r="L40" i="7"/>
  <c r="I3" i="36"/>
  <c r="I3" i="35"/>
  <c r="I3" i="34"/>
  <c r="I3" i="33"/>
  <c r="I3" i="32"/>
  <c r="I3" i="31"/>
  <c r="I3" i="30"/>
  <c r="I3" i="29"/>
  <c r="I3" i="28"/>
  <c r="I3" i="27"/>
  <c r="I3" i="26"/>
  <c r="I3" i="25"/>
  <c r="I3" i="24"/>
  <c r="I3" i="23"/>
  <c r="I3" i="19"/>
  <c r="I3" i="18"/>
  <c r="I3" i="14"/>
  <c r="I3" i="10"/>
  <c r="H3" i="3"/>
  <c r="I3" i="20"/>
  <c r="I3" i="22"/>
  <c r="I3" i="13"/>
  <c r="I3" i="9"/>
  <c r="I3" i="17"/>
  <c r="I3" i="21"/>
  <c r="I3" i="12"/>
  <c r="I3" i="8"/>
  <c r="I3" i="16"/>
  <c r="I3" i="15"/>
  <c r="I3" i="11"/>
  <c r="I3" i="7"/>
  <c r="F27" i="1"/>
  <c r="F29" i="1"/>
  <c r="L29" i="1"/>
  <c r="R29" i="1"/>
  <c r="M27" i="1"/>
  <c r="I28" i="1"/>
  <c r="S27" i="1"/>
  <c r="H29" i="1"/>
  <c r="K29" i="1"/>
  <c r="H28" i="1"/>
  <c r="T27" i="1"/>
  <c r="O29" i="1"/>
  <c r="R28" i="1"/>
  <c r="N27" i="1"/>
  <c r="L28" i="1"/>
  <c r="G29" i="1"/>
  <c r="M29" i="1"/>
  <c r="I29" i="1"/>
  <c r="S28" i="1"/>
  <c r="S29" i="1"/>
  <c r="O27" i="1"/>
  <c r="I27" i="1"/>
  <c r="P27" i="1"/>
  <c r="T29" i="1"/>
  <c r="N29" i="1"/>
  <c r="H27" i="1"/>
  <c r="Q28" i="1"/>
  <c r="J29" i="1"/>
  <c r="Q29" i="1"/>
  <c r="N28" i="1"/>
  <c r="K27" i="1"/>
  <c r="J27" i="1"/>
  <c r="G27" i="1"/>
  <c r="J28" i="1"/>
  <c r="Q27" i="1"/>
  <c r="L27" i="1"/>
  <c r="T28" i="1"/>
  <c r="G28" i="1"/>
  <c r="R27" i="1"/>
  <c r="M28" i="1"/>
  <c r="K28" i="1"/>
  <c r="O28" i="1"/>
  <c r="P29" i="1"/>
  <c r="P28" i="1"/>
  <c r="G40" i="17" l="1"/>
  <c r="G38" i="21"/>
  <c r="L38" i="21" s="1"/>
  <c r="G35" i="17"/>
  <c r="L35" i="17" s="1"/>
  <c r="G41" i="9"/>
  <c r="G35" i="15"/>
  <c r="L35" i="15" s="1"/>
  <c r="G40" i="14"/>
  <c r="G41" i="17"/>
  <c r="G38" i="12"/>
  <c r="L38" i="12" s="1"/>
  <c r="G38" i="11"/>
  <c r="L38" i="11" s="1"/>
  <c r="G35" i="8"/>
  <c r="L35" i="8" s="1"/>
  <c r="G35" i="12"/>
  <c r="L35" i="12" s="1"/>
  <c r="G40" i="11"/>
  <c r="G38" i="10"/>
  <c r="L38" i="10" s="1"/>
  <c r="G38" i="22"/>
  <c r="L38" i="22" s="1"/>
  <c r="G41" i="12"/>
  <c r="G41" i="8"/>
  <c r="L40" i="8" s="1"/>
  <c r="G38" i="20"/>
  <c r="L38" i="20" s="1"/>
  <c r="G35" i="20"/>
  <c r="L35" i="20" s="1"/>
  <c r="G40" i="21"/>
  <c r="G40" i="20"/>
  <c r="G41" i="22"/>
  <c r="G41" i="20"/>
  <c r="G40" i="16"/>
  <c r="G35" i="9"/>
  <c r="L35" i="9" s="1"/>
  <c r="G38" i="18"/>
  <c r="L38" i="18" s="1"/>
  <c r="G40" i="9"/>
  <c r="G35" i="13"/>
  <c r="L35" i="13" s="1"/>
  <c r="G35" i="16"/>
  <c r="L35" i="16" s="1"/>
  <c r="G41" i="11"/>
  <c r="G35" i="18"/>
  <c r="L35" i="18" s="1"/>
  <c r="G38" i="9"/>
  <c r="L38" i="9" s="1"/>
  <c r="G35" i="21"/>
  <c r="L35" i="21" s="1"/>
  <c r="G41" i="14"/>
  <c r="G41" i="18"/>
  <c r="G38" i="15"/>
  <c r="L38" i="15" s="1"/>
  <c r="G41" i="15"/>
  <c r="G40" i="13"/>
  <c r="G41" i="13"/>
  <c r="G38" i="14"/>
  <c r="L38" i="14" s="1"/>
  <c r="G40" i="12"/>
  <c r="G40" i="10"/>
  <c r="G35" i="14"/>
  <c r="L35" i="14" s="1"/>
  <c r="G40" i="18"/>
  <c r="G35" i="22"/>
  <c r="L35" i="22" s="1"/>
  <c r="G41" i="10"/>
  <c r="G38" i="13"/>
  <c r="L38" i="13" s="1"/>
  <c r="G40" i="15"/>
  <c r="G35" i="10"/>
  <c r="L35" i="10" s="1"/>
  <c r="G40" i="22"/>
  <c r="G38" i="16"/>
  <c r="L38" i="16" s="1"/>
  <c r="G35" i="11"/>
  <c r="L35" i="11" s="1"/>
  <c r="G38" i="17"/>
  <c r="L38" i="17" s="1"/>
  <c r="G38" i="8"/>
  <c r="L38" i="8" s="1"/>
  <c r="G41" i="16"/>
  <c r="G41" i="21"/>
  <c r="R17" i="2"/>
  <c r="Q17" i="2"/>
  <c r="L40" i="22" l="1"/>
  <c r="L57" i="22" s="1"/>
  <c r="D22" i="38" s="1"/>
  <c r="L40" i="18"/>
  <c r="L57" i="18" s="1"/>
  <c r="D23" i="38" s="1"/>
  <c r="L40" i="12"/>
  <c r="L57" i="12" s="1"/>
  <c r="D17" i="38" s="1"/>
  <c r="L40" i="15"/>
  <c r="L57" i="15" s="1"/>
  <c r="D20" i="38" s="1"/>
  <c r="L40" i="9"/>
  <c r="L57" i="9" s="1"/>
  <c r="D14" i="38" s="1"/>
  <c r="L40" i="20"/>
  <c r="L57" i="20" s="1"/>
  <c r="D26" i="38" s="1"/>
  <c r="L40" i="11"/>
  <c r="L57" i="11" s="1"/>
  <c r="D16" i="38" s="1"/>
  <c r="L40" i="16"/>
  <c r="L57" i="16" s="1"/>
  <c r="D24" i="38" s="1"/>
  <c r="L40" i="21"/>
  <c r="L57" i="21" s="1"/>
  <c r="D21" i="38" s="1"/>
  <c r="L57" i="8"/>
  <c r="D13" i="38" s="1"/>
  <c r="L40" i="14"/>
  <c r="L57" i="14" s="1"/>
  <c r="D19" i="38" s="1"/>
  <c r="L40" i="10"/>
  <c r="L57" i="10" s="1"/>
  <c r="D15" i="38" s="1"/>
  <c r="L40" i="13"/>
  <c r="L57" i="13" s="1"/>
  <c r="D18" i="38" s="1"/>
  <c r="L40" i="17"/>
  <c r="L57" i="17" s="1"/>
  <c r="D25" i="38" s="1"/>
  <c r="X17" i="2"/>
  <c r="G127" i="5" s="1"/>
  <c r="W17" i="2"/>
  <c r="G121" i="5" s="1"/>
  <c r="V17" i="2"/>
  <c r="G115" i="5" s="1"/>
  <c r="U17" i="2"/>
  <c r="G109" i="5" s="1"/>
  <c r="T17" i="2"/>
  <c r="S17" i="2"/>
  <c r="P17" i="2"/>
  <c r="O17" i="2"/>
  <c r="N17" i="2"/>
  <c r="M17" i="2"/>
  <c r="L17" i="2"/>
  <c r="K17" i="2"/>
  <c r="J17" i="2"/>
  <c r="I17" i="2"/>
  <c r="H17" i="2"/>
  <c r="G17" i="2"/>
  <c r="F17" i="2"/>
  <c r="E17" i="2"/>
  <c r="C4" i="7" s="1"/>
  <c r="G13" i="5" l="1"/>
  <c r="M30" i="1"/>
  <c r="H30" i="1"/>
  <c r="T30" i="1"/>
  <c r="N30" i="1"/>
  <c r="S30" i="1"/>
  <c r="E30" i="1" l="1"/>
  <c r="F30" i="1"/>
  <c r="L30" i="1"/>
  <c r="Q30" i="1"/>
  <c r="I30" i="1"/>
  <c r="O30" i="1"/>
  <c r="K30" i="1"/>
  <c r="R30" i="1"/>
  <c r="P30" i="1"/>
  <c r="G30" i="1"/>
  <c r="J30" i="1"/>
  <c r="AW12" i="1" l="1" a="1"/>
  <c r="AW12" i="1" s="1"/>
  <c r="AW14" i="1" a="1"/>
  <c r="AW14" i="1" s="1"/>
  <c r="AW11" i="1" a="1"/>
  <c r="AW11" i="1" s="1"/>
  <c r="AW13" i="1" a="1"/>
  <c r="AW13" i="1" s="1"/>
  <c r="AW10" i="1" a="1"/>
  <c r="AW10" i="1" s="1"/>
  <c r="AW16" i="1" a="1"/>
  <c r="AW16" i="1" s="1"/>
  <c r="AW15" i="1" a="1"/>
  <c r="AW15" i="1" s="1"/>
  <c r="AW25" i="1" l="1" a="1"/>
  <c r="AW25" i="1" s="1"/>
  <c r="AW93" i="1" l="1" a="1"/>
  <c r="AW93" i="1" s="1"/>
  <c r="AW82" i="1" a="1"/>
  <c r="AW82" i="1" s="1"/>
  <c r="AW73" i="1" a="1"/>
  <c r="AW73" i="1" s="1"/>
  <c r="AW60" i="1" a="1"/>
  <c r="AW60" i="1" s="1"/>
  <c r="AW50" i="1" a="1"/>
  <c r="AW50" i="1" s="1"/>
  <c r="AW40" i="1" a="1"/>
  <c r="AW40" i="1" s="1"/>
  <c r="AW30" i="1" a="1"/>
  <c r="AW30" i="1" s="1"/>
  <c r="AW96" i="1" a="1"/>
  <c r="AW96" i="1" s="1"/>
  <c r="AW86" i="1" a="1"/>
  <c r="AW86" i="1" s="1"/>
  <c r="AW76" i="1" a="1"/>
  <c r="AW76" i="1" s="1"/>
  <c r="AW63" i="1" a="1"/>
  <c r="AW63" i="1" s="1"/>
  <c r="AW53" i="1" a="1"/>
  <c r="AW53" i="1" s="1"/>
  <c r="AW43" i="1" a="1"/>
  <c r="AW43" i="1" s="1"/>
  <c r="AW33" i="1" a="1"/>
  <c r="AW33" i="1" s="1"/>
  <c r="AW18" i="1" a="1"/>
  <c r="AW18" i="1" s="1"/>
  <c r="AW98" i="1" a="1"/>
  <c r="AW98" i="1" s="1"/>
  <c r="AW92" i="1" a="1"/>
  <c r="AW92" i="1" s="1"/>
  <c r="AW88" i="1" a="1"/>
  <c r="AW88" i="1" s="1"/>
  <c r="AW85" i="1" a="1"/>
  <c r="AW85" i="1" s="1"/>
  <c r="AW81" i="1" a="1"/>
  <c r="AW81" i="1" s="1"/>
  <c r="AW78" i="1" a="1"/>
  <c r="AW78" i="1" s="1"/>
  <c r="AW72" i="1" a="1"/>
  <c r="AW72" i="1" s="1"/>
  <c r="AW69" i="1" a="1"/>
  <c r="AW69" i="1" s="1"/>
  <c r="AW62" i="1" a="1"/>
  <c r="AW62" i="1" s="1"/>
  <c r="AW56" i="1" a="1"/>
  <c r="AW56" i="1" s="1"/>
  <c r="AW52" i="1" a="1"/>
  <c r="AW52" i="1" s="1"/>
  <c r="AW49" i="1" a="1"/>
  <c r="AW49" i="1" s="1"/>
  <c r="AW45" i="1" a="1"/>
  <c r="AW45" i="1" s="1"/>
  <c r="AW42" i="1" a="1"/>
  <c r="AW42" i="1" s="1"/>
  <c r="AW39" i="1" a="1"/>
  <c r="AW39" i="1" s="1"/>
  <c r="AW35" i="1" a="1"/>
  <c r="AW35" i="1" s="1"/>
  <c r="AW32" i="1" a="1"/>
  <c r="AW32" i="1" s="1"/>
  <c r="AW27" i="1" a="1"/>
  <c r="AW27" i="1" s="1"/>
  <c r="AW24" i="1" a="1"/>
  <c r="AW24" i="1" s="1"/>
  <c r="AW21" i="1" a="1"/>
  <c r="AW21" i="1" s="1"/>
  <c r="AW99" i="1" a="1"/>
  <c r="AW99" i="1" s="1"/>
  <c r="AW89" i="1" a="1"/>
  <c r="AW89" i="1" s="1"/>
  <c r="AW79" i="1" a="1"/>
  <c r="AW79" i="1" s="1"/>
  <c r="AW66" i="1" a="1"/>
  <c r="AW66" i="1" s="1"/>
  <c r="AW57" i="1" a="1"/>
  <c r="AW57" i="1" s="1"/>
  <c r="AW46" i="1" a="1"/>
  <c r="AW46" i="1" s="1"/>
  <c r="AW36" i="1" a="1"/>
  <c r="AW36" i="1" s="1"/>
  <c r="AW22" i="1" a="1"/>
  <c r="AW22" i="1" s="1"/>
  <c r="AW95" i="1" a="1"/>
  <c r="AW95" i="1" s="1"/>
  <c r="AW91" i="1" a="1"/>
  <c r="AW91" i="1" s="1"/>
  <c r="AW84" i="1" a="1"/>
  <c r="AW84" i="1" s="1"/>
  <c r="AW80" i="1" a="1"/>
  <c r="AW80" i="1" s="1"/>
  <c r="AW75" i="1" a="1"/>
  <c r="AW75" i="1" s="1"/>
  <c r="AW71" i="1" a="1"/>
  <c r="AW71" i="1" s="1"/>
  <c r="AW68" i="1" a="1"/>
  <c r="AW68" i="1" s="1"/>
  <c r="AW65" i="1" a="1"/>
  <c r="AW65" i="1" s="1"/>
  <c r="AW59" i="1" a="1"/>
  <c r="AW59" i="1" s="1"/>
  <c r="AW55" i="1" a="1"/>
  <c r="AW55" i="1" s="1"/>
  <c r="AW48" i="1" a="1"/>
  <c r="AW48" i="1" s="1"/>
  <c r="AW44" i="1" a="1"/>
  <c r="AW44" i="1" s="1"/>
  <c r="AW38" i="1" a="1"/>
  <c r="AW38" i="1" s="1"/>
  <c r="AW34" i="1" a="1"/>
  <c r="AW34" i="1" s="1"/>
  <c r="AW29" i="1" a="1"/>
  <c r="AW29" i="1" s="1"/>
  <c r="AW26" i="1" a="1"/>
  <c r="AW26" i="1" s="1"/>
  <c r="AW20" i="1" a="1"/>
  <c r="AW20" i="1" s="1"/>
  <c r="AW17" i="1" a="1"/>
  <c r="AW17" i="1" s="1"/>
  <c r="AW100" i="1" a="1"/>
  <c r="AW100" i="1" s="1"/>
  <c r="AW97" i="1" a="1"/>
  <c r="AW97" i="1" s="1"/>
  <c r="AW94" i="1" a="1"/>
  <c r="AW94" i="1" s="1"/>
  <c r="AW90" i="1" a="1"/>
  <c r="AW90" i="1" s="1"/>
  <c r="AW87" i="1" a="1"/>
  <c r="AW87" i="1" s="1"/>
  <c r="AW83" i="1" a="1"/>
  <c r="AW83" i="1" s="1"/>
  <c r="AW77" i="1" a="1"/>
  <c r="AW77" i="1" s="1"/>
  <c r="AW74" i="1" a="1"/>
  <c r="AW74" i="1" s="1"/>
  <c r="AW70" i="1" a="1"/>
  <c r="AW70" i="1" s="1"/>
  <c r="AW67" i="1" a="1"/>
  <c r="AW67" i="1" s="1"/>
  <c r="AW64" i="1" a="1"/>
  <c r="AW64" i="1" s="1"/>
  <c r="AW61" i="1" a="1"/>
  <c r="AW61" i="1" s="1"/>
  <c r="AW58" i="1" a="1"/>
  <c r="AW58" i="1" s="1"/>
  <c r="AW54" i="1" a="1"/>
  <c r="AW54" i="1" s="1"/>
  <c r="AW51" i="1" a="1"/>
  <c r="AW51" i="1" s="1"/>
  <c r="AW47" i="1" a="1"/>
  <c r="AW47" i="1" s="1"/>
  <c r="AW41" i="1" a="1"/>
  <c r="AW41" i="1" s="1"/>
  <c r="AW37" i="1" a="1"/>
  <c r="AW37" i="1" s="1"/>
  <c r="AW31" i="1" a="1"/>
  <c r="AW31" i="1" s="1"/>
  <c r="AW28" i="1" a="1"/>
  <c r="AW28" i="1" s="1"/>
  <c r="AW23" i="1" a="1"/>
  <c r="AW23" i="1" s="1"/>
  <c r="AW19" i="1" a="1"/>
  <c r="AW19" i="1" s="1"/>
  <c r="L21" i="7" l="1"/>
  <c r="L57" i="7" s="1"/>
  <c r="D12" i="38" s="1"/>
  <c r="G14" i="36" a="1"/>
  <c r="G14" i="36" s="1"/>
  <c r="L10" i="36" s="1"/>
  <c r="G10" i="7"/>
  <c r="G11" i="7"/>
  <c r="G14" i="7" l="1" a="1"/>
  <c r="G14" i="7" s="1"/>
  <c r="L10" i="7" s="1"/>
</calcChain>
</file>

<file path=xl/sharedStrings.xml><?xml version="1.0" encoding="utf-8"?>
<sst xmlns="http://schemas.openxmlformats.org/spreadsheetml/2006/main" count="2445" uniqueCount="218">
  <si>
    <t>PLANILLA DE DATOS GENERALES</t>
  </si>
  <si>
    <t>TIPO DE COSTOS:</t>
  </si>
  <si>
    <t>Personal</t>
  </si>
  <si>
    <t>FECHA DE ANALISIS:</t>
  </si>
  <si>
    <t>INFORMACIÓN DEL RESPONSABLE:</t>
  </si>
  <si>
    <t>NOMBRE</t>
  </si>
  <si>
    <t>PUESTO</t>
  </si>
  <si>
    <t>DEPARTAMENTO</t>
  </si>
  <si>
    <t>Operario</t>
  </si>
  <si>
    <t>Categoria</t>
  </si>
  <si>
    <t>Maquinarias</t>
  </si>
  <si>
    <t>Supervisores - Mantenimiento Correctivo</t>
  </si>
  <si>
    <t>Ferro Juan Manuel</t>
  </si>
  <si>
    <t>Operarios</t>
  </si>
  <si>
    <t>1-A</t>
  </si>
  <si>
    <t>TOTALES ($/mes)</t>
  </si>
  <si>
    <t>Supervisores</t>
  </si>
  <si>
    <t>Mantenimiento Preventivo</t>
  </si>
  <si>
    <t>Mantenimiento Correctivo</t>
  </si>
  <si>
    <t>Total por Maquina</t>
  </si>
  <si>
    <t xml:space="preserve">ACLARACIONES: </t>
  </si>
  <si>
    <t>1 - Rol Principal</t>
  </si>
  <si>
    <t>A - Actividad Principal</t>
  </si>
  <si>
    <t xml:space="preserve">NOTAS: </t>
  </si>
  <si>
    <t>2 - Rol Secundario</t>
  </si>
  <si>
    <t>B - Actividad Secundaria</t>
  </si>
  <si>
    <t>3 - Rol Terciario</t>
  </si>
  <si>
    <t>C - Actividad Terciaria</t>
  </si>
  <si>
    <t/>
  </si>
  <si>
    <t>Listado Crudo</t>
  </si>
  <si>
    <t>Listado Pulido</t>
  </si>
  <si>
    <t>Costo del Personal ($ Pesos) asociado a Ensamble</t>
  </si>
  <si>
    <t>1-B</t>
  </si>
  <si>
    <t>Supervisores - Operarios - Mantenimiento Preventivo</t>
  </si>
  <si>
    <t>1-A/2-B/3-A</t>
  </si>
  <si>
    <t>Agüero Juan Pablo</t>
  </si>
  <si>
    <t>2-A</t>
  </si>
  <si>
    <t>Guardia Jonatan Dario</t>
  </si>
  <si>
    <t>D'olivo Gaston Fernando</t>
  </si>
  <si>
    <t>APROBADO POR:</t>
  </si>
  <si>
    <t>CATEGORIA:</t>
  </si>
  <si>
    <t>OEE</t>
  </si>
  <si>
    <t>SUPERVISOR</t>
  </si>
  <si>
    <t>Factores</t>
  </si>
  <si>
    <t xml:space="preserve">Descripcion </t>
  </si>
  <si>
    <t>Parametros</t>
  </si>
  <si>
    <t>Disponibilidad</t>
  </si>
  <si>
    <t>Tiempo que la maquina estuvo funcionando respecto al tiempo planificado.</t>
  </si>
  <si>
    <t>Tiempo Operativo Real</t>
  </si>
  <si>
    <t>Tiempo Planificado</t>
  </si>
  <si>
    <t>Rendimiento</t>
  </si>
  <si>
    <t>Velocidad de produccion respecto al ideal.</t>
  </si>
  <si>
    <t>Producción Real</t>
  </si>
  <si>
    <t>Tiempo de Ciclo Ideal</t>
  </si>
  <si>
    <t>Calidad</t>
  </si>
  <si>
    <t>Proporcion de productos bajo estandares respecto al total fabricado.</t>
  </si>
  <si>
    <t>Piezas Buenas</t>
  </si>
  <si>
    <t>Piezas Totales Producidas</t>
  </si>
  <si>
    <t>OEE (Overall Equipment Effectiveness)</t>
  </si>
  <si>
    <t>Horas Productivas Mensuales (h)</t>
  </si>
  <si>
    <t>Repuestos</t>
  </si>
  <si>
    <t>VALOR DOLAR:</t>
  </si>
  <si>
    <t>SUPERIOR</t>
  </si>
  <si>
    <t>Tipo de Costo</t>
  </si>
  <si>
    <t>Subconcepto</t>
  </si>
  <si>
    <t>Descripción</t>
  </si>
  <si>
    <t>Unidad</t>
  </si>
  <si>
    <t>Valor</t>
  </si>
  <si>
    <t>Observaciones</t>
  </si>
  <si>
    <t>Costo de Operación Indirecto</t>
  </si>
  <si>
    <t>$/u</t>
  </si>
  <si>
    <t>Repuesto 3</t>
  </si>
  <si>
    <t>Repuesto 4</t>
  </si>
  <si>
    <t>Repuesto 5</t>
  </si>
  <si>
    <t>Repuesto 6</t>
  </si>
  <si>
    <t>Repuesto 7</t>
  </si>
  <si>
    <t>Costos Operativos Indirectos</t>
  </si>
  <si>
    <t>Costo de Posesión - Depreciación</t>
  </si>
  <si>
    <t>Valor de Adquisición</t>
  </si>
  <si>
    <t>$</t>
  </si>
  <si>
    <t xml:space="preserve">Vida Util </t>
  </si>
  <si>
    <t>Años</t>
  </si>
  <si>
    <t>Valor Residual</t>
  </si>
  <si>
    <t>Horas anuales de utilización</t>
  </si>
  <si>
    <t>h/año</t>
  </si>
  <si>
    <t>Ajuste Extra</t>
  </si>
  <si>
    <t>$/h</t>
  </si>
  <si>
    <t>Costos Operativos Directos</t>
  </si>
  <si>
    <t>Energía Eléctrica</t>
  </si>
  <si>
    <t>Costo de Operación Directo</t>
  </si>
  <si>
    <t>Lubricantes</t>
  </si>
  <si>
    <t>$/L</t>
  </si>
  <si>
    <t>Aire Comprimido</t>
  </si>
  <si>
    <t>kW</t>
  </si>
  <si>
    <t>Refrigerantes</t>
  </si>
  <si>
    <t>ANALISIS DE COSTOS MAQUINARIA</t>
  </si>
  <si>
    <t>MAQUINA:</t>
  </si>
  <si>
    <t>OEE:</t>
  </si>
  <si>
    <t>Costo / Hora</t>
  </si>
  <si>
    <t>$/kWh</t>
  </si>
  <si>
    <t>Mano de Obra</t>
  </si>
  <si>
    <t>Mantenimiento</t>
  </si>
  <si>
    <t>Depreciación</t>
  </si>
  <si>
    <t>Costo de Posesión</t>
  </si>
  <si>
    <t>Herramienta 3</t>
  </si>
  <si>
    <t>Herramienta 4</t>
  </si>
  <si>
    <t xml:space="preserve">Costo de Transformacion </t>
  </si>
  <si>
    <t>ENGRASADORA MANUAL</t>
  </si>
  <si>
    <t>Roda Gabriel Cesar</t>
  </si>
  <si>
    <t>Deheza Pambosian Fernando</t>
  </si>
  <si>
    <t>Barrios Ortiz Ignacio</t>
  </si>
  <si>
    <t>Lorenzo</t>
  </si>
  <si>
    <t>Oficina Tecnica</t>
  </si>
  <si>
    <t>Ing. en Operaciones</t>
  </si>
  <si>
    <t>Luciano Cochis</t>
  </si>
  <si>
    <t>LAVADORA 0448</t>
  </si>
  <si>
    <t>TB-SCAMRIVT-40120 CONICO 518</t>
  </si>
  <si>
    <t>TE-SCAMRIVT-2060 CONICO 30207</t>
  </si>
  <si>
    <t>HERMANADORA MANUAL IM247</t>
  </si>
  <si>
    <t>PRENSA QY-16</t>
  </si>
  <si>
    <t>LAVADORA QXC-1-2 MS03</t>
  </si>
  <si>
    <t>LAVADORA QXC-1 MS04</t>
  </si>
  <si>
    <t>ANDEROMETRO IM-250</t>
  </si>
  <si>
    <t>ANDEROMETRO IM251</t>
  </si>
  <si>
    <t>ENGRASADORA AUTOMATICA MS04 ZYJ3H</t>
  </si>
  <si>
    <t>LASER CHICO 30</t>
  </si>
  <si>
    <t>LASER GRANDE 50</t>
  </si>
  <si>
    <t>PD52 POACHER</t>
  </si>
  <si>
    <t>RADIAL X095B</t>
  </si>
  <si>
    <t>LAVADO MANUAL PMT25-36</t>
  </si>
  <si>
    <t>HERMANADORA MANUAL IM248</t>
  </si>
  <si>
    <t>RADIAL X095A</t>
  </si>
  <si>
    <t>DESIMANTADOR NS-400-B1</t>
  </si>
  <si>
    <t>LAVADORA GRANDE PMD-SJ</t>
  </si>
  <si>
    <t>1-B/2-A</t>
  </si>
  <si>
    <t>Herramienta 5</t>
  </si>
  <si>
    <t>Fecha de Adquisición</t>
  </si>
  <si>
    <t>Fecha</t>
  </si>
  <si>
    <t>Compresor</t>
  </si>
  <si>
    <t>Aceite Hidraulico BP68</t>
  </si>
  <si>
    <t xml:space="preserve"> Balde de 20 Litros</t>
  </si>
  <si>
    <t>Ajustado a Valor Dólar $1455 del dia 06/10/25</t>
  </si>
  <si>
    <t>Aceite Hidraulico BP32</t>
  </si>
  <si>
    <t>Ajustado a Valor Dólar $1450 del dia 03/10/25</t>
  </si>
  <si>
    <t>Grasa</t>
  </si>
  <si>
    <t>Renolit Poliplex 2</t>
  </si>
  <si>
    <t>Balde de 4 kgs</t>
  </si>
  <si>
    <t>$/kg</t>
  </si>
  <si>
    <t>Ajustado a Valor Dólar $1175 del dia 09/10/24</t>
  </si>
  <si>
    <t>TRA SM 502 Soluble semi p/rectif</t>
  </si>
  <si>
    <t>Balde de 20 Litros</t>
  </si>
  <si>
    <t>Ajustado a Valor Dólar $1475 del dia 20/10/25</t>
  </si>
  <si>
    <t>Solvente</t>
  </si>
  <si>
    <t xml:space="preserve">PROTENOLD 261 </t>
  </si>
  <si>
    <t>(Sin cantidad aclarada)</t>
  </si>
  <si>
    <t>Solvente 261</t>
  </si>
  <si>
    <t>TRADIMEX - Ajustado a Valor Dólar $1140 del dia 15/11/24</t>
  </si>
  <si>
    <t>THINNER TEDE SRL - Ajustado a Valor Dólar $1520 del dia 19/09/25</t>
  </si>
  <si>
    <t>Repuesto 1</t>
  </si>
  <si>
    <t>Repuesto 2</t>
  </si>
  <si>
    <t>Compresor - Filtro de Aceite</t>
  </si>
  <si>
    <t>Cotizado el 15/02/2010</t>
  </si>
  <si>
    <t>Compresor - Filtro de Aire</t>
  </si>
  <si>
    <t xml:space="preserve">Compresor - Aceite Roto Inject Fluid </t>
  </si>
  <si>
    <t>Compresor - Kit Separador de Aceite</t>
  </si>
  <si>
    <t>Vida Util Auxiliar [hs/u]</t>
  </si>
  <si>
    <t>Atlas Copco - 20+5 L</t>
  </si>
  <si>
    <t>Anticorrosivos</t>
  </si>
  <si>
    <t>Solventes</t>
  </si>
  <si>
    <t>Fijadores</t>
  </si>
  <si>
    <t>Loctite 609</t>
  </si>
  <si>
    <t>50 ml</t>
  </si>
  <si>
    <t>Factura del 23/10/25 - Guantex</t>
  </si>
  <si>
    <t>Ensamble</t>
  </si>
  <si>
    <t>ANTICORROSIVO</t>
  </si>
  <si>
    <t>Balde de 200 Litros</t>
  </si>
  <si>
    <t>Jonatan Guardia</t>
  </si>
  <si>
    <t>Caja de Herramientas</t>
  </si>
  <si>
    <t>PRENSA QY-10-1</t>
  </si>
  <si>
    <t>PRENSA QY-10-2</t>
  </si>
  <si>
    <t>PRENSA QY-10-3</t>
  </si>
  <si>
    <t>INDICE</t>
  </si>
  <si>
    <t>N</t>
  </si>
  <si>
    <t>Maquina / Proceso</t>
  </si>
  <si>
    <t xml:space="preserve"> - </t>
  </si>
  <si>
    <t>INFO-OEE</t>
  </si>
  <si>
    <t>INFO-Personal</t>
  </si>
  <si>
    <t>INFO-Direc</t>
  </si>
  <si>
    <t>INFO-Mant</t>
  </si>
  <si>
    <t>INFO-Pos</t>
  </si>
  <si>
    <t>INFO-INSUMOS-P</t>
  </si>
  <si>
    <t xml:space="preserve">ENGRASADORA AUTOM MS04 ZYJ3H </t>
  </si>
  <si>
    <t>HERMANADORA AUT MS05 LHT90</t>
  </si>
  <si>
    <t>HER. AUT JAULA MS05 BCJT03</t>
  </si>
  <si>
    <t>EPEC kW</t>
  </si>
  <si>
    <t>EPEC kWh</t>
  </si>
  <si>
    <t>$/kW</t>
  </si>
  <si>
    <t>Produccion</t>
  </si>
  <si>
    <t>HER. AUT JAULA MS04 BCJL02A</t>
  </si>
  <si>
    <t>HER. AUT MS04 DP 03TQJ3</t>
  </si>
  <si>
    <t>ENGRASADORA MS03 0510-5120051</t>
  </si>
  <si>
    <t>HER. AUT JAULA MS03 BCJL02A</t>
  </si>
  <si>
    <t>HER. AUT MS03 DP 02HTQJ2</t>
  </si>
  <si>
    <t>HER. AUT JAULA-MS03 BCJL02A</t>
  </si>
  <si>
    <t>HER. AUT JAULA-MS04 BCJL02A</t>
  </si>
  <si>
    <t>JONATAN GUARDIA</t>
  </si>
  <si>
    <t>PRODUCCION</t>
  </si>
  <si>
    <t>PROCUCCION</t>
  </si>
  <si>
    <t>J.GUARDIA</t>
  </si>
  <si>
    <t>ACLARACIONES: (Operarios)</t>
  </si>
  <si>
    <t>Simultaneidad Horizontal: H</t>
  </si>
  <si>
    <t>Simultaneidad Vertical: V</t>
  </si>
  <si>
    <t>1</t>
  </si>
  <si>
    <t>1-A/2/3-A</t>
  </si>
  <si>
    <t>2</t>
  </si>
  <si>
    <t>Mobil Polyrex EM103</t>
  </si>
  <si>
    <t>Balde de 16Kg</t>
  </si>
  <si>
    <t>Ajustado a Valor Dólar $1474.51 del dia 18/12/25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</si>
</sst>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7" formatCode="&quot;$&quot;\ #,##0.00;\-&quot;$&quot;\ #,##0.00"/>
    <numFmt numFmtId="44" formatCode="_-&quot;$&quot;\ * #,##0.00_-;\-&quot;$&quot;\ * #,##0.00_-;_-&quot;$&quot;\ * &quot;-&quot;??_-;_-@_-"/>
    <numFmt numFmtId="164" formatCode="&quot;$&quot;\ #,##0.00"/>
    <numFmt numFmtId="165" formatCode="#,##0.00\ &quot;€&quot;;\-#,##0.00\ &quot;€&quot;"/>
    <numFmt numFmtId="166" formatCode="&quot;$&quot;\ #,##0.000"/>
  </numFmts>
  <fonts count="33">
    <font>
      <sz val="11"/>
      <color theme="1" tint="0.24994659260841701"/>
      <name val="Calibri"/>
      <family val="2"/>
      <scheme val="minor"/>
    </font>
    <font>
      <sz val="11"/>
      <color theme="1" tint="0.24994659260841701"/>
      <name val="Calibri"/>
      <family val="2"/>
      <scheme val="minor"/>
    </font>
    <font>
      <sz val="24"/>
      <color theme="4" tint="-0.499984740745262"/>
      <name val="Calibri Light"/>
      <family val="2"/>
      <scheme val="major"/>
    </font>
    <font>
      <sz val="24"/>
      <color rgb="FF0070C0"/>
      <name val="Manrope"/>
    </font>
    <font>
      <sz val="24"/>
      <color theme="4" tint="-0.499984740745262"/>
      <name val="Manrope"/>
    </font>
    <font>
      <sz val="11"/>
      <color theme="1" tint="0.24994659260841701"/>
      <name val="Manrope"/>
    </font>
    <font>
      <b/>
      <sz val="11"/>
      <color theme="4" tint="-0.499984740745262"/>
      <name val="Calibri Light"/>
      <family val="2"/>
      <scheme val="major"/>
    </font>
    <font>
      <b/>
      <sz val="11"/>
      <color rgb="FF0070C0"/>
      <name val="Manrope"/>
    </font>
    <font>
      <b/>
      <sz val="11"/>
      <color theme="4" tint="-0.499984740745262"/>
      <name val="Manrope"/>
    </font>
    <font>
      <b/>
      <sz val="12"/>
      <color theme="4" tint="-0.499984740745262"/>
      <name val="Calibri Light"/>
      <family val="2"/>
      <scheme val="major"/>
    </font>
    <font>
      <b/>
      <sz val="12"/>
      <color rgb="FF0070C0"/>
      <name val="Manrope"/>
    </font>
    <font>
      <b/>
      <sz val="12"/>
      <color theme="4" tint="-0.499984740745262"/>
      <name val="Manrope"/>
    </font>
    <font>
      <sz val="11"/>
      <color theme="1" tint="0.24994659260841701"/>
      <name val="Calibri Light"/>
      <family val="2"/>
      <scheme val="major"/>
    </font>
    <font>
      <b/>
      <i/>
      <sz val="11"/>
      <color rgb="FF0070C0"/>
      <name val="Manrope"/>
    </font>
    <font>
      <b/>
      <sz val="11"/>
      <color theme="5" tint="-0.249977111117893"/>
      <name val="Manrope"/>
    </font>
    <font>
      <b/>
      <sz val="11"/>
      <color rgb="FF002060"/>
      <name val="Manrope"/>
    </font>
    <font>
      <sz val="11"/>
      <color theme="1" tint="0.24994659260841701"/>
      <name val="Marope"/>
    </font>
    <font>
      <sz val="10"/>
      <name val="Tahoma"/>
      <family val="2"/>
    </font>
    <font>
      <b/>
      <sz val="11"/>
      <color rgb="FF0066CC"/>
      <name val="Manrope"/>
    </font>
    <font>
      <b/>
      <sz val="11"/>
      <color theme="1"/>
      <name val="Calibri"/>
      <family val="2"/>
      <scheme val="minor"/>
    </font>
    <font>
      <sz val="11"/>
      <name val="Manrope"/>
    </font>
    <font>
      <u/>
      <sz val="11"/>
      <color theme="1" tint="0.24994659260841701"/>
      <name val="Calibri Light"/>
      <family val="2"/>
      <scheme val="major"/>
    </font>
    <font>
      <sz val="12"/>
      <color theme="1" tint="0.24994659260841701"/>
      <name val="Manrope"/>
    </font>
    <font>
      <b/>
      <sz val="11"/>
      <name val="Manrope"/>
    </font>
    <font>
      <sz val="12"/>
      <color theme="1" tint="0.24994659260841701"/>
      <name val="Calibri"/>
      <family val="2"/>
      <scheme val="minor"/>
    </font>
    <font>
      <b/>
      <sz val="14"/>
      <color rgb="FF0070C0"/>
      <name val="Manrope"/>
    </font>
    <font>
      <sz val="12"/>
      <color theme="1" tint="4.9989318521683403E-2"/>
      <name val="Manrope"/>
    </font>
    <font>
      <b/>
      <sz val="12"/>
      <color theme="1" tint="4.9989318521683403E-2"/>
      <name val="Manrope"/>
    </font>
    <font>
      <sz val="36"/>
      <color rgb="FF0070C0"/>
      <name val="Manrope"/>
    </font>
    <font>
      <sz val="28"/>
      <color rgb="FF0070C0"/>
      <name val="Manrope"/>
    </font>
    <font>
      <u/>
      <sz val="11"/>
      <color theme="10"/>
      <name val="Calibri"/>
      <family val="2"/>
      <scheme val="minor"/>
    </font>
    <font>
      <sz val="12"/>
      <color rgb="FF0000DF"/>
      <name val="Manrope"/>
    </font>
    <font>
      <b/>
      <sz val="11"/>
      <color theme="4" tint="-0.249977111117893"/>
      <name val="Manrope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1" tint="0.34998626667073579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9" fontId="1" fillId="0" borderId="0" applyFill="0" applyBorder="0" applyAlignment="0" applyProtection="0"/>
    <xf numFmtId="0" fontId="2" fillId="0" borderId="0" applyProtection="0">
      <alignment vertical="top"/>
    </xf>
    <xf numFmtId="0" fontId="9" fillId="0" borderId="0" applyFill="0" applyProtection="0"/>
    <xf numFmtId="0" fontId="6" fillId="0" borderId="0" applyFill="0" applyProtection="0">
      <alignment horizontal="right" vertical="center" wrapText="1"/>
    </xf>
    <xf numFmtId="0" fontId="12" fillId="0" borderId="0" applyFill="0" applyProtection="0">
      <alignment horizontal="right" vertical="center" indent="1"/>
    </xf>
    <xf numFmtId="0" fontId="1" fillId="0" borderId="5">
      <alignment horizontal="left" vertical="center" wrapText="1"/>
    </xf>
    <xf numFmtId="14" fontId="1" fillId="0" borderId="0">
      <alignment horizontal="left" vertical="center"/>
    </xf>
    <xf numFmtId="165" fontId="19" fillId="4" borderId="50">
      <alignment horizontal="center"/>
    </xf>
    <xf numFmtId="44" fontId="1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6" fillId="0" borderId="0" applyFill="0" applyProtection="0">
      <alignment horizontal="right" vertical="center" wrapText="1"/>
    </xf>
  </cellStyleXfs>
  <cellXfs count="412">
    <xf numFmtId="0" fontId="0" fillId="0" borderId="0" xfId="0"/>
    <xf numFmtId="0" fontId="3" fillId="0" borderId="1" xfId="2" applyFont="1" applyBorder="1">
      <alignment vertical="top"/>
    </xf>
    <xf numFmtId="0" fontId="3" fillId="0" borderId="2" xfId="2" applyFont="1" applyBorder="1">
      <alignment vertical="top"/>
    </xf>
    <xf numFmtId="0" fontId="4" fillId="0" borderId="2" xfId="2" applyFont="1" applyBorder="1">
      <alignment vertical="top"/>
    </xf>
    <xf numFmtId="0" fontId="5" fillId="0" borderId="2" xfId="0" applyFont="1" applyBorder="1"/>
    <xf numFmtId="0" fontId="5" fillId="0" borderId="3" xfId="0" applyFont="1" applyBorder="1"/>
    <xf numFmtId="0" fontId="7" fillId="0" borderId="4" xfId="4" applyFont="1" applyBorder="1" applyAlignment="1">
      <alignment horizontal="right" wrapText="1"/>
    </xf>
    <xf numFmtId="14" fontId="5" fillId="0" borderId="5" xfId="6" applyNumberFormat="1" applyFont="1" applyBorder="1" applyAlignment="1">
      <alignment horizontal="center" wrapText="1"/>
    </xf>
    <xf numFmtId="0" fontId="7" fillId="0" borderId="0" xfId="4" applyFont="1" applyBorder="1" applyAlignment="1">
      <alignment horizontal="right" wrapText="1"/>
    </xf>
    <xf numFmtId="0" fontId="8" fillId="0" borderId="0" xfId="4" applyFont="1" applyBorder="1">
      <alignment horizontal="right" vertical="center" wrapText="1"/>
    </xf>
    <xf numFmtId="14" fontId="8" fillId="0" borderId="6" xfId="4" applyNumberFormat="1" applyFont="1" applyBorder="1">
      <alignment horizontal="right" vertical="center" wrapText="1"/>
    </xf>
    <xf numFmtId="0" fontId="0" fillId="0" borderId="0" xfId="0" applyBorder="1"/>
    <xf numFmtId="0" fontId="10" fillId="0" borderId="4" xfId="3" applyFont="1" applyBorder="1"/>
    <xf numFmtId="0" fontId="11" fillId="0" borderId="0" xfId="3" applyFont="1" applyBorder="1"/>
    <xf numFmtId="0" fontId="5" fillId="0" borderId="0" xfId="0" applyFont="1" applyBorder="1"/>
    <xf numFmtId="0" fontId="5" fillId="0" borderId="6" xfId="0" applyFont="1" applyBorder="1"/>
    <xf numFmtId="0" fontId="5" fillId="0" borderId="4" xfId="5" applyFont="1" applyBorder="1" applyAlignment="1">
      <alignment horizontal="right"/>
    </xf>
    <xf numFmtId="0" fontId="5" fillId="0" borderId="0" xfId="5" applyFont="1" applyBorder="1" applyAlignment="1">
      <alignment horizontal="right" indent="1"/>
    </xf>
    <xf numFmtId="0" fontId="5" fillId="0" borderId="6" xfId="5" applyFont="1" applyBorder="1">
      <alignment horizontal="right" vertical="center" indent="1"/>
    </xf>
    <xf numFmtId="0" fontId="5" fillId="0" borderId="4" xfId="5" applyFont="1" applyBorder="1" applyAlignment="1">
      <alignment horizontal="right" vertical="center" indent="1"/>
    </xf>
    <xf numFmtId="0" fontId="5" fillId="0" borderId="0" xfId="5" applyFont="1" applyBorder="1" applyAlignment="1">
      <alignment horizontal="right" vertical="center" indent="1"/>
    </xf>
    <xf numFmtId="0" fontId="5" fillId="0" borderId="0" xfId="6" applyFont="1" applyBorder="1">
      <alignment horizontal="left" vertical="center" wrapText="1"/>
    </xf>
    <xf numFmtId="0" fontId="5" fillId="0" borderId="0" xfId="5" applyFont="1" applyBorder="1">
      <alignment horizontal="right" vertical="center" indent="1"/>
    </xf>
    <xf numFmtId="0" fontId="5" fillId="0" borderId="0" xfId="6" applyFont="1" applyBorder="1" applyAlignment="1">
      <alignment vertical="center" wrapText="1"/>
    </xf>
    <xf numFmtId="0" fontId="5" fillId="0" borderId="12" xfId="5" applyFont="1" applyBorder="1" applyAlignment="1" applyProtection="1">
      <alignment horizontal="center" vertical="center" wrapText="1"/>
      <protection locked="0"/>
    </xf>
    <xf numFmtId="0" fontId="5" fillId="0" borderId="15" xfId="5" applyFont="1" applyBorder="1" applyAlignment="1" applyProtection="1">
      <alignment horizontal="center"/>
      <protection locked="0"/>
    </xf>
    <xf numFmtId="0" fontId="5" fillId="0" borderId="13" xfId="5" applyFont="1" applyBorder="1" applyAlignment="1" applyProtection="1">
      <alignment horizontal="center" vertical="center" wrapText="1"/>
      <protection locked="0"/>
    </xf>
    <xf numFmtId="164" fontId="5" fillId="0" borderId="13" xfId="5" applyNumberFormat="1" applyFont="1" applyBorder="1" applyAlignment="1" applyProtection="1">
      <alignment horizontal="center" vertical="center" wrapText="1"/>
    </xf>
    <xf numFmtId="49" fontId="5" fillId="0" borderId="13" xfId="5" applyNumberFormat="1" applyFont="1" applyBorder="1" applyAlignment="1" applyProtection="1">
      <alignment horizontal="center" vertical="center"/>
      <protection locked="0"/>
    </xf>
    <xf numFmtId="0" fontId="0" fillId="0" borderId="4" xfId="0" applyBorder="1"/>
    <xf numFmtId="0" fontId="5" fillId="0" borderId="0" xfId="5" applyFont="1" applyBorder="1" applyProtection="1">
      <alignment horizontal="right" vertical="center" indent="1"/>
    </xf>
    <xf numFmtId="0" fontId="5" fillId="0" borderId="6" xfId="5" applyFont="1" applyBorder="1" applyAlignment="1" applyProtection="1">
      <alignment horizontal="center" vertical="center"/>
    </xf>
    <xf numFmtId="0" fontId="14" fillId="0" borderId="0" xfId="4" applyFont="1" applyBorder="1" applyAlignment="1">
      <alignment horizontal="right"/>
    </xf>
    <xf numFmtId="0" fontId="14" fillId="0" borderId="4" xfId="4" applyFont="1" applyBorder="1">
      <alignment horizontal="right" vertical="center" wrapText="1"/>
    </xf>
    <xf numFmtId="0" fontId="5" fillId="0" borderId="6" xfId="5" applyFont="1" applyBorder="1" applyAlignment="1">
      <alignment horizontal="center" vertical="center" wrapText="1"/>
    </xf>
    <xf numFmtId="0" fontId="5" fillId="0" borderId="19" xfId="5" applyFont="1" applyBorder="1" applyAlignment="1">
      <alignment horizontal="right" vertical="center" indent="1"/>
    </xf>
    <xf numFmtId="0" fontId="5" fillId="0" borderId="20" xfId="5" applyFont="1" applyBorder="1" applyAlignment="1">
      <alignment horizontal="right" vertical="center" indent="1"/>
    </xf>
    <xf numFmtId="0" fontId="5" fillId="0" borderId="20" xfId="6" applyFont="1" applyBorder="1" applyAlignment="1">
      <alignment vertical="center" wrapText="1"/>
    </xf>
    <xf numFmtId="0" fontId="5" fillId="0" borderId="20" xfId="0" applyFont="1" applyBorder="1"/>
    <xf numFmtId="0" fontId="5" fillId="0" borderId="23" xfId="5" applyFont="1" applyBorder="1" applyAlignment="1">
      <alignment horizontal="center" vertical="center" wrapText="1"/>
    </xf>
    <xf numFmtId="0" fontId="12" fillId="0" borderId="0" xfId="5" applyAlignment="1">
      <alignment horizontal="right" vertical="center" indent="1"/>
    </xf>
    <xf numFmtId="0" fontId="17" fillId="0" borderId="0" xfId="0" applyFont="1" applyAlignment="1">
      <alignment horizontal="center"/>
    </xf>
    <xf numFmtId="0" fontId="12" fillId="0" borderId="0" xfId="5" applyBorder="1" applyAlignment="1">
      <alignment horizontal="center" vertical="center"/>
    </xf>
    <xf numFmtId="164" fontId="0" fillId="0" borderId="0" xfId="0" applyNumberFormat="1"/>
    <xf numFmtId="0" fontId="6" fillId="0" borderId="0" xfId="4">
      <alignment horizontal="right" vertical="center" wrapText="1"/>
    </xf>
    <xf numFmtId="0" fontId="10" fillId="3" borderId="9" xfId="5" applyFont="1" applyFill="1" applyBorder="1" applyAlignment="1" applyProtection="1">
      <alignment horizontal="center" vertical="center"/>
      <protection locked="0"/>
    </xf>
    <xf numFmtId="0" fontId="10" fillId="3" borderId="9" xfId="5" applyFont="1" applyFill="1" applyBorder="1" applyAlignment="1" applyProtection="1">
      <alignment horizontal="center" vertical="center" wrapText="1"/>
      <protection locked="0"/>
    </xf>
    <xf numFmtId="0" fontId="10" fillId="2" borderId="9" xfId="5" applyFont="1" applyFill="1" applyBorder="1" applyAlignment="1" applyProtection="1">
      <alignment horizontal="center" vertical="center"/>
    </xf>
    <xf numFmtId="164" fontId="10" fillId="2" borderId="9" xfId="5" applyNumberFormat="1" applyFont="1" applyFill="1" applyBorder="1" applyAlignment="1" applyProtection="1">
      <alignment horizontal="center" vertical="center"/>
    </xf>
    <xf numFmtId="0" fontId="10" fillId="3" borderId="9" xfId="5" applyFont="1" applyFill="1" applyBorder="1" applyAlignment="1" applyProtection="1">
      <alignment horizontal="center" vertical="center"/>
    </xf>
    <xf numFmtId="164" fontId="10" fillId="3" borderId="9" xfId="5" applyNumberFormat="1" applyFont="1" applyFill="1" applyBorder="1" applyAlignment="1" applyProtection="1">
      <alignment horizontal="center" vertical="center"/>
    </xf>
    <xf numFmtId="164" fontId="13" fillId="3" borderId="9" xfId="5" applyNumberFormat="1" applyFont="1" applyFill="1" applyBorder="1" applyAlignment="1" applyProtection="1">
      <alignment horizontal="center" vertical="center" wrapText="1"/>
    </xf>
    <xf numFmtId="0" fontId="15" fillId="2" borderId="13" xfId="6" applyFont="1" applyFill="1" applyBorder="1" applyAlignment="1">
      <alignment horizontal="center" vertical="center" wrapText="1"/>
    </xf>
    <xf numFmtId="0" fontId="15" fillId="2" borderId="13" xfId="0" applyFont="1" applyFill="1" applyBorder="1" applyAlignment="1">
      <alignment horizontal="center" vertical="center"/>
    </xf>
    <xf numFmtId="9" fontId="16" fillId="4" borderId="13" xfId="1" applyFont="1" applyFill="1" applyBorder="1" applyAlignment="1">
      <alignment horizontal="center" vertical="center"/>
    </xf>
    <xf numFmtId="9" fontId="16" fillId="4" borderId="13" xfId="1" applyFont="1" applyFill="1" applyBorder="1" applyAlignment="1">
      <alignment horizontal="center" vertical="center" wrapText="1"/>
    </xf>
    <xf numFmtId="0" fontId="7" fillId="0" borderId="0" xfId="4" applyFont="1" applyBorder="1" applyAlignment="1">
      <alignment horizontal="left"/>
    </xf>
    <xf numFmtId="0" fontId="7" fillId="0" borderId="0" xfId="4" applyFont="1" applyBorder="1" applyAlignment="1">
      <alignment horizontal="right"/>
    </xf>
    <xf numFmtId="0" fontId="7" fillId="0" borderId="4" xfId="4" applyFont="1" applyBorder="1">
      <alignment horizontal="right" vertical="center" wrapText="1"/>
    </xf>
    <xf numFmtId="0" fontId="5" fillId="0" borderId="24" xfId="5" applyFont="1" applyBorder="1" applyAlignment="1" applyProtection="1">
      <alignment horizontal="center"/>
      <protection locked="0"/>
    </xf>
    <xf numFmtId="0" fontId="5" fillId="0" borderId="25" xfId="5" applyFont="1" applyBorder="1" applyAlignment="1" applyProtection="1">
      <alignment horizontal="center"/>
      <protection locked="0"/>
    </xf>
    <xf numFmtId="49" fontId="5" fillId="0" borderId="12" xfId="5" applyNumberFormat="1" applyFont="1" applyBorder="1" applyAlignment="1" applyProtection="1">
      <alignment horizontal="center" vertical="center"/>
      <protection locked="0"/>
    </xf>
    <xf numFmtId="49" fontId="5" fillId="0" borderId="14" xfId="5" applyNumberFormat="1" applyFont="1" applyBorder="1" applyAlignment="1" applyProtection="1">
      <alignment horizontal="center" vertical="center"/>
      <protection locked="0"/>
    </xf>
    <xf numFmtId="49" fontId="5" fillId="0" borderId="16" xfId="5" applyNumberFormat="1" applyFont="1" applyBorder="1" applyAlignment="1" applyProtection="1">
      <alignment horizontal="center" vertical="center"/>
      <protection locked="0"/>
    </xf>
    <xf numFmtId="49" fontId="5" fillId="0" borderId="8" xfId="5" applyNumberFormat="1" applyFont="1" applyBorder="1" applyAlignment="1" applyProtection="1">
      <alignment horizontal="center" vertical="center"/>
      <protection locked="0"/>
    </xf>
    <xf numFmtId="49" fontId="5" fillId="0" borderId="17" xfId="5" applyNumberFormat="1" applyFont="1" applyBorder="1" applyAlignment="1" applyProtection="1">
      <alignment horizontal="center" vertical="center"/>
      <protection locked="0"/>
    </xf>
    <xf numFmtId="49" fontId="5" fillId="0" borderId="18" xfId="5" applyNumberFormat="1" applyFont="1" applyBorder="1" applyAlignment="1" applyProtection="1">
      <alignment horizontal="center" vertical="center"/>
      <protection locked="0"/>
    </xf>
    <xf numFmtId="0" fontId="10" fillId="3" borderId="21" xfId="5" applyFont="1" applyFill="1" applyBorder="1" applyAlignment="1" applyProtection="1">
      <alignment horizontal="center" vertical="center"/>
    </xf>
    <xf numFmtId="0" fontId="5" fillId="0" borderId="0" xfId="5" applyFont="1" applyBorder="1" applyAlignment="1" applyProtection="1">
      <alignment horizontal="center" vertical="center"/>
    </xf>
    <xf numFmtId="0" fontId="5" fillId="0" borderId="18" xfId="5" applyFont="1" applyBorder="1" applyAlignment="1" applyProtection="1">
      <alignment horizontal="center" vertical="center" wrapText="1"/>
      <protection locked="0"/>
    </xf>
    <xf numFmtId="0" fontId="5" fillId="0" borderId="7" xfId="5" applyFont="1" applyBorder="1" applyAlignment="1" applyProtection="1">
      <alignment vertical="center"/>
      <protection locked="0"/>
    </xf>
    <xf numFmtId="164" fontId="5" fillId="0" borderId="27" xfId="5" applyNumberFormat="1" applyFont="1" applyBorder="1" applyAlignment="1" applyProtection="1">
      <alignment horizontal="center" vertical="center" wrapText="1"/>
    </xf>
    <xf numFmtId="0" fontId="5" fillId="0" borderId="7" xfId="5" applyFont="1" applyBorder="1" applyAlignment="1">
      <alignment vertical="center"/>
    </xf>
    <xf numFmtId="0" fontId="5" fillId="0" borderId="8" xfId="5" applyFont="1" applyBorder="1" applyAlignment="1">
      <alignment vertical="center"/>
    </xf>
    <xf numFmtId="0" fontId="5" fillId="0" borderId="13" xfId="5" applyFont="1" applyBorder="1" applyAlignment="1" applyProtection="1">
      <alignment horizontal="center" vertical="center"/>
      <protection locked="0"/>
    </xf>
    <xf numFmtId="0" fontId="15" fillId="0" borderId="4" xfId="4" applyFont="1" applyBorder="1">
      <alignment horizontal="right" vertical="center" wrapText="1"/>
    </xf>
    <xf numFmtId="0" fontId="15" fillId="0" borderId="0" xfId="4" applyFont="1" applyBorder="1" applyAlignment="1">
      <alignment horizontal="right"/>
    </xf>
    <xf numFmtId="0" fontId="21" fillId="0" borderId="0" xfId="5" applyFont="1" applyAlignment="1">
      <alignment horizontal="right" vertical="center" indent="1"/>
    </xf>
    <xf numFmtId="10" fontId="10" fillId="3" borderId="9" xfId="5" applyNumberFormat="1" applyFont="1" applyFill="1" applyBorder="1" applyAlignment="1" applyProtection="1">
      <alignment horizontal="center" vertical="center"/>
    </xf>
    <xf numFmtId="2" fontId="10" fillId="3" borderId="9" xfId="5" applyNumberFormat="1" applyFont="1" applyFill="1" applyBorder="1" applyAlignment="1" applyProtection="1">
      <alignment horizontal="center" vertical="center"/>
    </xf>
    <xf numFmtId="0" fontId="0" fillId="0" borderId="0" xfId="0" applyProtection="1">
      <protection locked="0"/>
    </xf>
    <xf numFmtId="0" fontId="3" fillId="0" borderId="1" xfId="2" applyFont="1" applyBorder="1" applyProtection="1">
      <alignment vertical="top"/>
      <protection locked="0"/>
    </xf>
    <xf numFmtId="0" fontId="4" fillId="0" borderId="2" xfId="2" applyFont="1" applyBorder="1" applyProtection="1">
      <alignment vertical="top"/>
      <protection locked="0"/>
    </xf>
    <xf numFmtId="0" fontId="5" fillId="0" borderId="2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7" fillId="0" borderId="4" xfId="4" applyFont="1" applyBorder="1" applyAlignment="1" applyProtection="1">
      <alignment horizontal="right" wrapText="1"/>
      <protection locked="0"/>
    </xf>
    <xf numFmtId="14" fontId="5" fillId="0" borderId="5" xfId="6" applyNumberFormat="1" applyFont="1" applyBorder="1" applyAlignment="1" applyProtection="1">
      <alignment horizontal="center" wrapText="1"/>
      <protection locked="0"/>
    </xf>
    <xf numFmtId="0" fontId="8" fillId="0" borderId="0" xfId="4" applyFont="1" applyBorder="1" applyProtection="1">
      <alignment horizontal="right" vertical="center" wrapText="1"/>
      <protection locked="0"/>
    </xf>
    <xf numFmtId="14" fontId="8" fillId="0" borderId="6" xfId="4" applyNumberFormat="1" applyFont="1" applyBorder="1" applyProtection="1">
      <alignment horizontal="right" vertical="center" wrapText="1"/>
      <protection locked="0"/>
    </xf>
    <xf numFmtId="0" fontId="0" fillId="0" borderId="0" xfId="0" applyBorder="1" applyProtection="1">
      <protection locked="0"/>
    </xf>
    <xf numFmtId="0" fontId="10" fillId="0" borderId="4" xfId="3" applyFont="1" applyBorder="1" applyProtection="1">
      <protection locked="0"/>
    </xf>
    <xf numFmtId="0" fontId="11" fillId="0" borderId="0" xfId="3" applyFont="1" applyBorder="1" applyProtection="1">
      <protection locked="0"/>
    </xf>
    <xf numFmtId="0" fontId="5" fillId="0" borderId="0" xfId="0" applyFont="1" applyBorder="1" applyProtection="1">
      <protection locked="0"/>
    </xf>
    <xf numFmtId="0" fontId="5" fillId="0" borderId="6" xfId="0" applyFont="1" applyBorder="1" applyProtection="1">
      <protection locked="0"/>
    </xf>
    <xf numFmtId="0" fontId="5" fillId="0" borderId="4" xfId="5" applyFont="1" applyBorder="1" applyAlignment="1" applyProtection="1">
      <alignment horizontal="right"/>
      <protection locked="0"/>
    </xf>
    <xf numFmtId="0" fontId="5" fillId="0" borderId="0" xfId="5" applyFont="1" applyBorder="1" applyAlignment="1" applyProtection="1">
      <alignment horizontal="right" indent="1"/>
      <protection locked="0"/>
    </xf>
    <xf numFmtId="0" fontId="5" fillId="0" borderId="6" xfId="5" applyFont="1" applyBorder="1" applyProtection="1">
      <alignment horizontal="right" vertical="center" indent="1"/>
      <protection locked="0"/>
    </xf>
    <xf numFmtId="0" fontId="5" fillId="0" borderId="8" xfId="5" applyFont="1" applyBorder="1" applyAlignment="1" applyProtection="1">
      <alignment vertical="center"/>
      <protection locked="0"/>
    </xf>
    <xf numFmtId="0" fontId="5" fillId="0" borderId="4" xfId="5" applyFont="1" applyBorder="1" applyAlignment="1" applyProtection="1">
      <alignment horizontal="right" vertical="center" indent="1"/>
      <protection locked="0"/>
    </xf>
    <xf numFmtId="0" fontId="5" fillId="0" borderId="0" xfId="5" applyFont="1" applyBorder="1" applyAlignment="1" applyProtection="1">
      <alignment horizontal="right" vertical="center" indent="1"/>
      <protection locked="0"/>
    </xf>
    <xf numFmtId="0" fontId="5" fillId="0" borderId="0" xfId="6" applyFont="1" applyBorder="1" applyProtection="1">
      <alignment horizontal="left" vertical="center" wrapText="1"/>
      <protection locked="0"/>
    </xf>
    <xf numFmtId="0" fontId="5" fillId="0" borderId="0" xfId="5" applyFont="1" applyBorder="1" applyProtection="1">
      <alignment horizontal="right" vertical="center" indent="1"/>
      <protection locked="0"/>
    </xf>
    <xf numFmtId="0" fontId="5" fillId="0" borderId="0" xfId="6" applyFont="1" applyBorder="1" applyAlignment="1" applyProtection="1">
      <alignment vertical="center" wrapText="1"/>
      <protection locked="0"/>
    </xf>
    <xf numFmtId="0" fontId="5" fillId="0" borderId="13" xfId="5" applyFont="1" applyBorder="1" applyProtection="1">
      <alignment horizontal="right" vertical="center" indent="1"/>
      <protection locked="0"/>
    </xf>
    <xf numFmtId="0" fontId="5" fillId="0" borderId="4" xfId="5" applyFont="1" applyBorder="1" applyAlignment="1" applyProtection="1">
      <alignment horizontal="center" vertical="center"/>
      <protection locked="0"/>
    </xf>
    <xf numFmtId="0" fontId="5" fillId="0" borderId="0" xfId="5" applyFont="1" applyBorder="1" applyAlignment="1" applyProtection="1">
      <alignment horizontal="center" vertical="center"/>
      <protection locked="0"/>
    </xf>
    <xf numFmtId="0" fontId="5" fillId="0" borderId="6" xfId="5" applyFont="1" applyBorder="1" applyAlignment="1" applyProtection="1">
      <alignment horizontal="center" vertical="center"/>
      <protection locked="0"/>
    </xf>
    <xf numFmtId="0" fontId="15" fillId="0" borderId="4" xfId="4" applyFont="1" applyBorder="1" applyProtection="1">
      <alignment horizontal="right" vertical="center" wrapText="1"/>
      <protection locked="0"/>
    </xf>
    <xf numFmtId="0" fontId="15" fillId="0" borderId="0" xfId="4" applyFont="1" applyBorder="1" applyAlignment="1" applyProtection="1">
      <alignment horizontal="right"/>
      <protection locked="0"/>
    </xf>
    <xf numFmtId="0" fontId="5" fillId="0" borderId="6" xfId="5" applyFont="1" applyBorder="1" applyAlignment="1" applyProtection="1">
      <alignment horizontal="center" vertical="center" wrapText="1"/>
      <protection locked="0"/>
    </xf>
    <xf numFmtId="0" fontId="5" fillId="0" borderId="19" xfId="5" applyFont="1" applyBorder="1" applyAlignment="1" applyProtection="1">
      <alignment horizontal="right" vertical="center" indent="1"/>
      <protection locked="0"/>
    </xf>
    <xf numFmtId="0" fontId="5" fillId="0" borderId="20" xfId="6" applyFont="1" applyBorder="1" applyAlignment="1" applyProtection="1">
      <alignment vertical="center" wrapText="1"/>
      <protection locked="0"/>
    </xf>
    <xf numFmtId="0" fontId="5" fillId="0" borderId="20" xfId="0" applyFont="1" applyBorder="1" applyProtection="1">
      <protection locked="0"/>
    </xf>
    <xf numFmtId="0" fontId="5" fillId="0" borderId="23" xfId="5" applyFont="1" applyBorder="1" applyAlignment="1" applyProtection="1">
      <alignment horizontal="center" vertical="center" wrapText="1"/>
      <protection locked="0"/>
    </xf>
    <xf numFmtId="0" fontId="12" fillId="0" borderId="0" xfId="5" applyAlignment="1" applyProtection="1">
      <alignment horizontal="right" vertical="center" indent="1"/>
      <protection locked="0"/>
    </xf>
    <xf numFmtId="0" fontId="17" fillId="0" borderId="0" xfId="0" applyFont="1" applyAlignment="1" applyProtection="1">
      <alignment horizontal="center"/>
      <protection locked="0"/>
    </xf>
    <xf numFmtId="0" fontId="12" fillId="0" borderId="0" xfId="5" applyBorder="1" applyAlignment="1" applyProtection="1">
      <alignment horizontal="center" vertical="center"/>
      <protection locked="0"/>
    </xf>
    <xf numFmtId="0" fontId="6" fillId="0" borderId="0" xfId="4" applyProtection="1">
      <alignment horizontal="right" vertical="center" wrapText="1"/>
      <protection locked="0"/>
    </xf>
    <xf numFmtId="0" fontId="10" fillId="3" borderId="21" xfId="5" applyFont="1" applyFill="1" applyBorder="1" applyAlignment="1" applyProtection="1">
      <alignment horizontal="center" vertical="center"/>
      <protection locked="0"/>
    </xf>
    <xf numFmtId="0" fontId="10" fillId="3" borderId="35" xfId="5" applyFont="1" applyFill="1" applyBorder="1" applyAlignment="1" applyProtection="1">
      <alignment horizontal="center" vertical="center"/>
      <protection locked="0"/>
    </xf>
    <xf numFmtId="0" fontId="5" fillId="4" borderId="13" xfId="5" applyFont="1" applyFill="1" applyBorder="1" applyProtection="1">
      <alignment horizontal="right" vertical="center" indent="1"/>
      <protection locked="0"/>
    </xf>
    <xf numFmtId="0" fontId="5" fillId="0" borderId="13" xfId="5" applyFont="1" applyBorder="1" applyAlignment="1" applyProtection="1">
      <alignment horizontal="right" vertical="center" indent="1"/>
      <protection locked="0"/>
    </xf>
    <xf numFmtId="0" fontId="5" fillId="0" borderId="4" xfId="5" applyFont="1" applyBorder="1" applyAlignment="1">
      <alignment horizontal="center" vertical="center"/>
    </xf>
    <xf numFmtId="0" fontId="5" fillId="0" borderId="0" xfId="5" applyFont="1" applyBorder="1" applyAlignment="1">
      <alignment horizontal="center" vertical="center"/>
    </xf>
    <xf numFmtId="0" fontId="5" fillId="0" borderId="6" xfId="5" applyFont="1" applyBorder="1" applyAlignment="1">
      <alignment horizontal="center" vertical="center"/>
    </xf>
    <xf numFmtId="0" fontId="7" fillId="0" borderId="0" xfId="4" applyFont="1" applyBorder="1" applyAlignment="1" applyProtection="1">
      <alignment horizontal="right" wrapText="1"/>
    </xf>
    <xf numFmtId="0" fontId="3" fillId="0" borderId="1" xfId="2" applyFont="1" applyBorder="1" applyProtection="1">
      <alignment vertical="top"/>
    </xf>
    <xf numFmtId="0" fontId="4" fillId="0" borderId="2" xfId="2" applyFont="1" applyBorder="1" applyProtection="1">
      <alignment vertical="top"/>
    </xf>
    <xf numFmtId="0" fontId="5" fillId="0" borderId="2" xfId="0" applyFont="1" applyBorder="1" applyProtection="1"/>
    <xf numFmtId="0" fontId="5" fillId="0" borderId="3" xfId="0" applyFont="1" applyBorder="1" applyProtection="1"/>
    <xf numFmtId="0" fontId="7" fillId="0" borderId="4" xfId="4" applyFont="1" applyBorder="1" applyAlignment="1" applyProtection="1">
      <alignment horizontal="right" wrapText="1"/>
    </xf>
    <xf numFmtId="14" fontId="5" fillId="0" borderId="0" xfId="6" applyNumberFormat="1" applyFont="1" applyBorder="1" applyAlignment="1" applyProtection="1">
      <alignment vertical="center" wrapText="1"/>
    </xf>
    <xf numFmtId="14" fontId="8" fillId="0" borderId="0" xfId="4" applyNumberFormat="1" applyFont="1" applyBorder="1" applyProtection="1">
      <alignment horizontal="right" vertical="center" wrapText="1"/>
    </xf>
    <xf numFmtId="14" fontId="5" fillId="0" borderId="0" xfId="7" applyNumberFormat="1" applyFont="1" applyBorder="1" applyAlignment="1" applyProtection="1">
      <alignment horizontal="center" vertical="center"/>
    </xf>
    <xf numFmtId="0" fontId="0" fillId="0" borderId="4" xfId="0" applyBorder="1" applyProtection="1">
      <protection locked="0"/>
    </xf>
    <xf numFmtId="14" fontId="20" fillId="0" borderId="0" xfId="6" applyNumberFormat="1" applyFont="1" applyBorder="1" applyAlignment="1" applyProtection="1">
      <alignment wrapText="1"/>
    </xf>
    <xf numFmtId="0" fontId="0" fillId="0" borderId="0" xfId="0" applyProtection="1"/>
    <xf numFmtId="14" fontId="20" fillId="0" borderId="0" xfId="6" applyNumberFormat="1" applyFont="1" applyBorder="1" applyAlignment="1" applyProtection="1">
      <alignment horizontal="center" wrapText="1"/>
    </xf>
    <xf numFmtId="14" fontId="5" fillId="0" borderId="6" xfId="7" applyNumberFormat="1" applyFont="1" applyBorder="1" applyAlignment="1" applyProtection="1">
      <alignment horizontal="center" vertical="center"/>
    </xf>
    <xf numFmtId="0" fontId="10" fillId="0" borderId="4" xfId="3" applyFont="1" applyBorder="1" applyProtection="1"/>
    <xf numFmtId="0" fontId="11" fillId="0" borderId="0" xfId="3" applyFont="1" applyBorder="1" applyProtection="1"/>
    <xf numFmtId="0" fontId="5" fillId="0" borderId="0" xfId="0" applyFont="1" applyBorder="1" applyProtection="1"/>
    <xf numFmtId="0" fontId="5" fillId="0" borderId="6" xfId="0" applyFont="1" applyBorder="1" applyProtection="1"/>
    <xf numFmtId="0" fontId="5" fillId="0" borderId="4" xfId="5" applyFont="1" applyBorder="1" applyAlignment="1" applyProtection="1">
      <alignment horizontal="right"/>
    </xf>
    <xf numFmtId="0" fontId="5" fillId="0" borderId="0" xfId="5" applyFont="1" applyBorder="1" applyAlignment="1" applyProtection="1">
      <alignment horizontal="right" indent="1"/>
    </xf>
    <xf numFmtId="0" fontId="5" fillId="0" borderId="6" xfId="5" applyFont="1" applyBorder="1" applyProtection="1">
      <alignment horizontal="right" vertical="center" indent="1"/>
    </xf>
    <xf numFmtId="0" fontId="5" fillId="0" borderId="4" xfId="5" applyFont="1" applyBorder="1" applyAlignment="1" applyProtection="1">
      <alignment horizontal="right" vertical="center" indent="1"/>
    </xf>
    <xf numFmtId="0" fontId="5" fillId="0" borderId="0" xfId="5" applyFont="1" applyBorder="1" applyAlignment="1" applyProtection="1">
      <alignment horizontal="right" vertical="center" indent="1"/>
    </xf>
    <xf numFmtId="0" fontId="5" fillId="0" borderId="0" xfId="6" applyFont="1" applyBorder="1" applyProtection="1">
      <alignment horizontal="left" vertical="center" wrapText="1"/>
    </xf>
    <xf numFmtId="0" fontId="5" fillId="0" borderId="0" xfId="6" applyFont="1" applyBorder="1" applyAlignment="1" applyProtection="1">
      <alignment vertical="center" wrapText="1"/>
    </xf>
    <xf numFmtId="0" fontId="22" fillId="0" borderId="13" xfId="5" applyFont="1" applyBorder="1" applyAlignment="1" applyProtection="1">
      <alignment horizontal="right" vertical="center" indent="1"/>
    </xf>
    <xf numFmtId="0" fontId="22" fillId="0" borderId="13" xfId="5" applyFont="1" applyBorder="1" applyProtection="1">
      <alignment horizontal="right" vertical="center" indent="1"/>
    </xf>
    <xf numFmtId="0" fontId="24" fillId="0" borderId="0" xfId="0" applyFont="1" applyProtection="1">
      <protection locked="0"/>
    </xf>
    <xf numFmtId="0" fontId="15" fillId="0" borderId="4" xfId="4" applyFont="1" applyBorder="1" applyProtection="1">
      <alignment horizontal="right" vertical="center" wrapText="1"/>
    </xf>
    <xf numFmtId="0" fontId="15" fillId="0" borderId="0" xfId="4" applyFont="1" applyBorder="1" applyAlignment="1" applyProtection="1">
      <alignment horizontal="right"/>
    </xf>
    <xf numFmtId="0" fontId="5" fillId="0" borderId="19" xfId="5" applyFont="1" applyBorder="1" applyAlignment="1" applyProtection="1">
      <alignment horizontal="right" vertical="center" indent="1"/>
    </xf>
    <xf numFmtId="0" fontId="5" fillId="0" borderId="20" xfId="6" applyFont="1" applyBorder="1" applyAlignment="1" applyProtection="1">
      <alignment vertical="center" wrapText="1"/>
    </xf>
    <xf numFmtId="0" fontId="5" fillId="0" borderId="20" xfId="0" applyFont="1" applyBorder="1" applyProtection="1"/>
    <xf numFmtId="0" fontId="10" fillId="3" borderId="35" xfId="5" applyFont="1" applyFill="1" applyBorder="1" applyAlignment="1" applyProtection="1">
      <alignment horizontal="center" vertical="center"/>
    </xf>
    <xf numFmtId="0" fontId="10" fillId="3" borderId="36" xfId="5" applyFont="1" applyFill="1" applyBorder="1" applyAlignment="1" applyProtection="1">
      <alignment horizontal="center" vertical="center"/>
    </xf>
    <xf numFmtId="9" fontId="22" fillId="0" borderId="5" xfId="1" applyFont="1" applyBorder="1" applyAlignment="1" applyProtection="1">
      <alignment horizontal="center" wrapText="1"/>
    </xf>
    <xf numFmtId="0" fontId="5" fillId="0" borderId="7" xfId="5" applyFont="1" applyBorder="1" applyAlignment="1" applyProtection="1">
      <alignment horizontal="center"/>
      <protection locked="0"/>
    </xf>
    <xf numFmtId="164" fontId="20" fillId="0" borderId="5" xfId="6" applyNumberFormat="1" applyFont="1" applyBorder="1" applyAlignment="1" applyProtection="1">
      <alignment horizontal="center" wrapText="1"/>
    </xf>
    <xf numFmtId="164" fontId="5" fillId="0" borderId="29" xfId="5" applyNumberFormat="1" applyFont="1" applyBorder="1" applyAlignment="1" applyProtection="1">
      <alignment horizontal="center" vertical="center" wrapText="1"/>
    </xf>
    <xf numFmtId="0" fontId="5" fillId="0" borderId="0" xfId="5" applyFont="1" applyBorder="1" applyAlignment="1" applyProtection="1">
      <alignment horizontal="center" vertical="center"/>
    </xf>
    <xf numFmtId="49" fontId="5" fillId="0" borderId="51" xfId="5" applyNumberFormat="1" applyFont="1" applyBorder="1" applyAlignment="1" applyProtection="1">
      <alignment horizontal="center" vertical="center"/>
      <protection locked="0"/>
    </xf>
    <xf numFmtId="0" fontId="5" fillId="0" borderId="0" xfId="5" applyFont="1" applyBorder="1" applyAlignment="1" applyProtection="1">
      <alignment horizontal="center" vertical="center"/>
    </xf>
    <xf numFmtId="0" fontId="10" fillId="3" borderId="35" xfId="5" applyFont="1" applyFill="1" applyBorder="1" applyAlignment="1" applyProtection="1">
      <alignment horizontal="center" vertical="center"/>
    </xf>
    <xf numFmtId="14" fontId="5" fillId="0" borderId="5" xfId="6" applyNumberFormat="1" applyFont="1" applyBorder="1" applyAlignment="1" applyProtection="1">
      <alignment horizontal="center" wrapText="1"/>
    </xf>
    <xf numFmtId="0" fontId="8" fillId="0" borderId="0" xfId="4" applyFont="1" applyBorder="1" applyProtection="1">
      <alignment horizontal="right" vertical="center" wrapText="1"/>
    </xf>
    <xf numFmtId="14" fontId="8" fillId="0" borderId="6" xfId="4" applyNumberFormat="1" applyFont="1" applyBorder="1" applyProtection="1">
      <alignment horizontal="right" vertical="center" wrapText="1"/>
    </xf>
    <xf numFmtId="0" fontId="0" fillId="0" borderId="0" xfId="0" applyBorder="1" applyProtection="1"/>
    <xf numFmtId="0" fontId="22" fillId="6" borderId="15" xfId="5" applyFont="1" applyFill="1" applyBorder="1" applyAlignment="1" applyProtection="1">
      <alignment horizontal="center" vertical="center" wrapText="1"/>
    </xf>
    <xf numFmtId="0" fontId="22" fillId="6" borderId="13" xfId="5" applyFont="1" applyFill="1" applyBorder="1" applyAlignment="1" applyProtection="1">
      <alignment horizontal="center" vertical="center" wrapText="1"/>
    </xf>
    <xf numFmtId="0" fontId="22" fillId="6" borderId="13" xfId="5" applyFont="1" applyFill="1" applyBorder="1" applyAlignment="1" applyProtection="1">
      <alignment horizontal="center" vertical="center"/>
    </xf>
    <xf numFmtId="0" fontId="22" fillId="6" borderId="13" xfId="5" applyFont="1" applyFill="1" applyBorder="1" applyAlignment="1" applyProtection="1">
      <alignment horizontal="right" vertical="center" indent="1"/>
    </xf>
    <xf numFmtId="0" fontId="22" fillId="6" borderId="13" xfId="5" applyFont="1" applyFill="1" applyBorder="1" applyProtection="1">
      <alignment horizontal="right" vertical="center" indent="1"/>
    </xf>
    <xf numFmtId="0" fontId="5" fillId="0" borderId="4" xfId="5" applyFont="1" applyBorder="1" applyAlignment="1" applyProtection="1">
      <alignment horizontal="center" vertical="center"/>
    </xf>
    <xf numFmtId="0" fontId="5" fillId="0" borderId="6" xfId="5" applyFont="1" applyBorder="1" applyAlignment="1" applyProtection="1">
      <alignment horizontal="center" vertical="center" wrapText="1"/>
    </xf>
    <xf numFmtId="0" fontId="5" fillId="0" borderId="23" xfId="5" applyFont="1" applyBorder="1" applyAlignment="1" applyProtection="1">
      <alignment horizontal="center" vertical="center" wrapText="1"/>
    </xf>
    <xf numFmtId="0" fontId="12" fillId="0" borderId="0" xfId="5" applyAlignment="1" applyProtection="1">
      <alignment horizontal="right" vertical="center" indent="1"/>
    </xf>
    <xf numFmtId="0" fontId="17" fillId="0" borderId="0" xfId="0" applyFont="1" applyAlignment="1" applyProtection="1">
      <alignment horizontal="center"/>
    </xf>
    <xf numFmtId="0" fontId="12" fillId="0" borderId="0" xfId="5" applyBorder="1" applyAlignment="1" applyProtection="1">
      <alignment horizontal="center" vertical="center"/>
    </xf>
    <xf numFmtId="0" fontId="5" fillId="0" borderId="16" xfId="5" applyFont="1" applyBorder="1" applyAlignment="1" applyProtection="1">
      <alignment horizontal="center" vertical="center"/>
      <protection locked="0"/>
    </xf>
    <xf numFmtId="0" fontId="5" fillId="0" borderId="17" xfId="5" applyFont="1" applyBorder="1" applyAlignment="1" applyProtection="1">
      <alignment horizontal="center" vertical="center"/>
      <protection locked="0"/>
    </xf>
    <xf numFmtId="0" fontId="5" fillId="0" borderId="12" xfId="5" applyFont="1" applyBorder="1" applyAlignment="1" applyProtection="1">
      <alignment horizontal="center" vertical="center"/>
      <protection locked="0"/>
    </xf>
    <xf numFmtId="0" fontId="5" fillId="0" borderId="13" xfId="5" applyFont="1" applyBorder="1" applyAlignment="1" applyProtection="1">
      <alignment horizontal="center" vertical="center"/>
      <protection locked="0"/>
    </xf>
    <xf numFmtId="0" fontId="5" fillId="0" borderId="41" xfId="5" applyFont="1" applyBorder="1" applyAlignment="1" applyProtection="1">
      <alignment horizontal="center" vertical="center"/>
      <protection locked="0"/>
    </xf>
    <xf numFmtId="0" fontId="5" fillId="0" borderId="0" xfId="5" applyFont="1" applyBorder="1" applyAlignment="1" applyProtection="1">
      <alignment horizontal="center" vertical="center"/>
      <protection locked="0"/>
    </xf>
    <xf numFmtId="0" fontId="5" fillId="0" borderId="7" xfId="5" applyFont="1" applyBorder="1" applyAlignment="1" applyProtection="1">
      <alignment vertical="center"/>
      <protection locked="0"/>
    </xf>
    <xf numFmtId="0" fontId="10" fillId="3" borderId="35" xfId="5" applyFont="1" applyFill="1" applyBorder="1" applyAlignment="1" applyProtection="1">
      <alignment horizontal="center" vertical="center"/>
    </xf>
    <xf numFmtId="0" fontId="10" fillId="3" borderId="36" xfId="5" applyFont="1" applyFill="1" applyBorder="1" applyAlignment="1" applyProtection="1">
      <alignment horizontal="center" vertical="center"/>
    </xf>
    <xf numFmtId="0" fontId="22" fillId="0" borderId="16" xfId="5" applyFont="1" applyBorder="1" applyAlignment="1" applyProtection="1">
      <alignment horizontal="center" vertical="center"/>
      <protection locked="0"/>
    </xf>
    <xf numFmtId="0" fontId="22" fillId="0" borderId="17" xfId="5" applyFont="1" applyBorder="1" applyAlignment="1" applyProtection="1">
      <alignment horizontal="center" vertical="center"/>
      <protection locked="0"/>
    </xf>
    <xf numFmtId="0" fontId="22" fillId="0" borderId="13" xfId="5" applyFont="1" applyBorder="1" applyAlignment="1" applyProtection="1">
      <alignment horizontal="center" vertical="center"/>
    </xf>
    <xf numFmtId="0" fontId="22" fillId="0" borderId="13" xfId="5" applyFont="1" applyBorder="1" applyAlignment="1">
      <alignment horizontal="center" vertical="center"/>
    </xf>
    <xf numFmtId="0" fontId="22" fillId="0" borderId="13" xfId="5" applyFont="1" applyBorder="1" applyAlignment="1">
      <alignment horizontal="right" vertical="center" indent="1"/>
    </xf>
    <xf numFmtId="44" fontId="22" fillId="0" borderId="13" xfId="5" applyNumberFormat="1" applyFont="1" applyBorder="1" applyAlignment="1">
      <alignment horizontal="center" vertical="center"/>
    </xf>
    <xf numFmtId="164" fontId="22" fillId="4" borderId="13" xfId="5" applyNumberFormat="1" applyFont="1" applyFill="1" applyBorder="1" applyAlignment="1" applyProtection="1">
      <alignment horizontal="center" vertical="center"/>
      <protection locked="0"/>
    </xf>
    <xf numFmtId="14" fontId="22" fillId="4" borderId="13" xfId="5" applyNumberFormat="1" applyFont="1" applyFill="1" applyBorder="1" applyAlignment="1" applyProtection="1">
      <alignment horizontal="center" vertical="center"/>
      <protection locked="0"/>
    </xf>
    <xf numFmtId="0" fontId="22" fillId="4" borderId="13" xfId="5" applyNumberFormat="1" applyFont="1" applyFill="1" applyBorder="1" applyAlignment="1" applyProtection="1">
      <alignment horizontal="center" vertical="center"/>
      <protection locked="0"/>
    </xf>
    <xf numFmtId="0" fontId="5" fillId="0" borderId="13" xfId="5" applyFont="1" applyBorder="1" applyAlignment="1" applyProtection="1">
      <alignment horizontal="right" vertical="center" indent="1"/>
    </xf>
    <xf numFmtId="164" fontId="5" fillId="0" borderId="13" xfId="5" applyNumberFormat="1" applyFont="1" applyFill="1" applyBorder="1" applyAlignment="1" applyProtection="1">
      <alignment horizontal="right" vertical="center" indent="1"/>
    </xf>
    <xf numFmtId="0" fontId="5" fillId="0" borderId="52" xfId="5" applyFont="1" applyBorder="1" applyAlignment="1" applyProtection="1">
      <alignment horizontal="center" vertical="center"/>
    </xf>
    <xf numFmtId="0" fontId="5" fillId="0" borderId="53" xfId="5" applyFont="1" applyBorder="1" applyAlignment="1" applyProtection="1">
      <alignment horizontal="center" vertical="center"/>
    </xf>
    <xf numFmtId="164" fontId="5" fillId="4" borderId="13" xfId="9" applyNumberFormat="1" applyFont="1" applyFill="1" applyBorder="1" applyAlignment="1" applyProtection="1">
      <alignment vertical="center"/>
      <protection locked="0"/>
    </xf>
    <xf numFmtId="164" fontId="5" fillId="4" borderId="13" xfId="5" applyNumberFormat="1" applyFont="1" applyFill="1" applyBorder="1" applyAlignment="1" applyProtection="1">
      <alignment horizontal="right" vertical="center" indent="1"/>
      <protection locked="0"/>
    </xf>
    <xf numFmtId="164" fontId="5" fillId="4" borderId="13" xfId="5" applyNumberFormat="1" applyFont="1" applyFill="1" applyBorder="1" applyProtection="1">
      <alignment horizontal="right" vertical="center" indent="1"/>
      <protection locked="0"/>
    </xf>
    <xf numFmtId="0" fontId="5" fillId="0" borderId="0" xfId="5" applyFont="1" applyBorder="1" applyAlignment="1" applyProtection="1">
      <alignment horizontal="center" vertical="center" wrapText="1"/>
      <protection locked="0"/>
    </xf>
    <xf numFmtId="164" fontId="5" fillId="0" borderId="0" xfId="5" applyNumberFormat="1" applyFont="1" applyFill="1" applyBorder="1" applyProtection="1">
      <alignment horizontal="right" vertical="center" indent="1"/>
      <protection locked="0"/>
    </xf>
    <xf numFmtId="0" fontId="10" fillId="3" borderId="35" xfId="5" applyFont="1" applyFill="1" applyBorder="1" applyAlignment="1" applyProtection="1">
      <alignment horizontal="center" vertical="center" wrapText="1"/>
      <protection locked="0"/>
    </xf>
    <xf numFmtId="2" fontId="5" fillId="4" borderId="54" xfId="5" applyNumberFormat="1" applyFont="1" applyFill="1" applyBorder="1" applyProtection="1">
      <alignment horizontal="right" vertical="center" indent="1"/>
      <protection locked="0"/>
    </xf>
    <xf numFmtId="2" fontId="5" fillId="4" borderId="16" xfId="5" applyNumberFormat="1" applyFont="1" applyFill="1" applyBorder="1" applyProtection="1">
      <alignment horizontal="right" vertical="center" indent="1"/>
      <protection locked="0"/>
    </xf>
    <xf numFmtId="0" fontId="5" fillId="0" borderId="43" xfId="5" applyFont="1" applyBorder="1" applyAlignment="1" applyProtection="1">
      <alignment horizontal="center" vertical="center"/>
      <protection locked="0"/>
    </xf>
    <xf numFmtId="0" fontId="3" fillId="0" borderId="2" xfId="2" applyFont="1" applyBorder="1" applyProtection="1">
      <alignment vertical="top"/>
    </xf>
    <xf numFmtId="0" fontId="10" fillId="3" borderId="9" xfId="5" applyFont="1" applyFill="1" applyBorder="1" applyAlignment="1" applyProtection="1">
      <alignment horizontal="center" vertical="center" wrapText="1"/>
    </xf>
    <xf numFmtId="164" fontId="5" fillId="0" borderId="13" xfId="5" applyNumberFormat="1" applyFont="1" applyBorder="1" applyAlignment="1" applyProtection="1">
      <alignment horizontal="center" vertical="center"/>
    </xf>
    <xf numFmtId="0" fontId="5" fillId="0" borderId="20" xfId="5" applyFont="1" applyBorder="1" applyAlignment="1" applyProtection="1">
      <alignment horizontal="right" vertical="center" indent="1"/>
    </xf>
    <xf numFmtId="0" fontId="26" fillId="0" borderId="12" xfId="5" applyFont="1" applyBorder="1" applyAlignment="1" applyProtection="1">
      <alignment horizontal="center" vertical="center" wrapText="1"/>
      <protection locked="0"/>
    </xf>
    <xf numFmtId="0" fontId="26" fillId="0" borderId="12" xfId="5" applyFont="1" applyBorder="1" applyAlignment="1" applyProtection="1">
      <alignment horizontal="right" vertical="center" indent="1"/>
    </xf>
    <xf numFmtId="2" fontId="26" fillId="7" borderId="12" xfId="5" applyNumberFormat="1" applyFont="1" applyFill="1" applyBorder="1" applyAlignment="1" applyProtection="1">
      <alignment horizontal="right" vertical="center" indent="1"/>
    </xf>
    <xf numFmtId="0" fontId="26" fillId="0" borderId="13" xfId="5" applyFont="1" applyBorder="1" applyAlignment="1" applyProtection="1">
      <alignment horizontal="center" vertical="center" wrapText="1"/>
    </xf>
    <xf numFmtId="0" fontId="26" fillId="0" borderId="13" xfId="5" applyFont="1" applyBorder="1" applyAlignment="1" applyProtection="1">
      <alignment horizontal="center" vertical="center"/>
      <protection locked="0"/>
    </xf>
    <xf numFmtId="0" fontId="26" fillId="0" borderId="13" xfId="5" applyFont="1" applyBorder="1" applyAlignment="1" applyProtection="1">
      <alignment horizontal="right" vertical="center" indent="1"/>
    </xf>
    <xf numFmtId="2" fontId="26" fillId="7" borderId="13" xfId="1" applyNumberFormat="1" applyFont="1" applyFill="1" applyBorder="1" applyAlignment="1" applyProtection="1">
      <alignment horizontal="right" vertical="center" indent="1"/>
    </xf>
    <xf numFmtId="0" fontId="26" fillId="0" borderId="16" xfId="5" applyFont="1" applyBorder="1" applyAlignment="1" applyProtection="1">
      <alignment horizontal="center" vertical="center"/>
      <protection locked="0"/>
    </xf>
    <xf numFmtId="0" fontId="26" fillId="0" borderId="8" xfId="5" applyFont="1" applyBorder="1" applyAlignment="1" applyProtection="1">
      <alignment horizontal="center" vertical="center"/>
      <protection locked="0"/>
    </xf>
    <xf numFmtId="0" fontId="26" fillId="0" borderId="48" xfId="5" applyFont="1" applyBorder="1" applyAlignment="1" applyProtection="1">
      <alignment horizontal="center" vertical="center"/>
      <protection locked="0"/>
    </xf>
    <xf numFmtId="164" fontId="26" fillId="0" borderId="13" xfId="5" applyNumberFormat="1" applyFont="1" applyFill="1" applyBorder="1" applyAlignment="1" applyProtection="1">
      <alignment horizontal="right" vertical="center" indent="1"/>
    </xf>
    <xf numFmtId="0" fontId="26" fillId="0" borderId="16" xfId="5" applyFont="1" applyBorder="1" applyAlignment="1" applyProtection="1">
      <alignment horizontal="center" vertical="center" wrapText="1"/>
    </xf>
    <xf numFmtId="0" fontId="26" fillId="0" borderId="13" xfId="5" applyFont="1" applyBorder="1" applyAlignment="1" applyProtection="1">
      <alignment vertical="center"/>
      <protection locked="0"/>
    </xf>
    <xf numFmtId="0" fontId="26" fillId="4" borderId="12" xfId="5" applyFont="1" applyFill="1" applyBorder="1" applyAlignment="1" applyProtection="1">
      <alignment horizontal="center" vertical="center" wrapText="1"/>
      <protection locked="0"/>
    </xf>
    <xf numFmtId="0" fontId="26" fillId="4" borderId="13" xfId="5" applyFont="1" applyFill="1" applyBorder="1" applyAlignment="1" applyProtection="1">
      <alignment horizontal="center" vertical="center" wrapText="1"/>
      <protection locked="0"/>
    </xf>
    <xf numFmtId="164" fontId="26" fillId="4" borderId="13" xfId="5" applyNumberFormat="1" applyFont="1" applyFill="1" applyBorder="1" applyAlignment="1" applyProtection="1">
      <alignment horizontal="right" vertical="center" indent="1"/>
      <protection locked="0"/>
    </xf>
    <xf numFmtId="2" fontId="26" fillId="4" borderId="13" xfId="5" applyNumberFormat="1" applyFont="1" applyFill="1" applyBorder="1" applyAlignment="1" applyProtection="1">
      <alignment horizontal="right" vertical="center" indent="1"/>
      <protection locked="0"/>
    </xf>
    <xf numFmtId="0" fontId="26" fillId="0" borderId="13" xfId="5" applyFont="1" applyFill="1" applyBorder="1" applyAlignment="1" applyProtection="1">
      <alignment horizontal="center" vertical="center" wrapText="1"/>
    </xf>
    <xf numFmtId="164" fontId="26" fillId="0" borderId="13" xfId="1" applyNumberFormat="1" applyFont="1" applyFill="1" applyBorder="1" applyAlignment="1" applyProtection="1">
      <alignment horizontal="right" vertical="center" indent="1"/>
    </xf>
    <xf numFmtId="164" fontId="26" fillId="0" borderId="13" xfId="5" applyNumberFormat="1" applyFont="1" applyFill="1" applyBorder="1" applyProtection="1">
      <alignment horizontal="right" vertical="center" indent="1"/>
    </xf>
    <xf numFmtId="2" fontId="26" fillId="4" borderId="13" xfId="5" applyNumberFormat="1" applyFont="1" applyFill="1" applyBorder="1" applyProtection="1">
      <alignment horizontal="right" vertical="center" indent="1"/>
      <protection locked="0"/>
    </xf>
    <xf numFmtId="0" fontId="26" fillId="4" borderId="13" xfId="5" applyFont="1" applyFill="1" applyBorder="1" applyProtection="1">
      <alignment horizontal="right" vertical="center" indent="1"/>
      <protection locked="0"/>
    </xf>
    <xf numFmtId="164" fontId="26" fillId="4" borderId="13" xfId="5" applyNumberFormat="1" applyFont="1" applyFill="1" applyBorder="1" applyProtection="1">
      <alignment horizontal="right" vertical="center" indent="1"/>
      <protection locked="0"/>
    </xf>
    <xf numFmtId="0" fontId="26" fillId="5" borderId="15" xfId="5" applyFont="1" applyFill="1" applyBorder="1" applyAlignment="1" applyProtection="1">
      <alignment horizontal="center" vertical="center"/>
    </xf>
    <xf numFmtId="0" fontId="26" fillId="5" borderId="13" xfId="5" applyFont="1" applyFill="1" applyBorder="1" applyAlignment="1" applyProtection="1">
      <alignment horizontal="center" vertical="center"/>
    </xf>
    <xf numFmtId="0" fontId="26" fillId="5" borderId="13" xfId="5" applyFont="1" applyFill="1" applyBorder="1" applyAlignment="1" applyProtection="1">
      <alignment horizontal="center" vertical="center" wrapText="1"/>
    </xf>
    <xf numFmtId="0" fontId="26" fillId="5" borderId="13" xfId="5" applyFont="1" applyFill="1" applyBorder="1" applyAlignment="1" applyProtection="1">
      <alignment horizontal="right" vertical="center" indent="1"/>
    </xf>
    <xf numFmtId="0" fontId="26" fillId="5" borderId="13" xfId="5" applyFont="1" applyFill="1" applyBorder="1" applyProtection="1">
      <alignment horizontal="right" vertical="center" indent="1"/>
    </xf>
    <xf numFmtId="164" fontId="27" fillId="5" borderId="13" xfId="5" applyNumberFormat="1" applyFont="1" applyFill="1" applyBorder="1" applyAlignment="1" applyProtection="1">
      <alignment horizontal="center" vertical="center"/>
    </xf>
    <xf numFmtId="0" fontId="26" fillId="0" borderId="13" xfId="5" applyFont="1" applyBorder="1" applyProtection="1">
      <alignment horizontal="right" vertical="center" indent="1"/>
    </xf>
    <xf numFmtId="0" fontId="26" fillId="5" borderId="49" xfId="5" applyFont="1" applyFill="1" applyBorder="1" applyAlignment="1" applyProtection="1">
      <alignment horizontal="center" vertical="center"/>
    </xf>
    <xf numFmtId="0" fontId="26" fillId="5" borderId="8" xfId="5" applyFont="1" applyFill="1" applyBorder="1" applyAlignment="1" applyProtection="1">
      <alignment horizontal="center" vertical="center"/>
    </xf>
    <xf numFmtId="0" fontId="26" fillId="5" borderId="8" xfId="5" applyFont="1" applyFill="1" applyBorder="1" applyAlignment="1" applyProtection="1">
      <alignment horizontal="center" vertical="center" wrapText="1"/>
    </xf>
    <xf numFmtId="0" fontId="26" fillId="5" borderId="8" xfId="5" applyFont="1" applyFill="1" applyBorder="1" applyAlignment="1" applyProtection="1">
      <alignment horizontal="right" vertical="center" indent="1"/>
    </xf>
    <xf numFmtId="0" fontId="26" fillId="5" borderId="8" xfId="5" applyFont="1" applyFill="1" applyBorder="1" applyProtection="1">
      <alignment horizontal="right" vertical="center" indent="1"/>
    </xf>
    <xf numFmtId="164" fontId="27" fillId="5" borderId="17" xfId="5" applyNumberFormat="1" applyFont="1" applyFill="1" applyBorder="1" applyProtection="1">
      <alignment horizontal="right" vertical="center" indent="1"/>
    </xf>
    <xf numFmtId="14" fontId="26" fillId="0" borderId="13" xfId="5" applyNumberFormat="1" applyFont="1" applyBorder="1" applyAlignment="1" applyProtection="1">
      <alignment horizontal="center" vertical="center"/>
      <protection locked="0"/>
    </xf>
    <xf numFmtId="164" fontId="27" fillId="3" borderId="41" xfId="5" applyNumberFormat="1" applyFont="1" applyFill="1" applyBorder="1" applyAlignment="1" applyProtection="1">
      <alignment horizontal="center" vertical="center"/>
    </xf>
    <xf numFmtId="0" fontId="22" fillId="0" borderId="0" xfId="5" applyFont="1" applyFill="1" applyBorder="1" applyAlignment="1" applyProtection="1">
      <alignment horizontal="center" vertical="center" wrapText="1"/>
    </xf>
    <xf numFmtId="164" fontId="25" fillId="0" borderId="23" xfId="8" applyNumberFormat="1" applyFont="1" applyFill="1" applyBorder="1" applyProtection="1">
      <alignment horizontal="center"/>
    </xf>
    <xf numFmtId="0" fontId="22" fillId="0" borderId="55" xfId="5" applyFont="1" applyBorder="1" applyAlignment="1" applyProtection="1">
      <alignment horizontal="center" vertical="center" wrapText="1"/>
    </xf>
    <xf numFmtId="164" fontId="25" fillId="3" borderId="11" xfId="8" applyNumberFormat="1" applyFont="1" applyFill="1" applyBorder="1" applyAlignment="1" applyProtection="1">
      <alignment horizontal="center" vertical="center"/>
    </xf>
    <xf numFmtId="0" fontId="5" fillId="0" borderId="0" xfId="5" applyFont="1" applyBorder="1" applyAlignment="1">
      <alignment horizontal="center" vertical="center"/>
    </xf>
    <xf numFmtId="0" fontId="5" fillId="0" borderId="16" xfId="5" applyFont="1" applyBorder="1" applyAlignment="1" applyProtection="1">
      <alignment horizontal="center" vertical="center"/>
      <protection locked="0"/>
    </xf>
    <xf numFmtId="0" fontId="5" fillId="0" borderId="17" xfId="5" applyFont="1" applyBorder="1" applyAlignment="1" applyProtection="1">
      <alignment horizontal="center" vertical="center"/>
      <protection locked="0"/>
    </xf>
    <xf numFmtId="0" fontId="10" fillId="3" borderId="35" xfId="5" applyFont="1" applyFill="1" applyBorder="1" applyAlignment="1" applyProtection="1">
      <alignment horizontal="center" vertical="center"/>
      <protection locked="0"/>
    </xf>
    <xf numFmtId="0" fontId="5" fillId="0" borderId="13" xfId="5" applyFont="1" applyBorder="1" applyAlignment="1" applyProtection="1">
      <alignment horizontal="center" vertical="center"/>
      <protection locked="0"/>
    </xf>
    <xf numFmtId="0" fontId="5" fillId="0" borderId="0" xfId="5" applyFont="1" applyBorder="1" applyAlignment="1" applyProtection="1">
      <alignment horizontal="center" vertical="center"/>
      <protection locked="0"/>
    </xf>
    <xf numFmtId="164" fontId="5" fillId="4" borderId="13" xfId="5" applyNumberFormat="1" applyFont="1" applyFill="1" applyBorder="1" applyAlignment="1" applyProtection="1">
      <alignment horizontal="right" vertical="center" indent="1"/>
    </xf>
    <xf numFmtId="0" fontId="5" fillId="0" borderId="13" xfId="5" applyFont="1" applyBorder="1" applyAlignment="1" applyProtection="1">
      <alignment horizontal="center" vertical="center"/>
      <protection locked="0"/>
    </xf>
    <xf numFmtId="2" fontId="5" fillId="0" borderId="13" xfId="5" applyNumberFormat="1" applyFont="1" applyFill="1" applyBorder="1" applyAlignment="1" applyProtection="1">
      <alignment horizontal="right" vertical="center" indent="1"/>
    </xf>
    <xf numFmtId="0" fontId="5" fillId="0" borderId="13" xfId="5" applyFont="1" applyBorder="1" applyAlignment="1" applyProtection="1">
      <alignment horizontal="center" vertical="center"/>
      <protection locked="0"/>
    </xf>
    <xf numFmtId="0" fontId="5" fillId="0" borderId="13" xfId="5" applyFont="1" applyBorder="1" applyAlignment="1" applyProtection="1">
      <alignment horizontal="center" vertical="center"/>
      <protection locked="0"/>
    </xf>
    <xf numFmtId="0" fontId="5" fillId="0" borderId="28" xfId="5" applyFont="1" applyBorder="1" applyAlignment="1" applyProtection="1">
      <alignment horizontal="center" vertical="center"/>
      <protection locked="0"/>
    </xf>
    <xf numFmtId="0" fontId="30" fillId="0" borderId="27" xfId="10" applyBorder="1" applyAlignment="1" applyProtection="1">
      <alignment horizontal="center" vertical="center" wrapText="1"/>
      <protection locked="0"/>
    </xf>
    <xf numFmtId="0" fontId="5" fillId="0" borderId="15" xfId="5" applyFont="1" applyBorder="1" applyAlignment="1" applyProtection="1">
      <alignment horizontal="center" vertical="center"/>
      <protection locked="0"/>
    </xf>
    <xf numFmtId="0" fontId="30" fillId="0" borderId="13" xfId="10" applyBorder="1" applyAlignment="1" applyProtection="1">
      <alignment horizontal="center" vertical="center" wrapText="1"/>
      <protection locked="0"/>
    </xf>
    <xf numFmtId="7" fontId="5" fillId="0" borderId="13" xfId="5" applyNumberFormat="1" applyFont="1" applyBorder="1" applyAlignment="1" applyProtection="1">
      <alignment horizontal="center" vertical="center" wrapText="1"/>
      <protection locked="0"/>
    </xf>
    <xf numFmtId="0" fontId="5" fillId="0" borderId="19" xfId="5" applyFont="1" applyBorder="1" applyAlignment="1" applyProtection="1">
      <alignment horizontal="center" vertical="center"/>
      <protection locked="0"/>
    </xf>
    <xf numFmtId="0" fontId="30" fillId="0" borderId="20" xfId="10" applyBorder="1" applyAlignment="1" applyProtection="1">
      <alignment horizontal="center" vertical="center" wrapText="1"/>
      <protection locked="0"/>
    </xf>
    <xf numFmtId="7" fontId="5" fillId="0" borderId="20" xfId="6" applyNumberFormat="1" applyFont="1" applyBorder="1" applyAlignment="1" applyProtection="1">
      <alignment horizontal="center" vertical="center" wrapText="1"/>
      <protection locked="0"/>
    </xf>
    <xf numFmtId="0" fontId="12" fillId="0" borderId="0" xfId="5" applyAlignment="1" applyProtection="1">
      <alignment horizontal="center" vertical="center"/>
      <protection locked="0"/>
    </xf>
    <xf numFmtId="0" fontId="30" fillId="0" borderId="0" xfId="10" applyAlignment="1" applyProtection="1">
      <alignment horizontal="center" vertical="center"/>
      <protection locked="0"/>
    </xf>
    <xf numFmtId="7" fontId="17" fillId="0" borderId="0" xfId="0" applyNumberFormat="1" applyFont="1" applyAlignment="1" applyProtection="1">
      <alignment horizontal="center" vertical="center"/>
      <protection locked="0"/>
    </xf>
    <xf numFmtId="7" fontId="0" fillId="0" borderId="0" xfId="0" applyNumberFormat="1" applyAlignment="1" applyProtection="1">
      <alignment horizontal="center" vertical="center"/>
      <protection locked="0"/>
    </xf>
    <xf numFmtId="0" fontId="12" fillId="0" borderId="0" xfId="5" applyAlignment="1" applyProtection="1">
      <alignment horizontal="right" vertical="center"/>
      <protection locked="0"/>
    </xf>
    <xf numFmtId="0" fontId="0" fillId="0" borderId="0" xfId="0" applyAlignment="1" applyProtection="1">
      <alignment vertical="center"/>
      <protection locked="0"/>
    </xf>
    <xf numFmtId="0" fontId="6" fillId="0" borderId="0" xfId="4" applyAlignment="1" applyProtection="1">
      <alignment horizontal="right" vertical="center" wrapText="1"/>
      <protection locked="0"/>
    </xf>
    <xf numFmtId="0" fontId="26" fillId="0" borderId="16" xfId="5" applyFont="1" applyBorder="1" applyAlignment="1" applyProtection="1">
      <alignment horizontal="center" vertical="center"/>
      <protection locked="0"/>
    </xf>
    <xf numFmtId="0" fontId="26" fillId="0" borderId="8" xfId="5" applyFont="1" applyBorder="1" applyAlignment="1" applyProtection="1">
      <alignment horizontal="center" vertical="center"/>
      <protection locked="0"/>
    </xf>
    <xf numFmtId="0" fontId="26" fillId="0" borderId="48" xfId="5" applyFont="1" applyBorder="1" applyAlignment="1" applyProtection="1">
      <alignment horizontal="center" vertical="center"/>
      <protection locked="0"/>
    </xf>
    <xf numFmtId="9" fontId="26" fillId="0" borderId="13" xfId="1" applyFont="1" applyFill="1" applyBorder="1" applyAlignment="1" applyProtection="1">
      <alignment horizontal="right" vertical="center" indent="1"/>
    </xf>
    <xf numFmtId="164" fontId="26" fillId="0" borderId="13" xfId="5" applyNumberFormat="1" applyFont="1" applyFill="1" applyBorder="1" applyAlignment="1" applyProtection="1">
      <alignment horizontal="right" vertical="center" wrapText="1" indent="1"/>
    </xf>
    <xf numFmtId="0" fontId="32" fillId="0" borderId="0" xfId="11" applyFont="1" applyBorder="1" applyAlignment="1">
      <alignment horizontal="left" wrapText="1"/>
    </xf>
    <xf numFmtId="0" fontId="5" fillId="0" borderId="0" xfId="0" applyFont="1" applyBorder="1" applyAlignment="1">
      <alignment wrapText="1"/>
    </xf>
    <xf numFmtId="0" fontId="5" fillId="0" borderId="16" xfId="5" applyFont="1" applyBorder="1" applyAlignment="1" applyProtection="1">
      <alignment horizontal="center" vertical="center"/>
      <protection locked="0"/>
    </xf>
    <xf numFmtId="0" fontId="5" fillId="0" borderId="8" xfId="5" applyFont="1" applyBorder="1" applyAlignment="1" applyProtection="1">
      <alignment horizontal="center" vertical="center"/>
      <protection locked="0"/>
    </xf>
    <xf numFmtId="0" fontId="5" fillId="0" borderId="17" xfId="5" applyFont="1" applyBorder="1" applyAlignment="1" applyProtection="1">
      <alignment horizontal="center" vertical="center"/>
      <protection locked="0"/>
    </xf>
    <xf numFmtId="0" fontId="28" fillId="0" borderId="1" xfId="2" applyFont="1" applyBorder="1" applyAlignment="1" applyProtection="1">
      <alignment horizontal="center" vertical="center"/>
      <protection locked="0"/>
    </xf>
    <xf numFmtId="0" fontId="28" fillId="0" borderId="3" xfId="2" applyFont="1" applyBorder="1" applyAlignment="1" applyProtection="1">
      <alignment horizontal="center" vertical="center"/>
      <protection locked="0"/>
    </xf>
    <xf numFmtId="0" fontId="28" fillId="0" borderId="4" xfId="2" applyFont="1" applyBorder="1" applyAlignment="1" applyProtection="1">
      <alignment horizontal="center" vertical="center"/>
      <protection locked="0"/>
    </xf>
    <xf numFmtId="0" fontId="28" fillId="0" borderId="6" xfId="2" applyFont="1" applyBorder="1" applyAlignment="1" applyProtection="1">
      <alignment horizontal="center" vertical="center"/>
      <protection locked="0"/>
    </xf>
    <xf numFmtId="0" fontId="28" fillId="0" borderId="19" xfId="2" applyFont="1" applyBorder="1" applyAlignment="1" applyProtection="1">
      <alignment horizontal="center" vertical="center"/>
      <protection locked="0"/>
    </xf>
    <xf numFmtId="0" fontId="28" fillId="0" borderId="23" xfId="2" applyFont="1" applyBorder="1" applyAlignment="1" applyProtection="1">
      <alignment horizontal="center" vertical="center"/>
      <protection locked="0"/>
    </xf>
    <xf numFmtId="0" fontId="29" fillId="0" borderId="10" xfId="2" applyFont="1" applyBorder="1" applyAlignment="1" applyProtection="1">
      <alignment horizontal="center" vertical="center"/>
      <protection locked="0"/>
    </xf>
    <xf numFmtId="0" fontId="29" fillId="0" borderId="26" xfId="2" applyFont="1" applyBorder="1" applyAlignment="1" applyProtection="1">
      <alignment horizontal="center" vertical="center"/>
      <protection locked="0"/>
    </xf>
    <xf numFmtId="0" fontId="29" fillId="0" borderId="11" xfId="2" applyFont="1" applyBorder="1" applyAlignment="1" applyProtection="1">
      <alignment horizontal="center" vertical="center"/>
      <protection locked="0"/>
    </xf>
    <xf numFmtId="0" fontId="10" fillId="3" borderId="9" xfId="5" applyFont="1" applyFill="1" applyBorder="1" applyAlignment="1" applyProtection="1">
      <alignment horizontal="center" vertical="center" wrapText="1"/>
      <protection locked="0"/>
    </xf>
    <xf numFmtId="0" fontId="5" fillId="0" borderId="38" xfId="5" applyFont="1" applyBorder="1" applyAlignment="1" applyProtection="1">
      <alignment horizontal="center" vertical="center"/>
      <protection locked="0"/>
    </xf>
    <xf numFmtId="0" fontId="5" fillId="0" borderId="39" xfId="5" applyFont="1" applyBorder="1" applyAlignment="1" applyProtection="1">
      <alignment horizontal="center" vertical="center"/>
      <protection locked="0"/>
    </xf>
    <xf numFmtId="0" fontId="5" fillId="0" borderId="40" xfId="5" applyFont="1" applyBorder="1" applyAlignment="1" applyProtection="1">
      <alignment horizontal="center" vertical="center"/>
      <protection locked="0"/>
    </xf>
    <xf numFmtId="0" fontId="5" fillId="0" borderId="20" xfId="6" applyFont="1" applyBorder="1" applyAlignment="1" applyProtection="1">
      <alignment vertical="center" wrapText="1"/>
    </xf>
    <xf numFmtId="0" fontId="5" fillId="0" borderId="31" xfId="5" applyFont="1" applyBorder="1" applyAlignment="1" applyProtection="1">
      <alignment horizontal="center" vertical="center"/>
    </xf>
    <xf numFmtId="0" fontId="5" fillId="0" borderId="32" xfId="5" applyFont="1" applyBorder="1" applyAlignment="1" applyProtection="1">
      <alignment horizontal="center" vertical="center"/>
    </xf>
    <xf numFmtId="0" fontId="5" fillId="0" borderId="30" xfId="5" applyFont="1" applyBorder="1" applyAlignment="1" applyProtection="1">
      <alignment horizontal="center" vertical="center"/>
    </xf>
    <xf numFmtId="0" fontId="5" fillId="0" borderId="18" xfId="5" applyFont="1" applyBorder="1" applyAlignment="1" applyProtection="1">
      <alignment horizontal="center" vertical="center" wrapText="1"/>
    </xf>
    <xf numFmtId="0" fontId="5" fillId="0" borderId="29" xfId="5" applyFont="1" applyBorder="1" applyAlignment="1" applyProtection="1">
      <alignment horizontal="center" vertical="center" wrapText="1"/>
    </xf>
    <xf numFmtId="0" fontId="5" fillId="0" borderId="12" xfId="5" applyFont="1" applyBorder="1" applyAlignment="1" applyProtection="1">
      <alignment horizontal="center" vertical="center" wrapText="1"/>
    </xf>
    <xf numFmtId="0" fontId="5" fillId="0" borderId="33" xfId="5" applyFont="1" applyBorder="1" applyAlignment="1" applyProtection="1">
      <alignment horizontal="center" vertical="center"/>
    </xf>
    <xf numFmtId="0" fontId="5" fillId="0" borderId="34" xfId="5" applyFont="1" applyBorder="1" applyAlignment="1" applyProtection="1">
      <alignment horizontal="center" vertical="center" wrapText="1"/>
    </xf>
    <xf numFmtId="0" fontId="10" fillId="3" borderId="21" xfId="5" applyFont="1" applyFill="1" applyBorder="1" applyAlignment="1" applyProtection="1">
      <alignment horizontal="center" vertical="center"/>
    </xf>
    <xf numFmtId="0" fontId="10" fillId="3" borderId="35" xfId="5" applyFont="1" applyFill="1" applyBorder="1" applyAlignment="1" applyProtection="1">
      <alignment horizontal="center" vertical="center"/>
    </xf>
    <xf numFmtId="0" fontId="10" fillId="3" borderId="36" xfId="5" applyFont="1" applyFill="1" applyBorder="1" applyAlignment="1" applyProtection="1">
      <alignment horizontal="center" vertical="center"/>
    </xf>
    <xf numFmtId="14" fontId="5" fillId="0" borderId="5" xfId="6" applyNumberFormat="1" applyFont="1" applyBorder="1" applyAlignment="1" applyProtection="1">
      <alignment horizontal="center" vertical="center" wrapText="1"/>
    </xf>
    <xf numFmtId="0" fontId="5" fillId="0" borderId="7" xfId="6" applyFont="1" applyBorder="1" applyAlignment="1" applyProtection="1">
      <alignment horizontal="center" vertical="center" wrapText="1"/>
      <protection locked="0"/>
    </xf>
    <xf numFmtId="0" fontId="5" fillId="0" borderId="7" xfId="5" applyFont="1" applyBorder="1" applyAlignment="1" applyProtection="1">
      <alignment horizontal="center" vertical="center"/>
      <protection locked="0"/>
    </xf>
    <xf numFmtId="0" fontId="10" fillId="3" borderId="9" xfId="5" applyFont="1" applyFill="1" applyBorder="1" applyAlignment="1" applyProtection="1">
      <alignment horizontal="center" vertical="center"/>
    </xf>
    <xf numFmtId="0" fontId="10" fillId="3" borderId="10" xfId="5" applyFont="1" applyFill="1" applyBorder="1" applyAlignment="1" applyProtection="1">
      <alignment horizontal="center" vertical="center"/>
    </xf>
    <xf numFmtId="0" fontId="10" fillId="3" borderId="11" xfId="5" applyFont="1" applyFill="1" applyBorder="1" applyAlignment="1" applyProtection="1">
      <alignment horizontal="center" vertical="center"/>
    </xf>
    <xf numFmtId="0" fontId="5" fillId="0" borderId="28" xfId="5" applyFont="1" applyBorder="1" applyAlignment="1" applyProtection="1">
      <alignment horizontal="center" vertical="center"/>
    </xf>
    <xf numFmtId="0" fontId="5" fillId="0" borderId="27" xfId="5" applyFont="1" applyBorder="1" applyAlignment="1" applyProtection="1">
      <alignment horizontal="center" vertical="center" wrapText="1"/>
    </xf>
    <xf numFmtId="0" fontId="5" fillId="0" borderId="0" xfId="5" applyFont="1" applyBorder="1" applyAlignment="1" applyProtection="1">
      <alignment horizontal="center" vertical="center"/>
    </xf>
    <xf numFmtId="0" fontId="5" fillId="0" borderId="5" xfId="6" applyFont="1" applyBorder="1" applyAlignment="1" applyProtection="1">
      <alignment horizontal="center" vertical="center" wrapText="1"/>
    </xf>
    <xf numFmtId="0" fontId="10" fillId="3" borderId="9" xfId="5" applyFont="1" applyFill="1" applyBorder="1" applyAlignment="1" applyProtection="1">
      <alignment horizontal="center" vertical="center" wrapText="1"/>
      <protection locked="0" hidden="1"/>
    </xf>
    <xf numFmtId="0" fontId="10" fillId="3" borderId="10" xfId="5" applyFont="1" applyFill="1" applyBorder="1" applyAlignment="1" applyProtection="1">
      <alignment horizontal="center" vertical="center" wrapText="1"/>
      <protection locked="0" hidden="1"/>
    </xf>
    <xf numFmtId="0" fontId="10" fillId="3" borderId="1" xfId="5" applyFont="1" applyFill="1" applyBorder="1" applyAlignment="1" applyProtection="1">
      <alignment horizontal="center" vertical="center"/>
    </xf>
    <xf numFmtId="0" fontId="10" fillId="3" borderId="4" xfId="5" applyFont="1" applyFill="1" applyBorder="1" applyAlignment="1" applyProtection="1">
      <alignment horizontal="center" vertical="center"/>
    </xf>
    <xf numFmtId="0" fontId="10" fillId="3" borderId="19" xfId="5" applyFont="1" applyFill="1" applyBorder="1" applyAlignment="1" applyProtection="1">
      <alignment horizontal="center" vertical="center"/>
    </xf>
    <xf numFmtId="0" fontId="10" fillId="3" borderId="26" xfId="5" applyFont="1" applyFill="1" applyBorder="1" applyAlignment="1" applyProtection="1">
      <alignment horizontal="center" vertical="center"/>
    </xf>
    <xf numFmtId="0" fontId="5" fillId="0" borderId="7" xfId="5" applyFont="1" applyBorder="1" applyAlignment="1" applyProtection="1">
      <alignment horizontal="center"/>
      <protection locked="0"/>
    </xf>
    <xf numFmtId="0" fontId="5" fillId="0" borderId="8" xfId="5" applyFont="1" applyBorder="1" applyAlignment="1" applyProtection="1">
      <alignment horizontal="center"/>
      <protection locked="0"/>
    </xf>
    <xf numFmtId="164" fontId="5" fillId="0" borderId="0" xfId="5" applyNumberFormat="1" applyFont="1" applyBorder="1" applyAlignment="1" applyProtection="1">
      <alignment horizontal="center" vertical="center"/>
    </xf>
    <xf numFmtId="0" fontId="5" fillId="0" borderId="7" xfId="6" applyFont="1" applyBorder="1" applyAlignment="1" applyProtection="1">
      <alignment horizontal="center" vertical="center" wrapText="1"/>
    </xf>
    <xf numFmtId="0" fontId="5" fillId="0" borderId="31" xfId="5" applyFont="1" applyBorder="1" applyAlignment="1" applyProtection="1">
      <alignment horizontal="center" vertical="center"/>
      <protection locked="0"/>
    </xf>
    <xf numFmtId="0" fontId="5" fillId="0" borderId="32" xfId="5" applyFont="1" applyBorder="1" applyAlignment="1" applyProtection="1">
      <alignment horizontal="center" vertical="center"/>
      <protection locked="0"/>
    </xf>
    <xf numFmtId="0" fontId="5" fillId="0" borderId="30" xfId="5" applyFont="1" applyBorder="1" applyAlignment="1" applyProtection="1">
      <alignment horizontal="center" vertical="center"/>
      <protection locked="0"/>
    </xf>
    <xf numFmtId="0" fontId="5" fillId="0" borderId="5" xfId="6" applyFont="1" applyBorder="1" applyAlignment="1">
      <alignment horizontal="center" vertical="center" wrapText="1"/>
    </xf>
    <xf numFmtId="0" fontId="5" fillId="0" borderId="5" xfId="6" applyFont="1" applyBorder="1" applyAlignment="1">
      <alignment vertical="center" wrapText="1"/>
    </xf>
    <xf numFmtId="0" fontId="5" fillId="0" borderId="37" xfId="6" applyFont="1" applyBorder="1" applyAlignment="1">
      <alignment vertical="center" wrapText="1"/>
    </xf>
    <xf numFmtId="0" fontId="5" fillId="0" borderId="0" xfId="5" applyFont="1" applyBorder="1" applyAlignment="1">
      <alignment horizontal="center" vertical="center"/>
    </xf>
    <xf numFmtId="0" fontId="5" fillId="0" borderId="18" xfId="5" applyFont="1" applyBorder="1" applyAlignment="1" applyProtection="1">
      <alignment horizontal="center" vertical="center"/>
      <protection locked="0"/>
    </xf>
    <xf numFmtId="0" fontId="5" fillId="0" borderId="29" xfId="5" applyFont="1" applyBorder="1" applyAlignment="1" applyProtection="1">
      <alignment horizontal="center" vertical="center"/>
      <protection locked="0"/>
    </xf>
    <xf numFmtId="0" fontId="5" fillId="0" borderId="12" xfId="5" applyFont="1" applyBorder="1" applyAlignment="1" applyProtection="1">
      <alignment horizontal="center" vertical="center"/>
      <protection locked="0"/>
    </xf>
    <xf numFmtId="0" fontId="5" fillId="0" borderId="18" xfId="5" applyFont="1" applyBorder="1" applyAlignment="1" applyProtection="1">
      <alignment horizontal="center" vertical="center" wrapText="1"/>
      <protection locked="0"/>
    </xf>
    <xf numFmtId="0" fontId="5" fillId="0" borderId="29" xfId="5" applyFont="1" applyBorder="1" applyAlignment="1" applyProtection="1">
      <alignment horizontal="center" vertical="center" wrapText="1"/>
      <protection locked="0"/>
    </xf>
    <xf numFmtId="0" fontId="5" fillId="0" borderId="12" xfId="5" applyFont="1" applyBorder="1" applyAlignment="1" applyProtection="1">
      <alignment horizontal="center" vertical="center" wrapText="1"/>
      <protection locked="0"/>
    </xf>
    <xf numFmtId="0" fontId="5" fillId="0" borderId="28" xfId="5" applyFont="1" applyBorder="1" applyAlignment="1" applyProtection="1">
      <alignment horizontal="center" vertical="center"/>
      <protection locked="0"/>
    </xf>
    <xf numFmtId="0" fontId="5" fillId="0" borderId="27" xfId="5" applyFont="1" applyBorder="1" applyAlignment="1" applyProtection="1">
      <alignment horizontal="center" vertical="center" wrapText="1"/>
      <protection locked="0"/>
    </xf>
    <xf numFmtId="14" fontId="20" fillId="0" borderId="5" xfId="6" applyNumberFormat="1" applyFont="1" applyBorder="1" applyAlignment="1" applyProtection="1">
      <alignment horizontal="center" wrapText="1"/>
    </xf>
    <xf numFmtId="0" fontId="10" fillId="3" borderId="35" xfId="5" applyFont="1" applyFill="1" applyBorder="1" applyAlignment="1" applyProtection="1">
      <alignment horizontal="center" vertical="center"/>
      <protection locked="0"/>
    </xf>
    <xf numFmtId="0" fontId="10" fillId="3" borderId="36" xfId="5" applyFont="1" applyFill="1" applyBorder="1" applyAlignment="1" applyProtection="1">
      <alignment horizontal="center" vertical="center"/>
      <protection locked="0"/>
    </xf>
    <xf numFmtId="0" fontId="5" fillId="0" borderId="38" xfId="5" applyFont="1" applyBorder="1" applyAlignment="1" applyProtection="1">
      <alignment horizontal="center" vertical="center"/>
    </xf>
    <xf numFmtId="0" fontId="5" fillId="0" borderId="40" xfId="5" applyFont="1" applyBorder="1" applyAlignment="1" applyProtection="1">
      <alignment horizontal="center" vertical="center"/>
    </xf>
    <xf numFmtId="0" fontId="5" fillId="0" borderId="16" xfId="5" applyFont="1" applyBorder="1" applyAlignment="1" applyProtection="1">
      <alignment horizontal="center" vertical="center"/>
    </xf>
    <xf numFmtId="0" fontId="5" fillId="0" borderId="17" xfId="5" applyFont="1" applyBorder="1" applyAlignment="1" applyProtection="1">
      <alignment horizontal="center" vertical="center"/>
    </xf>
    <xf numFmtId="0" fontId="5" fillId="0" borderId="13" xfId="5" applyFont="1" applyBorder="1" applyAlignment="1" applyProtection="1">
      <alignment horizontal="center" vertical="center"/>
      <protection locked="0"/>
    </xf>
    <xf numFmtId="0" fontId="5" fillId="0" borderId="41" xfId="5" applyFont="1" applyBorder="1" applyAlignment="1" applyProtection="1">
      <alignment horizontal="center" vertical="center"/>
      <protection locked="0"/>
    </xf>
    <xf numFmtId="0" fontId="5" fillId="0" borderId="37" xfId="6" applyFont="1" applyBorder="1" applyAlignment="1" applyProtection="1">
      <alignment vertical="center" wrapText="1"/>
      <protection locked="0"/>
    </xf>
    <xf numFmtId="0" fontId="5" fillId="0" borderId="0" xfId="5" applyFont="1" applyBorder="1" applyAlignment="1" applyProtection="1">
      <alignment horizontal="center" vertical="center"/>
      <protection locked="0"/>
    </xf>
    <xf numFmtId="0" fontId="5" fillId="0" borderId="5" xfId="6" applyFont="1" applyBorder="1" applyAlignment="1" applyProtection="1">
      <alignment horizontal="center" vertical="center" wrapText="1"/>
      <protection locked="0"/>
    </xf>
    <xf numFmtId="0" fontId="5" fillId="0" borderId="5" xfId="6" applyFont="1" applyBorder="1" applyAlignment="1" applyProtection="1">
      <alignment vertical="center" wrapText="1"/>
      <protection locked="0"/>
    </xf>
    <xf numFmtId="0" fontId="22" fillId="0" borderId="13" xfId="5" applyFont="1" applyBorder="1" applyAlignment="1" applyProtection="1">
      <alignment horizontal="center" vertical="center"/>
      <protection locked="0"/>
    </xf>
    <xf numFmtId="0" fontId="22" fillId="0" borderId="41" xfId="5" applyFont="1" applyBorder="1" applyAlignment="1" applyProtection="1">
      <alignment horizontal="center" vertical="center"/>
      <protection locked="0"/>
    </xf>
    <xf numFmtId="0" fontId="22" fillId="0" borderId="15" xfId="5" applyFont="1" applyBorder="1" applyAlignment="1" applyProtection="1">
      <alignment horizontal="center" vertical="center" wrapText="1"/>
      <protection locked="0"/>
    </xf>
    <xf numFmtId="0" fontId="22" fillId="0" borderId="13" xfId="5" applyFont="1" applyBorder="1" applyAlignment="1" applyProtection="1">
      <alignment horizontal="center" vertical="center" wrapText="1"/>
    </xf>
    <xf numFmtId="0" fontId="22" fillId="6" borderId="16" xfId="5" applyFont="1" applyFill="1" applyBorder="1" applyAlignment="1" applyProtection="1">
      <alignment horizontal="center" vertical="center"/>
    </xf>
    <xf numFmtId="0" fontId="22" fillId="6" borderId="17" xfId="5" applyFont="1" applyFill="1" applyBorder="1" applyAlignment="1" applyProtection="1">
      <alignment horizontal="center" vertical="center"/>
    </xf>
    <xf numFmtId="0" fontId="22" fillId="0" borderId="15" xfId="5" applyFont="1" applyBorder="1" applyAlignment="1" applyProtection="1">
      <alignment horizontal="center" vertical="center" wrapText="1"/>
    </xf>
    <xf numFmtId="0" fontId="22" fillId="0" borderId="16" xfId="5" applyFont="1" applyBorder="1" applyAlignment="1" applyProtection="1">
      <alignment horizontal="center" vertical="center"/>
      <protection locked="0"/>
    </xf>
    <xf numFmtId="0" fontId="22" fillId="0" borderId="17" xfId="5" applyFont="1" applyBorder="1" applyAlignment="1" applyProtection="1">
      <alignment horizontal="center" vertical="center"/>
      <protection locked="0"/>
    </xf>
    <xf numFmtId="0" fontId="5" fillId="0" borderId="37" xfId="6" applyFont="1" applyBorder="1" applyAlignment="1" applyProtection="1">
      <alignment vertical="center" wrapText="1"/>
    </xf>
    <xf numFmtId="0" fontId="5" fillId="0" borderId="7" xfId="5" applyFont="1" applyBorder="1" applyAlignment="1" applyProtection="1">
      <alignment vertical="center"/>
      <protection locked="0"/>
    </xf>
    <xf numFmtId="0" fontId="5" fillId="0" borderId="8" xfId="5" applyFont="1" applyBorder="1" applyAlignment="1" applyProtection="1">
      <alignment vertical="center"/>
      <protection locked="0"/>
    </xf>
    <xf numFmtId="166" fontId="27" fillId="3" borderId="42" xfId="5" applyNumberFormat="1" applyFont="1" applyFill="1" applyBorder="1" applyAlignment="1" applyProtection="1">
      <alignment horizontal="center" vertical="center"/>
    </xf>
    <xf numFmtId="166" fontId="27" fillId="3" borderId="47" xfId="5" applyNumberFormat="1" applyFont="1" applyFill="1" applyBorder="1" applyAlignment="1" applyProtection="1">
      <alignment horizontal="center" vertical="center"/>
    </xf>
    <xf numFmtId="166" fontId="27" fillId="3" borderId="43" xfId="5" applyNumberFormat="1" applyFont="1" applyFill="1" applyBorder="1" applyAlignment="1" applyProtection="1">
      <alignment horizontal="center" vertical="center"/>
    </xf>
    <xf numFmtId="0" fontId="26" fillId="0" borderId="13" xfId="5" applyFont="1" applyBorder="1" applyAlignment="1" applyProtection="1">
      <alignment horizontal="center" vertical="center"/>
      <protection locked="0"/>
    </xf>
    <xf numFmtId="0" fontId="26" fillId="0" borderId="16" xfId="5" applyFont="1" applyBorder="1" applyAlignment="1" applyProtection="1">
      <alignment horizontal="center" vertical="center"/>
      <protection locked="0"/>
    </xf>
    <xf numFmtId="0" fontId="26" fillId="0" borderId="8" xfId="5" applyFont="1" applyBorder="1" applyAlignment="1" applyProtection="1">
      <alignment horizontal="center" vertical="center"/>
      <protection locked="0"/>
    </xf>
    <xf numFmtId="0" fontId="26" fillId="0" borderId="48" xfId="5" applyFont="1" applyBorder="1" applyAlignment="1" applyProtection="1">
      <alignment horizontal="center" vertical="center"/>
      <protection locked="0"/>
    </xf>
    <xf numFmtId="0" fontId="26" fillId="0" borderId="31" xfId="5" applyFont="1" applyBorder="1" applyAlignment="1" applyProtection="1">
      <alignment horizontal="center" vertical="center"/>
    </xf>
    <xf numFmtId="0" fontId="26" fillId="0" borderId="30" xfId="5" applyFont="1" applyBorder="1" applyAlignment="1" applyProtection="1">
      <alignment horizontal="center" vertical="center"/>
    </xf>
    <xf numFmtId="0" fontId="26" fillId="0" borderId="18" xfId="5" applyFont="1" applyBorder="1" applyAlignment="1" applyProtection="1">
      <alignment horizontal="center" vertical="center" wrapText="1"/>
    </xf>
    <xf numFmtId="0" fontId="26" fillId="0" borderId="12" xfId="5" applyFont="1" applyBorder="1" applyAlignment="1" applyProtection="1">
      <alignment horizontal="center" vertical="center" wrapText="1"/>
    </xf>
    <xf numFmtId="0" fontId="26" fillId="0" borderId="32" xfId="5" applyFont="1" applyBorder="1" applyAlignment="1" applyProtection="1">
      <alignment horizontal="center" vertical="center"/>
    </xf>
    <xf numFmtId="0" fontId="26" fillId="0" borderId="29" xfId="5" applyFont="1" applyBorder="1" applyAlignment="1" applyProtection="1">
      <alignment horizontal="center" vertical="center" wrapText="1"/>
    </xf>
    <xf numFmtId="0" fontId="26" fillId="0" borderId="18" xfId="5" applyFont="1" applyBorder="1" applyAlignment="1" applyProtection="1">
      <alignment horizontal="center" vertical="center"/>
    </xf>
    <xf numFmtId="0" fontId="26" fillId="0" borderId="29" xfId="5" applyFont="1" applyBorder="1" applyAlignment="1" applyProtection="1">
      <alignment horizontal="center" vertical="center"/>
    </xf>
    <xf numFmtId="0" fontId="26" fillId="0" borderId="12" xfId="5" applyFont="1" applyBorder="1" applyAlignment="1" applyProtection="1">
      <alignment horizontal="center" vertical="center"/>
    </xf>
    <xf numFmtId="164" fontId="27" fillId="3" borderId="42" xfId="5" applyNumberFormat="1" applyFont="1" applyFill="1" applyBorder="1" applyAlignment="1" applyProtection="1">
      <alignment horizontal="center" vertical="center"/>
    </xf>
    <xf numFmtId="164" fontId="27" fillId="3" borderId="43" xfId="5" applyNumberFormat="1" applyFont="1" applyFill="1" applyBorder="1" applyAlignment="1" applyProtection="1">
      <alignment horizontal="center" vertical="center"/>
    </xf>
    <xf numFmtId="164" fontId="27" fillId="3" borderId="47" xfId="5" applyNumberFormat="1" applyFont="1" applyFill="1" applyBorder="1" applyAlignment="1" applyProtection="1">
      <alignment horizontal="center" vertical="center"/>
    </xf>
    <xf numFmtId="164" fontId="27" fillId="3" borderId="46" xfId="5" applyNumberFormat="1" applyFont="1" applyFill="1" applyBorder="1" applyAlignment="1" applyProtection="1">
      <alignment horizontal="center" vertical="center"/>
    </xf>
    <xf numFmtId="0" fontId="26" fillId="0" borderId="44" xfId="5" applyFont="1" applyBorder="1" applyAlignment="1" applyProtection="1">
      <alignment horizontal="center" vertical="center"/>
      <protection locked="0"/>
    </xf>
    <xf numFmtId="0" fontId="26" fillId="0" borderId="2" xfId="5" applyFont="1" applyBorder="1" applyAlignment="1" applyProtection="1">
      <alignment horizontal="center" vertical="center"/>
      <protection locked="0"/>
    </xf>
    <xf numFmtId="0" fontId="26" fillId="0" borderId="45" xfId="5" applyFont="1" applyBorder="1" applyAlignment="1" applyProtection="1">
      <alignment horizontal="center" vertical="center"/>
      <protection locked="0"/>
    </xf>
    <xf numFmtId="0" fontId="26" fillId="0" borderId="28" xfId="5" applyFont="1" applyBorder="1" applyAlignment="1" applyProtection="1">
      <alignment horizontal="center" vertical="center"/>
    </xf>
    <xf numFmtId="0" fontId="26" fillId="0" borderId="27" xfId="5" applyFont="1" applyBorder="1" applyAlignment="1" applyProtection="1">
      <alignment horizontal="center" vertical="center" wrapText="1"/>
    </xf>
    <xf numFmtId="0" fontId="23" fillId="0" borderId="7" xfId="4" applyFont="1" applyBorder="1" applyAlignment="1" applyProtection="1">
      <alignment horizontal="center" wrapText="1"/>
    </xf>
    <xf numFmtId="0" fontId="20" fillId="0" borderId="7" xfId="5" applyFont="1" applyBorder="1" applyAlignment="1" applyProtection="1">
      <alignment horizontal="center"/>
      <protection locked="0"/>
    </xf>
    <xf numFmtId="0" fontId="20" fillId="0" borderId="8" xfId="5" applyFont="1" applyBorder="1" applyAlignment="1" applyProtection="1">
      <alignment horizontal="center"/>
      <protection locked="0"/>
    </xf>
    <xf numFmtId="0" fontId="26" fillId="5" borderId="13" xfId="5" applyFont="1" applyFill="1" applyBorder="1" applyAlignment="1" applyProtection="1">
      <alignment horizontal="center" vertical="center"/>
    </xf>
    <xf numFmtId="0" fontId="26" fillId="0" borderId="13" xfId="5" applyFont="1" applyBorder="1" applyAlignment="1" applyProtection="1">
      <alignment horizontal="center" vertical="center"/>
    </xf>
    <xf numFmtId="0" fontId="5" fillId="0" borderId="22" xfId="5" applyFont="1" applyBorder="1" applyAlignment="1" applyProtection="1">
      <alignment horizontal="center" vertical="center"/>
    </xf>
  </cellXfs>
  <cellStyles count="12">
    <cellStyle name="Encabezado 1" xfId="3" builtinId="16"/>
    <cellStyle name="Fecha" xfId="7"/>
    <cellStyle name="Hipervínculo" xfId="10" builtinId="8"/>
    <cellStyle name="Moneda" xfId="9" builtinId="4"/>
    <cellStyle name="Normal" xfId="0" builtinId="0"/>
    <cellStyle name="Porcentaje" xfId="1" builtinId="5"/>
    <cellStyle name="Subtotal" xfId="8"/>
    <cellStyle name="Texto de etiqueta" xfId="6"/>
    <cellStyle name="Título" xfId="2" builtinId="15"/>
    <cellStyle name="Título 2" xfId="4" builtinId="17"/>
    <cellStyle name="Título 2 2" xfId="11"/>
    <cellStyle name="Título 3" xfId="5" builtinId="1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3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771525</xdr:colOff>
      <xdr:row>1</xdr:row>
      <xdr:rowOff>114300</xdr:rowOff>
    </xdr:from>
    <xdr:to>
      <xdr:col>6</xdr:col>
      <xdr:colOff>1154868</xdr:colOff>
      <xdr:row>3</xdr:row>
      <xdr:rowOff>281426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5334000" y="266700"/>
          <a:ext cx="2650293" cy="9291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</xdr:row>
          <xdr:rowOff>9525</xdr:rowOff>
        </xdr:from>
        <xdr:to>
          <xdr:col>3</xdr:col>
          <xdr:colOff>1343025</xdr:colOff>
          <xdr:row>3</xdr:row>
          <xdr:rowOff>28575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AR" sz="1200" b="0" i="0" u="none" strike="noStrike" baseline="0">
                  <a:solidFill>
                    <a:srgbClr val="0000DF"/>
                  </a:solidFill>
                  <a:latin typeface="Manrope"/>
                </a:rPr>
                <a:t>Actualizar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247649</xdr:colOff>
      <xdr:row>2</xdr:row>
      <xdr:rowOff>295274</xdr:rowOff>
    </xdr:from>
    <xdr:to>
      <xdr:col>35</xdr:col>
      <xdr:colOff>2964618</xdr:colOff>
      <xdr:row>5</xdr:row>
      <xdr:rowOff>104775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42186224" y="828674"/>
          <a:ext cx="2716969" cy="9525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504825</xdr:colOff>
          <xdr:row>18</xdr:row>
          <xdr:rowOff>342900</xdr:rowOff>
        </xdr:from>
        <xdr:to>
          <xdr:col>1</xdr:col>
          <xdr:colOff>1743075</xdr:colOff>
          <xdr:row>20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646255</xdr:colOff>
      <xdr:row>2</xdr:row>
      <xdr:rowOff>21430</xdr:rowOff>
    </xdr:from>
    <xdr:to>
      <xdr:col>43</xdr:col>
      <xdr:colOff>1357275</xdr:colOff>
      <xdr:row>5</xdr:row>
      <xdr:rowOff>321469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41965705" y="554830"/>
          <a:ext cx="4120971" cy="14430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31</xdr:row>
          <xdr:rowOff>352425</xdr:rowOff>
        </xdr:from>
        <xdr:to>
          <xdr:col>1</xdr:col>
          <xdr:colOff>2085975</xdr:colOff>
          <xdr:row>33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504824</xdr:colOff>
      <xdr:row>2</xdr:row>
      <xdr:rowOff>295274</xdr:rowOff>
    </xdr:from>
    <xdr:to>
      <xdr:col>8</xdr:col>
      <xdr:colOff>3221793</xdr:colOff>
      <xdr:row>5</xdr:row>
      <xdr:rowOff>104775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287249" y="828674"/>
          <a:ext cx="2716969" cy="9525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27</xdr:row>
          <xdr:rowOff>314325</xdr:rowOff>
        </xdr:from>
        <xdr:to>
          <xdr:col>1</xdr:col>
          <xdr:colOff>1762125</xdr:colOff>
          <xdr:row>28</xdr:row>
          <xdr:rowOff>361950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161924</xdr:colOff>
      <xdr:row>2</xdr:row>
      <xdr:rowOff>314324</xdr:rowOff>
    </xdr:from>
    <xdr:to>
      <xdr:col>10</xdr:col>
      <xdr:colOff>1745418</xdr:colOff>
      <xdr:row>5</xdr:row>
      <xdr:rowOff>123825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1401424" y="847724"/>
          <a:ext cx="2716969" cy="9525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27</xdr:row>
          <xdr:rowOff>342900</xdr:rowOff>
        </xdr:from>
        <xdr:to>
          <xdr:col>1</xdr:col>
          <xdr:colOff>1771650</xdr:colOff>
          <xdr:row>29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504824</xdr:colOff>
      <xdr:row>2</xdr:row>
      <xdr:rowOff>295274</xdr:rowOff>
    </xdr:from>
    <xdr:to>
      <xdr:col>8</xdr:col>
      <xdr:colOff>3221793</xdr:colOff>
      <xdr:row>5</xdr:row>
      <xdr:rowOff>104775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315824" y="828674"/>
          <a:ext cx="2716969" cy="9525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24</xdr:row>
          <xdr:rowOff>314325</xdr:rowOff>
        </xdr:from>
        <xdr:to>
          <xdr:col>1</xdr:col>
          <xdr:colOff>1762125</xdr:colOff>
          <xdr:row>25</xdr:row>
          <xdr:rowOff>361950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66674</xdr:colOff>
      <xdr:row>2</xdr:row>
      <xdr:rowOff>352424</xdr:rowOff>
    </xdr:from>
    <xdr:to>
      <xdr:col>8</xdr:col>
      <xdr:colOff>1650168</xdr:colOff>
      <xdr:row>5</xdr:row>
      <xdr:rowOff>161925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0172699" y="885824"/>
          <a:ext cx="2716969" cy="9525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220</xdr:row>
          <xdr:rowOff>352425</xdr:rowOff>
        </xdr:from>
        <xdr:to>
          <xdr:col>1</xdr:col>
          <xdr:colOff>1752600</xdr:colOff>
          <xdr:row>222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54</xdr:row>
          <xdr:rowOff>333375</xdr:rowOff>
        </xdr:from>
        <xdr:to>
          <xdr:col>1</xdr:col>
          <xdr:colOff>1762125</xdr:colOff>
          <xdr:row>55</xdr:row>
          <xdr:rowOff>381000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54</xdr:row>
          <xdr:rowOff>333375</xdr:rowOff>
        </xdr:from>
        <xdr:to>
          <xdr:col>1</xdr:col>
          <xdr:colOff>1762125</xdr:colOff>
          <xdr:row>55</xdr:row>
          <xdr:rowOff>381000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54</xdr:row>
          <xdr:rowOff>333375</xdr:rowOff>
        </xdr:from>
        <xdr:to>
          <xdr:col>1</xdr:col>
          <xdr:colOff>1762125</xdr:colOff>
          <xdr:row>55</xdr:row>
          <xdr:rowOff>381000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54</xdr:row>
          <xdr:rowOff>333375</xdr:rowOff>
        </xdr:from>
        <xdr:to>
          <xdr:col>1</xdr:col>
          <xdr:colOff>1762125</xdr:colOff>
          <xdr:row>55</xdr:row>
          <xdr:rowOff>381000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7" name="Imagen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54</xdr:row>
          <xdr:rowOff>333375</xdr:rowOff>
        </xdr:from>
        <xdr:to>
          <xdr:col>1</xdr:col>
          <xdr:colOff>1762125</xdr:colOff>
          <xdr:row>55</xdr:row>
          <xdr:rowOff>381000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7" name="Imagen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54</xdr:row>
          <xdr:rowOff>333375</xdr:rowOff>
        </xdr:from>
        <xdr:to>
          <xdr:col>1</xdr:col>
          <xdr:colOff>1762125</xdr:colOff>
          <xdr:row>55</xdr:row>
          <xdr:rowOff>381000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7" name="Imagen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54</xdr:row>
          <xdr:rowOff>333375</xdr:rowOff>
        </xdr:from>
        <xdr:to>
          <xdr:col>1</xdr:col>
          <xdr:colOff>1762125</xdr:colOff>
          <xdr:row>55</xdr:row>
          <xdr:rowOff>381000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7" name="Imagen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0" name="Imagen 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54</xdr:row>
          <xdr:rowOff>333375</xdr:rowOff>
        </xdr:from>
        <xdr:to>
          <xdr:col>1</xdr:col>
          <xdr:colOff>1762125</xdr:colOff>
          <xdr:row>55</xdr:row>
          <xdr:rowOff>381000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7" name="Imagen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0" name="Imagen 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1" name="Imagen 1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54</xdr:row>
          <xdr:rowOff>333375</xdr:rowOff>
        </xdr:from>
        <xdr:to>
          <xdr:col>1</xdr:col>
          <xdr:colOff>1762125</xdr:colOff>
          <xdr:row>55</xdr:row>
          <xdr:rowOff>381000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7" name="Imagen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0" name="Imagen 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1" name="Imagen 1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2" name="Imagen 1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54</xdr:row>
          <xdr:rowOff>333375</xdr:rowOff>
        </xdr:from>
        <xdr:to>
          <xdr:col>1</xdr:col>
          <xdr:colOff>1762125</xdr:colOff>
          <xdr:row>55</xdr:row>
          <xdr:rowOff>381000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5" name="Imagen 1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6" name="Imagen 1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7" name="Imagen 1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8" name="Imagen 1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9" name="Imagen 1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0" name="Imagen 1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1" name="Imagen 2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2" name="Imagen 2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3" name="Imagen 2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54</xdr:row>
          <xdr:rowOff>333375</xdr:rowOff>
        </xdr:from>
        <xdr:to>
          <xdr:col>1</xdr:col>
          <xdr:colOff>1762125</xdr:colOff>
          <xdr:row>55</xdr:row>
          <xdr:rowOff>381000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7" name="Imagen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0" name="Imagen 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1" name="Imagen 1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2" name="Imagen 1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3" name="Imagen 1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54</xdr:row>
          <xdr:rowOff>333375</xdr:rowOff>
        </xdr:from>
        <xdr:to>
          <xdr:col>1</xdr:col>
          <xdr:colOff>1762125</xdr:colOff>
          <xdr:row>55</xdr:row>
          <xdr:rowOff>381000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7" name="Imagen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0" name="Imagen 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1" name="Imagen 1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2" name="Imagen 1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3" name="Imagen 1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4" name="Imagen 1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5" name="Imagen 1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54</xdr:row>
          <xdr:rowOff>333375</xdr:rowOff>
        </xdr:from>
        <xdr:to>
          <xdr:col>1</xdr:col>
          <xdr:colOff>1762125</xdr:colOff>
          <xdr:row>55</xdr:row>
          <xdr:rowOff>381000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7" name="Imagen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0" name="Imagen 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1" name="Imagen 1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2" name="Imagen 1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3" name="Imagen 1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4" name="Imagen 1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5" name="Imagen 1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54</xdr:row>
          <xdr:rowOff>333375</xdr:rowOff>
        </xdr:from>
        <xdr:to>
          <xdr:col>1</xdr:col>
          <xdr:colOff>1762125</xdr:colOff>
          <xdr:row>55</xdr:row>
          <xdr:rowOff>381000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7" name="Imagen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0" name="Imagen 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1" name="Imagen 1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2" name="Imagen 1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3" name="Imagen 1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4" name="Imagen 1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5" name="Imagen 1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6" name="Imagen 1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54</xdr:row>
          <xdr:rowOff>333375</xdr:rowOff>
        </xdr:from>
        <xdr:to>
          <xdr:col>1</xdr:col>
          <xdr:colOff>1762125</xdr:colOff>
          <xdr:row>55</xdr:row>
          <xdr:rowOff>381000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7" name="Imagen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0" name="Imagen 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1" name="Imagen 1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2" name="Imagen 1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3" name="Imagen 1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4" name="Imagen 1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5" name="Imagen 1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6" name="Imagen 1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7" name="Imagen 1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54</xdr:row>
          <xdr:rowOff>333375</xdr:rowOff>
        </xdr:from>
        <xdr:to>
          <xdr:col>1</xdr:col>
          <xdr:colOff>1762125</xdr:colOff>
          <xdr:row>55</xdr:row>
          <xdr:rowOff>381000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7" name="Imagen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0" name="Imagen 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1" name="Imagen 1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2" name="Imagen 1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3" name="Imagen 1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4" name="Imagen 1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5" name="Imagen 1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6" name="Imagen 1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7" name="Imagen 1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8" name="Imagen 1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54</xdr:row>
          <xdr:rowOff>333375</xdr:rowOff>
        </xdr:from>
        <xdr:to>
          <xdr:col>1</xdr:col>
          <xdr:colOff>1762125</xdr:colOff>
          <xdr:row>55</xdr:row>
          <xdr:rowOff>381000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7" name="Imagen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0" name="Imagen 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1" name="Imagen 1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2" name="Imagen 1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3" name="Imagen 1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4" name="Imagen 1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5" name="Imagen 1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6" name="Imagen 1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7" name="Imagen 1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8" name="Imagen 1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9" name="Imagen 1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54</xdr:row>
          <xdr:rowOff>333375</xdr:rowOff>
        </xdr:from>
        <xdr:to>
          <xdr:col>1</xdr:col>
          <xdr:colOff>1762125</xdr:colOff>
          <xdr:row>55</xdr:row>
          <xdr:rowOff>381000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7" name="Imagen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0" name="Imagen 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1" name="Imagen 1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2" name="Imagen 1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3" name="Imagen 1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4" name="Imagen 1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5" name="Imagen 1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6" name="Imagen 1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7" name="Imagen 1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8" name="Imagen 1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9" name="Imagen 1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0" name="Imagen 1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54</xdr:row>
          <xdr:rowOff>333375</xdr:rowOff>
        </xdr:from>
        <xdr:to>
          <xdr:col>1</xdr:col>
          <xdr:colOff>1762125</xdr:colOff>
          <xdr:row>55</xdr:row>
          <xdr:rowOff>381000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7" name="Imagen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0" name="Imagen 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1" name="Imagen 1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2" name="Imagen 1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3" name="Imagen 1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4" name="Imagen 1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5" name="Imagen 1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6" name="Imagen 1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7" name="Imagen 1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8" name="Imagen 1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9" name="Imagen 1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0" name="Imagen 1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1" name="Imagen 2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54</xdr:row>
          <xdr:rowOff>333375</xdr:rowOff>
        </xdr:from>
        <xdr:to>
          <xdr:col>1</xdr:col>
          <xdr:colOff>1762125</xdr:colOff>
          <xdr:row>55</xdr:row>
          <xdr:rowOff>381000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7" name="Imagen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0" name="Imagen 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1" name="Imagen 1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2" name="Imagen 1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3" name="Imagen 1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4" name="Imagen 1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5" name="Imagen 1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6" name="Imagen 1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7" name="Imagen 1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8" name="Imagen 1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9" name="Imagen 1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0" name="Imagen 1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1" name="Imagen 2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2" name="Imagen 2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3" name="Imagen 2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54</xdr:row>
          <xdr:rowOff>333375</xdr:rowOff>
        </xdr:from>
        <xdr:to>
          <xdr:col>1</xdr:col>
          <xdr:colOff>1762125</xdr:colOff>
          <xdr:row>55</xdr:row>
          <xdr:rowOff>381000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7" name="Imagen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0" name="Imagen 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1" name="Imagen 1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2" name="Imagen 1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3" name="Imagen 1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4" name="Imagen 1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5" name="Imagen 1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6" name="Imagen 1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7" name="Imagen 1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8" name="Imagen 1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9" name="Imagen 1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0" name="Imagen 1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1" name="Imagen 2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2" name="Imagen 2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3" name="Imagen 2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54</xdr:row>
          <xdr:rowOff>333375</xdr:rowOff>
        </xdr:from>
        <xdr:to>
          <xdr:col>1</xdr:col>
          <xdr:colOff>1762125</xdr:colOff>
          <xdr:row>55</xdr:row>
          <xdr:rowOff>381000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7" name="Imagen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0" name="Imagen 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1" name="Imagen 1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2" name="Imagen 1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3" name="Imagen 1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4" name="Imagen 1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5" name="Imagen 1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6" name="Imagen 1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7" name="Imagen 1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8" name="Imagen 1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9" name="Imagen 1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0" name="Imagen 1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1" name="Imagen 2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2" name="Imagen 2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3" name="Imagen 2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4" name="Imagen 2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54</xdr:row>
          <xdr:rowOff>333375</xdr:rowOff>
        </xdr:from>
        <xdr:to>
          <xdr:col>1</xdr:col>
          <xdr:colOff>1762125</xdr:colOff>
          <xdr:row>55</xdr:row>
          <xdr:rowOff>381000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7" name="Imagen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0" name="Imagen 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1" name="Imagen 1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2" name="Imagen 1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3" name="Imagen 1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4" name="Imagen 1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5" name="Imagen 1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6" name="Imagen 1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7" name="Imagen 1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8" name="Imagen 1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9" name="Imagen 1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0" name="Imagen 1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1" name="Imagen 2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2" name="Imagen 2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3" name="Imagen 2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4" name="Imagen 2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5" name="Imagen 2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54</xdr:row>
          <xdr:rowOff>333375</xdr:rowOff>
        </xdr:from>
        <xdr:to>
          <xdr:col>1</xdr:col>
          <xdr:colOff>1762125</xdr:colOff>
          <xdr:row>55</xdr:row>
          <xdr:rowOff>381000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7" name="Imagen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0" name="Imagen 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1" name="Imagen 1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2" name="Imagen 1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3" name="Imagen 1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4" name="Imagen 1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5" name="Imagen 1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6" name="Imagen 1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7" name="Imagen 1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8" name="Imagen 1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9" name="Imagen 1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0" name="Imagen 1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1" name="Imagen 2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2" name="Imagen 2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3" name="Imagen 2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4" name="Imagen 2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5" name="Imagen 2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6" name="Imagen 2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54</xdr:row>
          <xdr:rowOff>333375</xdr:rowOff>
        </xdr:from>
        <xdr:to>
          <xdr:col>1</xdr:col>
          <xdr:colOff>1762125</xdr:colOff>
          <xdr:row>55</xdr:row>
          <xdr:rowOff>381000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7" name="Imagen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0" name="Imagen 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1" name="Imagen 1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2" name="Imagen 1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3" name="Imagen 1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4" name="Imagen 1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5" name="Imagen 1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6" name="Imagen 1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7" name="Imagen 1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8" name="Imagen 1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9" name="Imagen 1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0" name="Imagen 1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1" name="Imagen 2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2" name="Imagen 2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3" name="Imagen 2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4" name="Imagen 2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5" name="Imagen 2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6" name="Imagen 2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7" name="Imagen 2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54</xdr:row>
          <xdr:rowOff>333375</xdr:rowOff>
        </xdr:from>
        <xdr:to>
          <xdr:col>1</xdr:col>
          <xdr:colOff>1762125</xdr:colOff>
          <xdr:row>55</xdr:row>
          <xdr:rowOff>381000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7" name="Imagen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0" name="Imagen 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1" name="Imagen 1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2" name="Imagen 1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3" name="Imagen 1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4" name="Imagen 1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5" name="Imagen 1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6" name="Imagen 1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7" name="Imagen 1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8" name="Imagen 1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9" name="Imagen 1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0" name="Imagen 1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1" name="Imagen 2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2" name="Imagen 2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3" name="Imagen 2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4" name="Imagen 2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5" name="Imagen 2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6" name="Imagen 2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7" name="Imagen 2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8" name="Imagen 2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54</xdr:row>
          <xdr:rowOff>333375</xdr:rowOff>
        </xdr:from>
        <xdr:to>
          <xdr:col>1</xdr:col>
          <xdr:colOff>1762125</xdr:colOff>
          <xdr:row>55</xdr:row>
          <xdr:rowOff>381000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7" name="Imagen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0" name="Imagen 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1" name="Imagen 1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2" name="Imagen 1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3" name="Imagen 1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4" name="Imagen 1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5" name="Imagen 1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6" name="Imagen 1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7" name="Imagen 1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8" name="Imagen 1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9" name="Imagen 1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0" name="Imagen 1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1" name="Imagen 2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2" name="Imagen 2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3" name="Imagen 2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4" name="Imagen 2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5" name="Imagen 2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6" name="Imagen 2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7" name="Imagen 2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8" name="Imagen 2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9" name="Imagen 2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54</xdr:row>
          <xdr:rowOff>333375</xdr:rowOff>
        </xdr:from>
        <xdr:to>
          <xdr:col>1</xdr:col>
          <xdr:colOff>1762125</xdr:colOff>
          <xdr:row>55</xdr:row>
          <xdr:rowOff>381000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7" name="Imagen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0" name="Imagen 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1" name="Imagen 1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2" name="Imagen 1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3" name="Imagen 1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4" name="Imagen 1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5" name="Imagen 1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6" name="Imagen 1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7" name="Imagen 1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8" name="Imagen 1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9" name="Imagen 1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0" name="Imagen 1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1" name="Imagen 2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2" name="Imagen 2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3" name="Imagen 2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4" name="Imagen 2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5" name="Imagen 2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6" name="Imagen 2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7" name="Imagen 2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8" name="Imagen 2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9" name="Imagen 2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30" name="Imagen 2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54</xdr:row>
          <xdr:rowOff>333375</xdr:rowOff>
        </xdr:from>
        <xdr:to>
          <xdr:col>1</xdr:col>
          <xdr:colOff>1762125</xdr:colOff>
          <xdr:row>55</xdr:row>
          <xdr:rowOff>381000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7" name="Imagen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0" name="Imagen 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1" name="Imagen 1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2" name="Imagen 1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3" name="Imagen 1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4" name="Imagen 1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5" name="Imagen 1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6" name="Imagen 1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7" name="Imagen 1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8" name="Imagen 1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19" name="Imagen 1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0" name="Imagen 1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1" name="Imagen 2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2" name="Imagen 2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3" name="Imagen 2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4" name="Imagen 2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5" name="Imagen 2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6" name="Imagen 2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7" name="Imagen 2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8" name="Imagen 2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29" name="Imagen 2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30" name="Imagen 2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xdr:twoCellAnchor editAs="oneCell">
    <xdr:from>
      <xdr:col>9</xdr:col>
      <xdr:colOff>347119</xdr:colOff>
      <xdr:row>2</xdr:row>
      <xdr:rowOff>97972</xdr:rowOff>
    </xdr:from>
    <xdr:to>
      <xdr:col>11</xdr:col>
      <xdr:colOff>1168496</xdr:colOff>
      <xdr:row>5</xdr:row>
      <xdr:rowOff>304799</xdr:rowOff>
    </xdr:to>
    <xdr:pic>
      <xdr:nvPicPr>
        <xdr:cNvPr id="31" name="Imagen 3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2681994" y="631372"/>
          <a:ext cx="3850327" cy="13498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54</xdr:row>
          <xdr:rowOff>333375</xdr:rowOff>
        </xdr:from>
        <xdr:to>
          <xdr:col>1</xdr:col>
          <xdr:colOff>1762125</xdr:colOff>
          <xdr:row>55</xdr:row>
          <xdr:rowOff>381000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Produccion/Analisis%20de%20Costos%20Producc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WSERVER01\Lcontigiani\Analisis%20de%20Procesos\Analisis%20de%20Costos%20Maquinaria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uxiliares/Analisis%20de%20Costos%20Personal/Analisis%20de%20Costos%20Person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uxiliares/Analisis%20de%20Costos%20Electricos/Analisis%20de%20Costos%20Electric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 a Pedir"/>
      <sheetName val="INFO-INSUMOS"/>
      <sheetName val="INFO-OEE"/>
      <sheetName val="INFO-Personal"/>
      <sheetName val="INFO-Direc"/>
      <sheetName val="INFO-Mant"/>
      <sheetName val="INFO-Pos"/>
      <sheetName val="Generador de Hojas"/>
      <sheetName val="TMP_VBA"/>
      <sheetName val="Corte por Laser"/>
      <sheetName val="Corte por Agua"/>
      <sheetName val="Torno RIFA RFCZ12"/>
      <sheetName val="Torno Microcut LT65"/>
      <sheetName val="Torno HWACHEON CUTEX 240B"/>
      <sheetName val="CM RIFA RFVM60"/>
      <sheetName val="CM HWACHEON SIRIUS 550"/>
      <sheetName val="CM Mitsubishi"/>
      <sheetName val="CM RIFA 4 Ejes"/>
      <sheetName val="Agujereadora"/>
      <sheetName val="Roscadora"/>
      <sheetName val="Torno Paralelo Chico"/>
      <sheetName val="Torno Paralelo Grande"/>
      <sheetName val="Piedra de Banco"/>
      <sheetName val="Maquina Corta Cadenas"/>
      <sheetName val="Serrucho"/>
      <sheetName val="Sierra Sensitiva"/>
      <sheetName val="Soldadora"/>
      <sheetName val="Agujereadora (Taller)"/>
      <sheetName val="_TMP_VBA_"/>
    </sheetNames>
    <sheetDataSet>
      <sheetData sheetId="0"/>
      <sheetData sheetId="1"/>
      <sheetData sheetId="2">
        <row r="9">
          <cell r="CJ9" t="str">
            <v>Fresas</v>
          </cell>
        </row>
        <row r="10">
          <cell r="CJ10" t="str">
            <v>Insertos</v>
          </cell>
        </row>
        <row r="11">
          <cell r="D11" t="str">
            <v xml:space="preserve">Esferica </v>
          </cell>
          <cell r="F11" t="str">
            <v>Plana</v>
          </cell>
          <cell r="H11" t="str">
            <v xml:space="preserve">12 mm </v>
          </cell>
          <cell r="J11" t="str">
            <v xml:space="preserve">16 mm </v>
          </cell>
          <cell r="L11" t="str">
            <v xml:space="preserve">20 mm </v>
          </cell>
          <cell r="N11" t="str">
            <v>25 mm</v>
          </cell>
          <cell r="P11" t="str">
            <v>32 mm</v>
          </cell>
          <cell r="R11" t="str">
            <v>40 mm</v>
          </cell>
          <cell r="T11" t="str">
            <v>63 mm</v>
          </cell>
          <cell r="Z11" t="str">
            <v>Para Ranurar</v>
          </cell>
          <cell r="AB11" t="str">
            <v>Para Roscar</v>
          </cell>
          <cell r="CJ11" t="str">
            <v>Mechas</v>
          </cell>
        </row>
      </sheetData>
      <sheetData sheetId="3"/>
      <sheetData sheetId="4">
        <row r="10">
          <cell r="AE10" t="str">
            <v>Espejo Joaquin</v>
          </cell>
        </row>
        <row r="11">
          <cell r="AE11" t="str">
            <v>Maldonado Virginia</v>
          </cell>
        </row>
        <row r="12">
          <cell r="AE12" t="str">
            <v>Coria Jairo Yamil</v>
          </cell>
        </row>
        <row r="13">
          <cell r="AE13" t="str">
            <v>Ghella Juan Pablo</v>
          </cell>
        </row>
        <row r="14">
          <cell r="AE14" t="str">
            <v>Guardia Jonatan Dario</v>
          </cell>
        </row>
        <row r="15">
          <cell r="AE15" t="str">
            <v>Ferro Juan Manuel</v>
          </cell>
        </row>
        <row r="16">
          <cell r="AE16" t="str">
            <v xml:space="preserve"> Acosta Eric Jose</v>
          </cell>
        </row>
        <row r="17">
          <cell r="AE17" t="str">
            <v>Dominguez Jose Alberto</v>
          </cell>
        </row>
        <row r="18">
          <cell r="AE18" t="str">
            <v>D'olivo Gaston Fernando</v>
          </cell>
        </row>
        <row r="19">
          <cell r="AE19" t="str">
            <v/>
          </cell>
        </row>
        <row r="20">
          <cell r="AE20" t="str">
            <v/>
          </cell>
        </row>
        <row r="21">
          <cell r="AE21" t="str">
            <v/>
          </cell>
        </row>
        <row r="22">
          <cell r="AE22" t="str">
            <v/>
          </cell>
        </row>
        <row r="23">
          <cell r="AE23" t="str">
            <v/>
          </cell>
        </row>
        <row r="24">
          <cell r="AE24" t="str">
            <v/>
          </cell>
        </row>
        <row r="25">
          <cell r="AE25" t="str">
            <v/>
          </cell>
        </row>
        <row r="26">
          <cell r="C26" t="str">
            <v>Operarios</v>
          </cell>
          <cell r="AE26" t="str">
            <v/>
          </cell>
        </row>
        <row r="27">
          <cell r="C27" t="str">
            <v>Supervisores</v>
          </cell>
          <cell r="AE27" t="str">
            <v/>
          </cell>
        </row>
        <row r="28">
          <cell r="C28" t="str">
            <v>Mantenimiento Preventivo</v>
          </cell>
          <cell r="AE28" t="str">
            <v/>
          </cell>
        </row>
        <row r="29">
          <cell r="C29" t="str">
            <v>Mantenimiento Correctivo</v>
          </cell>
          <cell r="AE29" t="str">
            <v/>
          </cell>
        </row>
        <row r="30">
          <cell r="AE30" t="str">
            <v/>
          </cell>
        </row>
        <row r="31">
          <cell r="AE31" t="str">
            <v/>
          </cell>
        </row>
        <row r="32">
          <cell r="AE32" t="str">
            <v/>
          </cell>
        </row>
        <row r="33">
          <cell r="AE33" t="str">
            <v/>
          </cell>
        </row>
        <row r="34">
          <cell r="AE34" t="str">
            <v/>
          </cell>
        </row>
        <row r="35">
          <cell r="AE35" t="str">
            <v/>
          </cell>
        </row>
        <row r="36">
          <cell r="AE36" t="str">
            <v/>
          </cell>
        </row>
        <row r="37">
          <cell r="AE37" t="str">
            <v/>
          </cell>
        </row>
        <row r="38">
          <cell r="AE38" t="str">
            <v/>
          </cell>
        </row>
        <row r="39">
          <cell r="AE39" t="str">
            <v/>
          </cell>
        </row>
        <row r="40">
          <cell r="AE40" t="str">
            <v/>
          </cell>
        </row>
        <row r="41">
          <cell r="AE41" t="str">
            <v/>
          </cell>
        </row>
        <row r="42">
          <cell r="AE42" t="str">
            <v/>
          </cell>
        </row>
        <row r="43">
          <cell r="AE43" t="str">
            <v/>
          </cell>
        </row>
        <row r="44">
          <cell r="AE44" t="str">
            <v/>
          </cell>
        </row>
        <row r="45">
          <cell r="AE45" t="str">
            <v/>
          </cell>
        </row>
        <row r="46">
          <cell r="AE46" t="str">
            <v/>
          </cell>
        </row>
        <row r="47">
          <cell r="AE47" t="str">
            <v/>
          </cell>
        </row>
        <row r="48">
          <cell r="AE48" t="str">
            <v/>
          </cell>
        </row>
        <row r="49">
          <cell r="AE49" t="str">
            <v/>
          </cell>
        </row>
        <row r="50">
          <cell r="AE50" t="str">
            <v/>
          </cell>
        </row>
        <row r="51">
          <cell r="AE51" t="str">
            <v/>
          </cell>
        </row>
        <row r="52">
          <cell r="AE52" t="str">
            <v/>
          </cell>
        </row>
        <row r="53">
          <cell r="AE53" t="str">
            <v/>
          </cell>
        </row>
        <row r="54">
          <cell r="AE54" t="str">
            <v/>
          </cell>
        </row>
        <row r="55">
          <cell r="AE55" t="str">
            <v/>
          </cell>
        </row>
        <row r="56">
          <cell r="AE56" t="str">
            <v/>
          </cell>
        </row>
        <row r="57">
          <cell r="AE57" t="str">
            <v/>
          </cell>
        </row>
        <row r="58">
          <cell r="AE58" t="str">
            <v/>
          </cell>
        </row>
        <row r="59">
          <cell r="AE59" t="str">
            <v/>
          </cell>
        </row>
        <row r="60">
          <cell r="AE60" t="str">
            <v/>
          </cell>
        </row>
        <row r="61">
          <cell r="AE61" t="str">
            <v/>
          </cell>
        </row>
        <row r="62">
          <cell r="AE62" t="str">
            <v/>
          </cell>
        </row>
        <row r="63">
          <cell r="AE63" t="str">
            <v/>
          </cell>
        </row>
        <row r="64">
          <cell r="AE64" t="str">
            <v/>
          </cell>
        </row>
        <row r="65">
          <cell r="AE65" t="str">
            <v/>
          </cell>
        </row>
        <row r="66">
          <cell r="AE66" t="str">
            <v/>
          </cell>
        </row>
        <row r="67">
          <cell r="AE67" t="str">
            <v/>
          </cell>
        </row>
        <row r="68">
          <cell r="AE68" t="str">
            <v/>
          </cell>
        </row>
        <row r="69">
          <cell r="AE69" t="str">
            <v/>
          </cell>
        </row>
        <row r="70">
          <cell r="AE70" t="str">
            <v/>
          </cell>
        </row>
        <row r="71">
          <cell r="AE71" t="str">
            <v/>
          </cell>
        </row>
        <row r="72">
          <cell r="AE72" t="str">
            <v/>
          </cell>
        </row>
        <row r="73">
          <cell r="AE73" t="str">
            <v/>
          </cell>
        </row>
        <row r="74">
          <cell r="AE74" t="str">
            <v/>
          </cell>
        </row>
        <row r="75">
          <cell r="AE75" t="str">
            <v/>
          </cell>
        </row>
        <row r="76">
          <cell r="AE76" t="str">
            <v/>
          </cell>
        </row>
        <row r="77">
          <cell r="AE77" t="str">
            <v/>
          </cell>
        </row>
        <row r="78">
          <cell r="AE78" t="str">
            <v/>
          </cell>
        </row>
        <row r="79">
          <cell r="AE79" t="str">
            <v/>
          </cell>
        </row>
        <row r="80">
          <cell r="AE80" t="str">
            <v/>
          </cell>
        </row>
        <row r="81">
          <cell r="AE81" t="str">
            <v/>
          </cell>
        </row>
        <row r="82">
          <cell r="AE82" t="str">
            <v/>
          </cell>
        </row>
        <row r="83">
          <cell r="AE83" t="str">
            <v/>
          </cell>
        </row>
        <row r="84">
          <cell r="AE84" t="str">
            <v/>
          </cell>
        </row>
        <row r="85">
          <cell r="AE85" t="str">
            <v/>
          </cell>
        </row>
        <row r="86">
          <cell r="AE86" t="str">
            <v/>
          </cell>
        </row>
        <row r="87">
          <cell r="AE87" t="str">
            <v/>
          </cell>
        </row>
        <row r="88">
          <cell r="AE88" t="str">
            <v/>
          </cell>
        </row>
        <row r="89">
          <cell r="AE89" t="str">
            <v/>
          </cell>
        </row>
        <row r="90">
          <cell r="AE90" t="str">
            <v/>
          </cell>
        </row>
        <row r="91">
          <cell r="AE91" t="str">
            <v/>
          </cell>
        </row>
        <row r="92">
          <cell r="AE92" t="str">
            <v/>
          </cell>
        </row>
        <row r="93">
          <cell r="AE93" t="str">
            <v/>
          </cell>
        </row>
        <row r="94">
          <cell r="AE94" t="str">
            <v/>
          </cell>
        </row>
        <row r="95">
          <cell r="AE95" t="str">
            <v/>
          </cell>
        </row>
        <row r="96">
          <cell r="AE96" t="str">
            <v/>
          </cell>
        </row>
        <row r="97">
          <cell r="AE97" t="str">
            <v/>
          </cell>
        </row>
        <row r="98">
          <cell r="AE98" t="str">
            <v/>
          </cell>
        </row>
        <row r="99">
          <cell r="AE99" t="str">
            <v/>
          </cell>
        </row>
        <row r="100">
          <cell r="AE100" t="str">
            <v/>
          </cell>
        </row>
      </sheetData>
      <sheetData sheetId="5">
        <row r="11">
          <cell r="D11" t="str">
            <v>Compresor</v>
          </cell>
        </row>
        <row r="13">
          <cell r="D13" t="str">
            <v>Aceite Hidraulico BP68</v>
          </cell>
        </row>
        <row r="14">
          <cell r="D14" t="str">
            <v>Aceite Hidraulico BP32</v>
          </cell>
        </row>
        <row r="17">
          <cell r="D17" t="str">
            <v>Renolit Poliplex 2</v>
          </cell>
        </row>
        <row r="20">
          <cell r="D20" t="str">
            <v>TRA SM 502 Soluble semi p/rectif</v>
          </cell>
        </row>
      </sheetData>
      <sheetData sheetId="6">
        <row r="9">
          <cell r="D9" t="str">
            <v>Bateria Control CNC</v>
          </cell>
        </row>
        <row r="10">
          <cell r="D10" t="str">
            <v>Pila para Control de Ejes CNC</v>
          </cell>
        </row>
        <row r="11">
          <cell r="D11" t="str">
            <v>Rodamientos centro mec hwacheon</v>
          </cell>
        </row>
        <row r="12">
          <cell r="D12" t="str">
            <v>Rodamiento husillo centro mec rifa rfm60</v>
          </cell>
        </row>
      </sheetData>
      <sheetData sheetId="7">
        <row r="9">
          <cell r="N9" t="str">
            <v>Corte por Laser</v>
          </cell>
          <cell r="O9" t="str">
            <v>Produccion</v>
          </cell>
        </row>
        <row r="10">
          <cell r="N10" t="str">
            <v>Corte por Agua</v>
          </cell>
          <cell r="O10" t="str">
            <v>Ensamble</v>
          </cell>
        </row>
        <row r="11">
          <cell r="N11" t="str">
            <v>TORNO RIFA RFCZ12</v>
          </cell>
          <cell r="O11" t="str">
            <v>Administración y Comercialización</v>
          </cell>
        </row>
        <row r="12">
          <cell r="N12" t="str">
            <v>TORNO Microcut LT65</v>
          </cell>
          <cell r="O12" t="str">
            <v>Depósito</v>
          </cell>
        </row>
        <row r="13">
          <cell r="N13" t="str">
            <v>TORNO HWACHEON CUTEX 240B</v>
          </cell>
          <cell r="O13" t="str">
            <v>Embalaje</v>
          </cell>
        </row>
        <row r="14">
          <cell r="N14" t="str">
            <v>CM RIFA RFVM60</v>
          </cell>
          <cell r="O14" t="str">
            <v/>
          </cell>
        </row>
        <row r="15">
          <cell r="N15" t="str">
            <v>CM HWACHEON SIRIUS 550</v>
          </cell>
          <cell r="O15" t="str">
            <v/>
          </cell>
        </row>
        <row r="16">
          <cell r="N16" t="str">
            <v>CM Mitsubishi</v>
          </cell>
          <cell r="O16" t="str">
            <v/>
          </cell>
        </row>
        <row r="17">
          <cell r="N17" t="str">
            <v>CM RIFA 4 Ejes</v>
          </cell>
          <cell r="O17" t="str">
            <v/>
          </cell>
        </row>
        <row r="18">
          <cell r="N18" t="str">
            <v>Sierra Sensitiva</v>
          </cell>
          <cell r="O18" t="str">
            <v/>
          </cell>
        </row>
        <row r="19">
          <cell r="N19" t="str">
            <v>Agujereadora</v>
          </cell>
          <cell r="O19" t="str">
            <v/>
          </cell>
        </row>
        <row r="20">
          <cell r="N20" t="str">
            <v>Roscadora</v>
          </cell>
          <cell r="O20" t="str">
            <v/>
          </cell>
        </row>
        <row r="21">
          <cell r="N21" t="str">
            <v>Torno Paralelo Chico</v>
          </cell>
          <cell r="O21" t="str">
            <v/>
          </cell>
        </row>
        <row r="22">
          <cell r="N22" t="str">
            <v>Torno Paralelo Grande</v>
          </cell>
          <cell r="O22" t="str">
            <v/>
          </cell>
        </row>
        <row r="23">
          <cell r="N23" t="str">
            <v>Piedra de Banco</v>
          </cell>
          <cell r="O23" t="str">
            <v/>
          </cell>
        </row>
        <row r="24">
          <cell r="N24" t="str">
            <v>Maquina Corta Cadenas</v>
          </cell>
          <cell r="O24" t="str">
            <v/>
          </cell>
        </row>
        <row r="25">
          <cell r="N25" t="str">
            <v>Serrucho</v>
          </cell>
          <cell r="O25" t="str">
            <v/>
          </cell>
        </row>
        <row r="26">
          <cell r="N26" t="str">
            <v>Soldadora</v>
          </cell>
          <cell r="O26" t="str">
            <v/>
          </cell>
        </row>
        <row r="27">
          <cell r="N27" t="str">
            <v>Agujereadora (Taller)</v>
          </cell>
          <cell r="O27" t="str">
            <v/>
          </cell>
        </row>
        <row r="28">
          <cell r="N28" t="str">
            <v/>
          </cell>
          <cell r="O28" t="str">
            <v/>
          </cell>
        </row>
        <row r="29">
          <cell r="N29" t="str">
            <v/>
          </cell>
          <cell r="O29" t="str">
            <v/>
          </cell>
        </row>
        <row r="30">
          <cell r="N30" t="str">
            <v/>
          </cell>
          <cell r="O30" t="str">
            <v/>
          </cell>
        </row>
        <row r="31">
          <cell r="N31" t="str">
            <v/>
          </cell>
          <cell r="O31" t="str">
            <v/>
          </cell>
        </row>
        <row r="32">
          <cell r="N32" t="str">
            <v/>
          </cell>
          <cell r="O32" t="str">
            <v/>
          </cell>
        </row>
        <row r="33">
          <cell r="N33" t="str">
            <v/>
          </cell>
          <cell r="O33" t="str">
            <v/>
          </cell>
        </row>
        <row r="34">
          <cell r="N34" t="str">
            <v/>
          </cell>
          <cell r="O34" t="str">
            <v/>
          </cell>
        </row>
        <row r="35">
          <cell r="N35" t="str">
            <v/>
          </cell>
          <cell r="O35" t="str">
            <v/>
          </cell>
        </row>
        <row r="36">
          <cell r="N36" t="str">
            <v/>
          </cell>
          <cell r="O36" t="str">
            <v/>
          </cell>
        </row>
        <row r="37">
          <cell r="N37" t="str">
            <v/>
          </cell>
          <cell r="O37" t="str">
            <v/>
          </cell>
        </row>
        <row r="38">
          <cell r="N38" t="str">
            <v/>
          </cell>
          <cell r="O38" t="str">
            <v/>
          </cell>
        </row>
        <row r="39">
          <cell r="N39" t="str">
            <v/>
          </cell>
          <cell r="O39" t="str">
            <v/>
          </cell>
        </row>
        <row r="40">
          <cell r="N40" t="str">
            <v/>
          </cell>
          <cell r="O40" t="str">
            <v/>
          </cell>
        </row>
        <row r="41">
          <cell r="N41" t="str">
            <v/>
          </cell>
          <cell r="O41" t="str">
            <v/>
          </cell>
        </row>
        <row r="42">
          <cell r="N42" t="str">
            <v/>
          </cell>
          <cell r="O42" t="str">
            <v/>
          </cell>
        </row>
        <row r="43">
          <cell r="N43" t="str">
            <v/>
          </cell>
          <cell r="O43" t="str">
            <v/>
          </cell>
        </row>
        <row r="44">
          <cell r="N44" t="str">
            <v/>
          </cell>
          <cell r="O44" t="str">
            <v/>
          </cell>
        </row>
        <row r="45">
          <cell r="N45" t="str">
            <v/>
          </cell>
          <cell r="O45" t="str">
            <v/>
          </cell>
        </row>
        <row r="46">
          <cell r="N46" t="str">
            <v/>
          </cell>
          <cell r="O46" t="str">
            <v/>
          </cell>
        </row>
        <row r="47">
          <cell r="N47" t="str">
            <v/>
          </cell>
          <cell r="O47" t="str">
            <v/>
          </cell>
        </row>
        <row r="48">
          <cell r="N48" t="str">
            <v/>
          </cell>
          <cell r="O48" t="str">
            <v/>
          </cell>
        </row>
        <row r="49">
          <cell r="N49" t="str">
            <v/>
          </cell>
          <cell r="O49" t="str">
            <v/>
          </cell>
        </row>
        <row r="50">
          <cell r="N50" t="str">
            <v/>
          </cell>
          <cell r="O50" t="str">
            <v/>
          </cell>
        </row>
        <row r="51">
          <cell r="N51" t="str">
            <v/>
          </cell>
          <cell r="O51" t="str">
            <v/>
          </cell>
        </row>
        <row r="52">
          <cell r="N52" t="str">
            <v/>
          </cell>
          <cell r="O52" t="str">
            <v/>
          </cell>
        </row>
        <row r="53">
          <cell r="N53" t="str">
            <v/>
          </cell>
          <cell r="O53" t="str">
            <v/>
          </cell>
        </row>
        <row r="54">
          <cell r="N54" t="str">
            <v/>
          </cell>
          <cell r="O54" t="str">
            <v/>
          </cell>
        </row>
        <row r="55">
          <cell r="N55" t="str">
            <v/>
          </cell>
          <cell r="O55" t="str">
            <v/>
          </cell>
        </row>
        <row r="56">
          <cell r="N56" t="str">
            <v/>
          </cell>
          <cell r="O56" t="str">
            <v/>
          </cell>
        </row>
        <row r="57">
          <cell r="N57" t="str">
            <v/>
          </cell>
          <cell r="O57" t="str">
            <v/>
          </cell>
        </row>
        <row r="58">
          <cell r="N58" t="str">
            <v/>
          </cell>
          <cell r="O58" t="str">
            <v/>
          </cell>
        </row>
        <row r="59">
          <cell r="N59" t="str">
            <v/>
          </cell>
          <cell r="O59" t="str">
            <v/>
          </cell>
        </row>
        <row r="60">
          <cell r="N60" t="str">
            <v/>
          </cell>
          <cell r="O60" t="str">
            <v/>
          </cell>
        </row>
        <row r="61">
          <cell r="N61" t="str">
            <v/>
          </cell>
          <cell r="O61" t="str">
            <v/>
          </cell>
        </row>
        <row r="62">
          <cell r="N62" t="str">
            <v/>
          </cell>
          <cell r="O62" t="str">
            <v/>
          </cell>
        </row>
        <row r="63">
          <cell r="N63" t="str">
            <v/>
          </cell>
          <cell r="O63" t="str">
            <v/>
          </cell>
        </row>
        <row r="64">
          <cell r="N64" t="str">
            <v/>
          </cell>
          <cell r="O64" t="str">
            <v/>
          </cell>
        </row>
        <row r="65">
          <cell r="N65" t="str">
            <v/>
          </cell>
          <cell r="O65" t="str">
            <v/>
          </cell>
        </row>
        <row r="66">
          <cell r="N66" t="str">
            <v/>
          </cell>
          <cell r="O66" t="str">
            <v/>
          </cell>
        </row>
        <row r="67">
          <cell r="N67" t="str">
            <v/>
          </cell>
          <cell r="O67" t="str">
            <v/>
          </cell>
        </row>
        <row r="68">
          <cell r="N68" t="str">
            <v/>
          </cell>
          <cell r="O68" t="str">
            <v/>
          </cell>
        </row>
        <row r="69">
          <cell r="N69" t="str">
            <v/>
          </cell>
          <cell r="O69" t="str">
            <v/>
          </cell>
        </row>
        <row r="70">
          <cell r="N70" t="str">
            <v/>
          </cell>
          <cell r="O70" t="str">
            <v/>
          </cell>
        </row>
        <row r="71">
          <cell r="N71" t="str">
            <v/>
          </cell>
          <cell r="O71" t="str">
            <v/>
          </cell>
        </row>
        <row r="72">
          <cell r="N72" t="str">
            <v/>
          </cell>
          <cell r="O72" t="str">
            <v/>
          </cell>
        </row>
        <row r="73">
          <cell r="N73" t="str">
            <v/>
          </cell>
          <cell r="O73" t="str">
            <v/>
          </cell>
        </row>
        <row r="74">
          <cell r="N74" t="str">
            <v/>
          </cell>
          <cell r="O74" t="str">
            <v/>
          </cell>
        </row>
        <row r="75">
          <cell r="N75" t="str">
            <v/>
          </cell>
          <cell r="O75" t="str">
            <v/>
          </cell>
        </row>
        <row r="76">
          <cell r="N76" t="str">
            <v/>
          </cell>
          <cell r="O76" t="str">
            <v/>
          </cell>
        </row>
        <row r="77">
          <cell r="N77" t="str">
            <v/>
          </cell>
          <cell r="O77" t="str">
            <v/>
          </cell>
        </row>
        <row r="78">
          <cell r="N78" t="str">
            <v/>
          </cell>
          <cell r="O78" t="str">
            <v/>
          </cell>
        </row>
        <row r="79">
          <cell r="N79" t="str">
            <v/>
          </cell>
          <cell r="O79" t="str">
            <v/>
          </cell>
        </row>
        <row r="80">
          <cell r="N80" t="str">
            <v/>
          </cell>
          <cell r="O80" t="str">
            <v/>
          </cell>
        </row>
        <row r="81">
          <cell r="N81" t="str">
            <v/>
          </cell>
          <cell r="O81" t="str">
            <v/>
          </cell>
        </row>
        <row r="82">
          <cell r="N82" t="str">
            <v/>
          </cell>
          <cell r="O82" t="str">
            <v/>
          </cell>
        </row>
        <row r="83">
          <cell r="N83" t="str">
            <v/>
          </cell>
          <cell r="O83" t="str">
            <v/>
          </cell>
        </row>
        <row r="84">
          <cell r="N84" t="str">
            <v/>
          </cell>
          <cell r="O84" t="str">
            <v/>
          </cell>
        </row>
        <row r="85">
          <cell r="N85" t="str">
            <v/>
          </cell>
          <cell r="O85" t="str">
            <v/>
          </cell>
        </row>
        <row r="86">
          <cell r="N86" t="str">
            <v/>
          </cell>
          <cell r="O86" t="str">
            <v/>
          </cell>
        </row>
        <row r="87">
          <cell r="N87" t="str">
            <v/>
          </cell>
          <cell r="O87" t="str">
            <v/>
          </cell>
        </row>
        <row r="88">
          <cell r="N88" t="str">
            <v/>
          </cell>
          <cell r="O88" t="str">
            <v/>
          </cell>
        </row>
        <row r="89">
          <cell r="N89" t="str">
            <v/>
          </cell>
          <cell r="O89" t="str">
            <v/>
          </cell>
        </row>
        <row r="90">
          <cell r="N90" t="str">
            <v/>
          </cell>
          <cell r="O90" t="str">
            <v/>
          </cell>
        </row>
        <row r="91">
          <cell r="N91" t="str">
            <v/>
          </cell>
          <cell r="O91" t="str">
            <v/>
          </cell>
        </row>
        <row r="92">
          <cell r="N92" t="str">
            <v/>
          </cell>
          <cell r="O92" t="str">
            <v/>
          </cell>
        </row>
        <row r="93">
          <cell r="N93" t="str">
            <v/>
          </cell>
          <cell r="O93" t="str">
            <v/>
          </cell>
        </row>
        <row r="94">
          <cell r="N94" t="str">
            <v/>
          </cell>
          <cell r="O94" t="str">
            <v/>
          </cell>
        </row>
        <row r="95">
          <cell r="N95" t="str">
            <v/>
          </cell>
          <cell r="O95" t="str">
            <v/>
          </cell>
        </row>
        <row r="96">
          <cell r="N96" t="str">
            <v/>
          </cell>
          <cell r="O96" t="str">
            <v/>
          </cell>
        </row>
        <row r="97">
          <cell r="N97" t="str">
            <v/>
          </cell>
          <cell r="O97" t="str">
            <v/>
          </cell>
        </row>
        <row r="98">
          <cell r="N98" t="str">
            <v/>
          </cell>
          <cell r="O98" t="str">
            <v/>
          </cell>
        </row>
        <row r="99">
          <cell r="N99" t="str">
            <v/>
          </cell>
          <cell r="O99" t="str">
            <v/>
          </cell>
        </row>
        <row r="100">
          <cell r="N100" t="str">
            <v/>
          </cell>
          <cell r="O100" t="str">
            <v/>
          </cell>
        </row>
        <row r="101">
          <cell r="N101" t="str">
            <v/>
          </cell>
          <cell r="O101" t="str">
            <v/>
          </cell>
        </row>
        <row r="102">
          <cell r="N102" t="str">
            <v/>
          </cell>
          <cell r="O102" t="str">
            <v/>
          </cell>
        </row>
        <row r="103">
          <cell r="N103" t="str">
            <v/>
          </cell>
          <cell r="O103" t="str">
            <v/>
          </cell>
        </row>
        <row r="104">
          <cell r="N104" t="str">
            <v/>
          </cell>
          <cell r="O104" t="str">
            <v/>
          </cell>
        </row>
        <row r="105">
          <cell r="N105" t="str">
            <v/>
          </cell>
          <cell r="O105" t="str">
            <v/>
          </cell>
        </row>
        <row r="106">
          <cell r="N106" t="str">
            <v/>
          </cell>
          <cell r="O106" t="str">
            <v/>
          </cell>
        </row>
        <row r="107">
          <cell r="N107" t="str">
            <v/>
          </cell>
          <cell r="O107" t="str">
            <v/>
          </cell>
        </row>
        <row r="108">
          <cell r="N108" t="str">
            <v/>
          </cell>
          <cell r="O108" t="str">
            <v/>
          </cell>
        </row>
        <row r="109">
          <cell r="N109" t="str">
            <v/>
          </cell>
          <cell r="O109" t="str">
            <v/>
          </cell>
        </row>
        <row r="110">
          <cell r="N110" t="str">
            <v/>
          </cell>
          <cell r="O110" t="str">
            <v/>
          </cell>
        </row>
        <row r="111">
          <cell r="N111" t="str">
            <v/>
          </cell>
          <cell r="O111" t="str">
            <v/>
          </cell>
        </row>
        <row r="112">
          <cell r="N112" t="str">
            <v/>
          </cell>
          <cell r="O112" t="str">
            <v/>
          </cell>
        </row>
        <row r="113">
          <cell r="N113" t="str">
            <v/>
          </cell>
          <cell r="O113" t="str">
            <v/>
          </cell>
        </row>
        <row r="114">
          <cell r="N114" t="str">
            <v/>
          </cell>
          <cell r="O114" t="str">
            <v/>
          </cell>
        </row>
        <row r="115">
          <cell r="N115" t="str">
            <v/>
          </cell>
          <cell r="O115" t="str">
            <v/>
          </cell>
        </row>
        <row r="116">
          <cell r="N116" t="str">
            <v/>
          </cell>
          <cell r="O116" t="str">
            <v/>
          </cell>
        </row>
        <row r="117">
          <cell r="N117" t="str">
            <v/>
          </cell>
          <cell r="O117" t="str">
            <v/>
          </cell>
        </row>
        <row r="118">
          <cell r="N118" t="str">
            <v/>
          </cell>
          <cell r="O118" t="str">
            <v/>
          </cell>
        </row>
        <row r="119">
          <cell r="N119" t="str">
            <v/>
          </cell>
          <cell r="O119" t="str">
            <v/>
          </cell>
        </row>
        <row r="120">
          <cell r="N120" t="str">
            <v/>
          </cell>
          <cell r="O120" t="str">
            <v/>
          </cell>
        </row>
        <row r="121">
          <cell r="N121" t="str">
            <v/>
          </cell>
          <cell r="O121" t="str">
            <v/>
          </cell>
        </row>
        <row r="122">
          <cell r="N122" t="str">
            <v/>
          </cell>
          <cell r="O122" t="str">
            <v/>
          </cell>
        </row>
        <row r="124">
          <cell r="N124" t="str">
            <v>Compresor</v>
          </cell>
        </row>
        <row r="125">
          <cell r="N125" t="str">
            <v>Herraminta 2</v>
          </cell>
        </row>
        <row r="126">
          <cell r="N126" t="str">
            <v>Herraminta 3</v>
          </cell>
        </row>
        <row r="127">
          <cell r="N127" t="str">
            <v>Herraminta 4</v>
          </cell>
        </row>
        <row r="128">
          <cell r="N128" t="str">
            <v>Herraminta 5</v>
          </cell>
        </row>
        <row r="129">
          <cell r="N129" t="str">
            <v>Herraminta 6</v>
          </cell>
        </row>
        <row r="130">
          <cell r="N130" t="str">
            <v>Herraminta 7</v>
          </cell>
        </row>
        <row r="131">
          <cell r="N131" t="str">
            <v/>
          </cell>
        </row>
        <row r="132">
          <cell r="N132" t="str">
            <v/>
          </cell>
        </row>
        <row r="133">
          <cell r="N133" t="str">
            <v/>
          </cell>
        </row>
        <row r="134">
          <cell r="N134" t="str">
            <v/>
          </cell>
        </row>
        <row r="135">
          <cell r="N135" t="str">
            <v/>
          </cell>
        </row>
        <row r="136">
          <cell r="N136" t="str">
            <v/>
          </cell>
        </row>
        <row r="137">
          <cell r="N137" t="str">
            <v/>
          </cell>
        </row>
        <row r="138">
          <cell r="N138" t="str">
            <v/>
          </cell>
        </row>
        <row r="139">
          <cell r="N139" t="str">
            <v/>
          </cell>
        </row>
        <row r="140">
          <cell r="N140" t="str">
            <v/>
          </cell>
        </row>
        <row r="141">
          <cell r="N141" t="str">
            <v/>
          </cell>
        </row>
        <row r="142">
          <cell r="N142" t="str">
            <v/>
          </cell>
        </row>
        <row r="143">
          <cell r="N143" t="str">
            <v/>
          </cell>
        </row>
        <row r="144">
          <cell r="N144" t="str">
            <v/>
          </cell>
        </row>
        <row r="145">
          <cell r="N145" t="str">
            <v/>
          </cell>
        </row>
        <row r="146">
          <cell r="N146" t="str">
            <v/>
          </cell>
        </row>
        <row r="147">
          <cell r="N147" t="str">
            <v/>
          </cell>
        </row>
        <row r="148">
          <cell r="N148" t="str">
            <v/>
          </cell>
        </row>
        <row r="149">
          <cell r="N149" t="str">
            <v/>
          </cell>
        </row>
        <row r="150">
          <cell r="N150" t="str">
            <v/>
          </cell>
        </row>
        <row r="151">
          <cell r="N151" t="str">
            <v/>
          </cell>
        </row>
        <row r="152">
          <cell r="N152" t="str">
            <v/>
          </cell>
        </row>
        <row r="153">
          <cell r="N153" t="str">
            <v/>
          </cell>
        </row>
        <row r="154">
          <cell r="N154" t="str">
            <v/>
          </cell>
        </row>
        <row r="155">
          <cell r="N155" t="str">
            <v/>
          </cell>
        </row>
        <row r="156">
          <cell r="N156" t="str">
            <v/>
          </cell>
        </row>
        <row r="157">
          <cell r="N157" t="str">
            <v/>
          </cell>
        </row>
        <row r="158">
          <cell r="N158" t="str">
            <v/>
          </cell>
        </row>
        <row r="159">
          <cell r="N159" t="str">
            <v/>
          </cell>
        </row>
        <row r="160">
          <cell r="N160" t="str">
            <v/>
          </cell>
        </row>
        <row r="161">
          <cell r="N161" t="str">
            <v/>
          </cell>
        </row>
        <row r="162">
          <cell r="N162" t="str">
            <v/>
          </cell>
        </row>
        <row r="163">
          <cell r="N163" t="str">
            <v/>
          </cell>
        </row>
        <row r="164">
          <cell r="N164" t="str">
            <v/>
          </cell>
        </row>
        <row r="165">
          <cell r="N165" t="str">
            <v/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 a Pedir"/>
      <sheetName val="INFO-INSUMOS"/>
      <sheetName val="INFO-OEE"/>
      <sheetName val="INFO-Personal"/>
      <sheetName val="INFO-Direc"/>
      <sheetName val="INFO- Mant"/>
      <sheetName val="INFO- Indirec"/>
      <sheetName val="INFO- Pos"/>
      <sheetName val="Generador de Hojas"/>
      <sheetName val="Corte por Laser"/>
      <sheetName val="TMP_VBA"/>
      <sheetName val="Corte por Agua"/>
      <sheetName val="Sierra"/>
      <sheetName val="Torno RIFA RFCZ12"/>
      <sheetName val="Torno Microcut LT65"/>
      <sheetName val="Torno CNC HWACHEON CUTEX 240B"/>
      <sheetName val="CM RIFA RFVM60"/>
      <sheetName val="CM HWACHEON SIRIUS 550"/>
      <sheetName val="CM Mitsubishi"/>
      <sheetName val="CM RIFA 4 Ejes"/>
      <sheetName val="_TMP_VBA_"/>
    </sheetNames>
    <sheetDataSet>
      <sheetData sheetId="0"/>
      <sheetData sheetId="1">
        <row r="9">
          <cell r="CJ9" t="str">
            <v>Fresas</v>
          </cell>
        </row>
        <row r="10">
          <cell r="CJ10" t="str">
            <v>Insertos</v>
          </cell>
        </row>
        <row r="11">
          <cell r="D11" t="str">
            <v xml:space="preserve">Esferica </v>
          </cell>
          <cell r="F11" t="str">
            <v>Plana</v>
          </cell>
          <cell r="H11" t="str">
            <v xml:space="preserve">12 mm </v>
          </cell>
          <cell r="J11" t="str">
            <v xml:space="preserve">16 mm </v>
          </cell>
          <cell r="L11" t="str">
            <v xml:space="preserve">20 mm </v>
          </cell>
          <cell r="N11" t="str">
            <v>25 mm</v>
          </cell>
          <cell r="P11" t="str">
            <v>32 mm</v>
          </cell>
          <cell r="R11" t="str">
            <v>40 mm</v>
          </cell>
          <cell r="T11" t="str">
            <v>63 mm</v>
          </cell>
          <cell r="Z11" t="str">
            <v>Para Ranurar</v>
          </cell>
          <cell r="AB11" t="str">
            <v>Para Roscar</v>
          </cell>
          <cell r="CJ11" t="str">
            <v>Mechas</v>
          </cell>
        </row>
        <row r="12">
          <cell r="CJ12" t="str">
            <v/>
          </cell>
        </row>
        <row r="13">
          <cell r="CJ13" t="str">
            <v/>
          </cell>
        </row>
        <row r="14">
          <cell r="CJ14" t="str">
            <v/>
          </cell>
        </row>
      </sheetData>
      <sheetData sheetId="2"/>
      <sheetData sheetId="3"/>
      <sheetData sheetId="4">
        <row r="14">
          <cell r="D14" t="str">
            <v>Lubricante 1</v>
          </cell>
        </row>
        <row r="15">
          <cell r="D15" t="str">
            <v>Lubricante 2</v>
          </cell>
        </row>
        <row r="16">
          <cell r="D16" t="str">
            <v>Lubricante 3</v>
          </cell>
        </row>
        <row r="17">
          <cell r="D17" t="str">
            <v>Lubricante 4</v>
          </cell>
        </row>
        <row r="18">
          <cell r="D18" t="str">
            <v>Lubricante 5</v>
          </cell>
        </row>
        <row r="19">
          <cell r="D19" t="str">
            <v>Lubricante 6</v>
          </cell>
        </row>
        <row r="22">
          <cell r="D22" t="str">
            <v>Refrigerante 1</v>
          </cell>
        </row>
        <row r="23">
          <cell r="D23" t="str">
            <v>Refrigerante 2</v>
          </cell>
        </row>
        <row r="24">
          <cell r="D24" t="str">
            <v>Refrigerante 3</v>
          </cell>
        </row>
        <row r="25">
          <cell r="D25" t="str">
            <v>Refrigerante 4</v>
          </cell>
        </row>
        <row r="26">
          <cell r="D26" t="str">
            <v>Refrigerante 5</v>
          </cell>
        </row>
        <row r="27">
          <cell r="D27" t="str">
            <v>Refrigerante 6</v>
          </cell>
        </row>
      </sheetData>
      <sheetData sheetId="5">
        <row r="9">
          <cell r="D9" t="str">
            <v>Repuesto 1</v>
          </cell>
        </row>
      </sheetData>
      <sheetData sheetId="6"/>
      <sheetData sheetId="7">
        <row r="9">
          <cell r="N9" t="str">
            <v>Corte por Laser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l"/>
      <sheetName val="Analisis de Costos Personal"/>
    </sheetNames>
    <sheetDataSet>
      <sheetData sheetId="0">
        <row r="3">
          <cell r="K3">
            <v>1435</v>
          </cell>
        </row>
        <row r="9">
          <cell r="C9" t="str">
            <v>Espejo Joaquin</v>
          </cell>
          <cell r="D9" t="str">
            <v>Producción</v>
          </cell>
          <cell r="E9">
            <v>1</v>
          </cell>
          <cell r="F9"/>
          <cell r="G9">
            <v>0</v>
          </cell>
          <cell r="H9"/>
          <cell r="I9">
            <v>0</v>
          </cell>
          <cell r="J9"/>
          <cell r="K9">
            <v>0</v>
          </cell>
          <cell r="L9">
            <v>2169897.9300000002</v>
          </cell>
        </row>
        <row r="10">
          <cell r="C10" t="str">
            <v>Maldonado Virginia</v>
          </cell>
          <cell r="D10" t="str">
            <v>Producción</v>
          </cell>
          <cell r="E10">
            <v>1</v>
          </cell>
          <cell r="F10"/>
          <cell r="G10">
            <v>0</v>
          </cell>
          <cell r="H10"/>
          <cell r="I10">
            <v>0</v>
          </cell>
          <cell r="J10"/>
          <cell r="K10">
            <v>0</v>
          </cell>
          <cell r="L10">
            <v>1775914.57</v>
          </cell>
        </row>
        <row r="11">
          <cell r="C11" t="str">
            <v>Coria Jairo Yamil</v>
          </cell>
          <cell r="D11" t="str">
            <v>Producción</v>
          </cell>
          <cell r="E11">
            <v>1</v>
          </cell>
          <cell r="F11"/>
          <cell r="G11">
            <v>0</v>
          </cell>
          <cell r="H11"/>
          <cell r="I11">
            <v>0</v>
          </cell>
          <cell r="J11"/>
          <cell r="K11">
            <v>0</v>
          </cell>
          <cell r="L11">
            <v>2178653.7000000002</v>
          </cell>
        </row>
        <row r="12">
          <cell r="C12" t="str">
            <v>Ghella Juan Pablo</v>
          </cell>
          <cell r="D12" t="str">
            <v>Producción</v>
          </cell>
          <cell r="E12">
            <v>1</v>
          </cell>
          <cell r="F12"/>
          <cell r="G12">
            <v>0</v>
          </cell>
          <cell r="H12"/>
          <cell r="I12">
            <v>0</v>
          </cell>
          <cell r="J12"/>
          <cell r="K12">
            <v>0</v>
          </cell>
          <cell r="L12">
            <v>2666627.7599999998</v>
          </cell>
        </row>
        <row r="13">
          <cell r="C13" t="str">
            <v>Guardia Jonatan Dario</v>
          </cell>
          <cell r="D13" t="str">
            <v>Producción</v>
          </cell>
          <cell r="E13">
            <v>0.5</v>
          </cell>
          <cell r="F13" t="str">
            <v>Ensamble</v>
          </cell>
          <cell r="G13">
            <v>0.25</v>
          </cell>
          <cell r="H13" t="str">
            <v>Embalaje</v>
          </cell>
          <cell r="I13">
            <v>0.25</v>
          </cell>
          <cell r="J13"/>
          <cell r="K13">
            <v>0</v>
          </cell>
          <cell r="L13">
            <v>3215679.86</v>
          </cell>
        </row>
        <row r="14">
          <cell r="C14" t="str">
            <v>Ferro Juan Manuel</v>
          </cell>
          <cell r="D14" t="str">
            <v>Producción</v>
          </cell>
          <cell r="E14">
            <v>0.5</v>
          </cell>
          <cell r="F14" t="str">
            <v>Ensamble</v>
          </cell>
          <cell r="G14">
            <v>0.25</v>
          </cell>
          <cell r="H14" t="str">
            <v>Embalaje</v>
          </cell>
          <cell r="I14">
            <v>0.25</v>
          </cell>
          <cell r="J14"/>
          <cell r="K14">
            <v>0</v>
          </cell>
          <cell r="L14">
            <v>3819417.6000000001</v>
          </cell>
        </row>
        <row r="15">
          <cell r="C15" t="str">
            <v xml:space="preserve"> Acosta Eric Jose</v>
          </cell>
          <cell r="D15" t="str">
            <v>Producción</v>
          </cell>
          <cell r="E15">
            <v>1</v>
          </cell>
          <cell r="F15"/>
          <cell r="G15">
            <v>0</v>
          </cell>
          <cell r="H15"/>
          <cell r="I15">
            <v>0</v>
          </cell>
          <cell r="J15"/>
          <cell r="K15">
            <v>0</v>
          </cell>
          <cell r="L15">
            <v>1154148.8500000001</v>
          </cell>
        </row>
        <row r="16">
          <cell r="C16" t="str">
            <v>Dominguez Jose Alberto</v>
          </cell>
          <cell r="D16" t="str">
            <v>Producción</v>
          </cell>
          <cell r="E16">
            <v>1</v>
          </cell>
          <cell r="F16"/>
          <cell r="G16">
            <v>0</v>
          </cell>
          <cell r="H16"/>
          <cell r="I16">
            <v>0</v>
          </cell>
          <cell r="J16"/>
          <cell r="K16">
            <v>0</v>
          </cell>
          <cell r="L16">
            <v>1918609.57</v>
          </cell>
        </row>
        <row r="17">
          <cell r="C17" t="str">
            <v>D'olivo Gaston Fernando</v>
          </cell>
          <cell r="D17" t="str">
            <v>Ensamble</v>
          </cell>
          <cell r="E17">
            <v>0.8</v>
          </cell>
          <cell r="F17" t="str">
            <v>Producción</v>
          </cell>
          <cell r="G17">
            <v>0.2</v>
          </cell>
          <cell r="H17"/>
          <cell r="I17">
            <v>0</v>
          </cell>
          <cell r="J17"/>
          <cell r="K17">
            <v>0</v>
          </cell>
          <cell r="L17">
            <v>2037210.29</v>
          </cell>
        </row>
        <row r="18">
          <cell r="C18" t="str">
            <v>Ortiz Raul Edgardo</v>
          </cell>
          <cell r="D18" t="str">
            <v>Embalaje</v>
          </cell>
          <cell r="E18">
            <v>0.5</v>
          </cell>
          <cell r="F18" t="str">
            <v>Deposito y Logística</v>
          </cell>
          <cell r="G18">
            <v>0.5</v>
          </cell>
          <cell r="H18"/>
          <cell r="I18">
            <v>0</v>
          </cell>
          <cell r="J18"/>
          <cell r="K18">
            <v>0</v>
          </cell>
          <cell r="L18">
            <v>2837593.55</v>
          </cell>
        </row>
        <row r="19">
          <cell r="C19" t="str">
            <v>Sayago Alberto Martin</v>
          </cell>
          <cell r="D19" t="str">
            <v>Embalaje</v>
          </cell>
          <cell r="E19">
            <v>0.8</v>
          </cell>
          <cell r="F19" t="str">
            <v>Deposito y Logística</v>
          </cell>
          <cell r="G19">
            <v>0.2</v>
          </cell>
          <cell r="H19"/>
          <cell r="I19">
            <v>0</v>
          </cell>
          <cell r="J19"/>
          <cell r="K19">
            <v>0</v>
          </cell>
          <cell r="L19">
            <v>2503204.12</v>
          </cell>
        </row>
        <row r="20">
          <cell r="C20" t="str">
            <v>Rinaldi Jorge Gabriel</v>
          </cell>
          <cell r="D20" t="str">
            <v>Embalaje</v>
          </cell>
          <cell r="E20">
            <v>0.25</v>
          </cell>
          <cell r="F20" t="str">
            <v>Deposito y Logística</v>
          </cell>
          <cell r="G20">
            <v>0.75</v>
          </cell>
          <cell r="H20"/>
          <cell r="I20">
            <v>0</v>
          </cell>
          <cell r="J20"/>
          <cell r="K20">
            <v>0</v>
          </cell>
          <cell r="L20">
            <v>2016905.67</v>
          </cell>
        </row>
        <row r="21">
          <cell r="C21" t="str">
            <v>Piacenza Facundo Javier</v>
          </cell>
          <cell r="D21" t="str">
            <v>Embalaje</v>
          </cell>
          <cell r="E21">
            <v>0.8</v>
          </cell>
          <cell r="F21" t="str">
            <v>Deposito y Logística</v>
          </cell>
          <cell r="G21">
            <v>0.2</v>
          </cell>
          <cell r="H21"/>
          <cell r="I21">
            <v>0</v>
          </cell>
          <cell r="J21"/>
          <cell r="K21">
            <v>0</v>
          </cell>
          <cell r="L21">
            <v>1154148.8500000001</v>
          </cell>
        </row>
        <row r="22">
          <cell r="C22" t="str">
            <v>Oviedo Leandro Carlos</v>
          </cell>
          <cell r="D22" t="str">
            <v>Embalaje</v>
          </cell>
          <cell r="E22">
            <v>0.8</v>
          </cell>
          <cell r="F22" t="str">
            <v>Deposito y Logística</v>
          </cell>
          <cell r="G22">
            <v>0.2</v>
          </cell>
          <cell r="H22"/>
          <cell r="I22">
            <v>0</v>
          </cell>
          <cell r="J22"/>
          <cell r="K22">
            <v>0</v>
          </cell>
          <cell r="L22">
            <v>1154148.8500000001</v>
          </cell>
        </row>
        <row r="23">
          <cell r="C23" t="str">
            <v>Appendino Tomas</v>
          </cell>
          <cell r="D23" t="str">
            <v>Embalaje</v>
          </cell>
          <cell r="E23">
            <v>0.8</v>
          </cell>
          <cell r="F23" t="str">
            <v>Deposito y Logística</v>
          </cell>
          <cell r="G23">
            <v>0.2</v>
          </cell>
          <cell r="H23"/>
          <cell r="I23">
            <v>0</v>
          </cell>
          <cell r="J23"/>
          <cell r="K23">
            <v>0</v>
          </cell>
          <cell r="L23">
            <v>1154148.8500000001</v>
          </cell>
        </row>
        <row r="24">
          <cell r="C24" t="str">
            <v>Barrios Ortiz Ignacio</v>
          </cell>
          <cell r="D24" t="str">
            <v>Ensamble</v>
          </cell>
          <cell r="E24">
            <v>0.5</v>
          </cell>
          <cell r="F24" t="str">
            <v>Embalaje</v>
          </cell>
          <cell r="G24">
            <v>0.5</v>
          </cell>
          <cell r="H24"/>
          <cell r="I24">
            <v>0</v>
          </cell>
          <cell r="J24"/>
          <cell r="K24">
            <v>0</v>
          </cell>
          <cell r="L24">
            <v>2549115.37</v>
          </cell>
        </row>
        <row r="25">
          <cell r="C25" t="str">
            <v>Deheza Pambosian Fernando</v>
          </cell>
          <cell r="D25" t="str">
            <v>Ensamble</v>
          </cell>
          <cell r="E25">
            <v>0.2</v>
          </cell>
          <cell r="F25" t="str">
            <v>Embalaje</v>
          </cell>
          <cell r="G25">
            <v>0.8</v>
          </cell>
          <cell r="H25"/>
          <cell r="I25">
            <v>0</v>
          </cell>
          <cell r="J25"/>
          <cell r="K25">
            <v>0</v>
          </cell>
          <cell r="L25">
            <v>1741293.59</v>
          </cell>
        </row>
        <row r="26">
          <cell r="C26" t="str">
            <v>Agüero Juan Pablo</v>
          </cell>
          <cell r="D26" t="str">
            <v>Ensamble</v>
          </cell>
          <cell r="E26">
            <v>0.2</v>
          </cell>
          <cell r="F26" t="str">
            <v>Embalaje</v>
          </cell>
          <cell r="G26">
            <v>0.8</v>
          </cell>
          <cell r="H26"/>
          <cell r="I26">
            <v>0</v>
          </cell>
          <cell r="J26"/>
          <cell r="K26">
            <v>0</v>
          </cell>
          <cell r="L26">
            <v>1741293.59</v>
          </cell>
        </row>
        <row r="27">
          <cell r="C27" t="str">
            <v>Roda Gabriel Cesar</v>
          </cell>
          <cell r="D27" t="str">
            <v>Ensamble</v>
          </cell>
          <cell r="E27">
            <v>0.8</v>
          </cell>
          <cell r="F27" t="str">
            <v>Embalaje</v>
          </cell>
          <cell r="G27">
            <v>0.2</v>
          </cell>
          <cell r="H27"/>
          <cell r="I27">
            <v>0</v>
          </cell>
          <cell r="J27"/>
          <cell r="K27">
            <v>0</v>
          </cell>
          <cell r="L27">
            <v>1621703.47</v>
          </cell>
        </row>
        <row r="28">
          <cell r="C28"/>
          <cell r="D28"/>
          <cell r="E28"/>
          <cell r="F28"/>
          <cell r="G28"/>
          <cell r="H28"/>
          <cell r="I28"/>
          <cell r="J28"/>
          <cell r="K28"/>
          <cell r="L28"/>
        </row>
        <row r="29">
          <cell r="C29"/>
          <cell r="D29"/>
          <cell r="E29"/>
          <cell r="F29"/>
          <cell r="G29"/>
          <cell r="H29"/>
          <cell r="I29"/>
          <cell r="J29"/>
          <cell r="K29"/>
          <cell r="L29"/>
        </row>
        <row r="30">
          <cell r="C30"/>
          <cell r="D30"/>
          <cell r="E30"/>
          <cell r="F30"/>
          <cell r="G30"/>
          <cell r="H30"/>
          <cell r="I30"/>
          <cell r="J30"/>
          <cell r="K30"/>
          <cell r="L30"/>
        </row>
        <row r="31">
          <cell r="C31"/>
          <cell r="D31"/>
          <cell r="E31"/>
          <cell r="F31"/>
          <cell r="G31"/>
          <cell r="H31"/>
          <cell r="I31"/>
          <cell r="J31"/>
          <cell r="K31"/>
          <cell r="L31"/>
        </row>
        <row r="32">
          <cell r="C32"/>
          <cell r="D32"/>
          <cell r="E32"/>
          <cell r="F32"/>
          <cell r="G32"/>
          <cell r="H32"/>
          <cell r="I32"/>
          <cell r="J32"/>
          <cell r="K32"/>
          <cell r="L32"/>
        </row>
        <row r="33">
          <cell r="C33"/>
          <cell r="D33"/>
          <cell r="E33"/>
          <cell r="F33"/>
          <cell r="G33"/>
          <cell r="H33"/>
          <cell r="I33"/>
          <cell r="J33"/>
          <cell r="K33"/>
          <cell r="L33"/>
        </row>
        <row r="34">
          <cell r="C34"/>
          <cell r="D34"/>
          <cell r="E34"/>
          <cell r="F34"/>
          <cell r="G34"/>
          <cell r="H34"/>
          <cell r="I34"/>
          <cell r="J34"/>
          <cell r="K34"/>
          <cell r="L34"/>
        </row>
        <row r="35">
          <cell r="C35"/>
          <cell r="D35"/>
          <cell r="E35"/>
          <cell r="F35"/>
          <cell r="G35"/>
          <cell r="H35"/>
          <cell r="I35"/>
          <cell r="J35"/>
          <cell r="K35"/>
          <cell r="L35"/>
        </row>
        <row r="36">
          <cell r="C36"/>
          <cell r="D36"/>
          <cell r="E36"/>
          <cell r="F36"/>
          <cell r="G36"/>
          <cell r="H36"/>
          <cell r="I36"/>
          <cell r="J36"/>
          <cell r="K36"/>
          <cell r="L36"/>
        </row>
        <row r="37">
          <cell r="C37"/>
          <cell r="D37"/>
          <cell r="E37"/>
          <cell r="F37"/>
          <cell r="G37"/>
          <cell r="H37"/>
          <cell r="I37"/>
          <cell r="J37"/>
          <cell r="K37"/>
          <cell r="L37"/>
        </row>
        <row r="38">
          <cell r="C38"/>
          <cell r="D38"/>
          <cell r="E38"/>
          <cell r="F38"/>
          <cell r="G38"/>
          <cell r="H38"/>
          <cell r="I38"/>
          <cell r="J38"/>
          <cell r="K38"/>
          <cell r="L38"/>
        </row>
        <row r="39">
          <cell r="C39"/>
          <cell r="D39"/>
          <cell r="E39"/>
          <cell r="F39"/>
          <cell r="G39"/>
          <cell r="H39"/>
          <cell r="I39"/>
          <cell r="J39"/>
          <cell r="K39"/>
          <cell r="L39"/>
        </row>
        <row r="40">
          <cell r="C40"/>
          <cell r="D40"/>
          <cell r="E40"/>
          <cell r="F40"/>
          <cell r="G40"/>
          <cell r="H40"/>
          <cell r="I40"/>
          <cell r="J40"/>
          <cell r="K40"/>
          <cell r="L40"/>
        </row>
        <row r="41">
          <cell r="C41" t="str">
            <v xml:space="preserve">APROBADO POR: </v>
          </cell>
          <cell r="D41" t="str">
            <v>Lorenzo Contigiani</v>
          </cell>
          <cell r="E41"/>
          <cell r="F41"/>
          <cell r="G41" t="str">
            <v xml:space="preserve">NOTAS: </v>
          </cell>
          <cell r="H41"/>
          <cell r="I41"/>
          <cell r="J41"/>
          <cell r="K41"/>
          <cell r="L41"/>
        </row>
        <row r="42">
          <cell r="C42"/>
          <cell r="D42"/>
          <cell r="E42"/>
          <cell r="F42"/>
          <cell r="G42"/>
          <cell r="H42"/>
          <cell r="I42"/>
          <cell r="J42"/>
          <cell r="K42"/>
          <cell r="L42"/>
        </row>
        <row r="43">
          <cell r="C43"/>
          <cell r="D43"/>
          <cell r="E43"/>
          <cell r="F43"/>
          <cell r="G43"/>
          <cell r="H43"/>
          <cell r="I43"/>
          <cell r="J43"/>
          <cell r="K43"/>
          <cell r="L43"/>
        </row>
        <row r="44">
          <cell r="C44"/>
          <cell r="D44"/>
          <cell r="E44"/>
          <cell r="F44"/>
          <cell r="G44"/>
          <cell r="H44"/>
          <cell r="I44"/>
          <cell r="J44"/>
          <cell r="K44"/>
          <cell r="L44"/>
        </row>
        <row r="45">
          <cell r="C45"/>
          <cell r="D45"/>
          <cell r="E45"/>
          <cell r="F45"/>
          <cell r="G45"/>
          <cell r="H45"/>
          <cell r="I45"/>
          <cell r="J45"/>
          <cell r="K45"/>
          <cell r="L45"/>
        </row>
        <row r="46">
          <cell r="C46"/>
        </row>
        <row r="47">
          <cell r="C47"/>
        </row>
        <row r="48">
          <cell r="C48"/>
          <cell r="D48"/>
          <cell r="E48"/>
        </row>
        <row r="49">
          <cell r="C49"/>
          <cell r="D49"/>
          <cell r="E49"/>
        </row>
        <row r="50">
          <cell r="C50"/>
          <cell r="D50"/>
          <cell r="E50"/>
        </row>
        <row r="51">
          <cell r="C51"/>
          <cell r="D51"/>
          <cell r="E51"/>
        </row>
        <row r="52">
          <cell r="C52"/>
          <cell r="D52"/>
          <cell r="E52"/>
        </row>
        <row r="53">
          <cell r="C53"/>
          <cell r="D53"/>
          <cell r="E53"/>
        </row>
        <row r="56">
          <cell r="D56"/>
          <cell r="E56"/>
        </row>
      </sheetData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-Consumo"/>
      <sheetName val="INFO-Ponderacion"/>
      <sheetName val="INFO-Factura"/>
    </sheetNames>
    <sheetDataSet>
      <sheetData sheetId="0">
        <row r="1">
          <cell r="D1"/>
          <cell r="I1"/>
        </row>
        <row r="2">
          <cell r="D2"/>
          <cell r="I2"/>
        </row>
        <row r="3">
          <cell r="D3" t="str">
            <v>Electrico</v>
          </cell>
          <cell r="I3"/>
        </row>
        <row r="4">
          <cell r="D4"/>
          <cell r="I4"/>
        </row>
        <row r="5">
          <cell r="D5" t="str">
            <v>Agustin Alberto</v>
          </cell>
          <cell r="I5"/>
        </row>
        <row r="6">
          <cell r="D6" t="str">
            <v>Oficina Tecnica</v>
          </cell>
          <cell r="I6"/>
        </row>
        <row r="7">
          <cell r="D7"/>
          <cell r="I7"/>
        </row>
        <row r="8">
          <cell r="D8" t="str">
            <v>Equipo / Elemento</v>
          </cell>
          <cell r="I8" t="str">
            <v>Carga promedio de uso</v>
          </cell>
        </row>
        <row r="9">
          <cell r="D9" t="str">
            <v>Corte por Laser</v>
          </cell>
          <cell r="F9">
            <v>80</v>
          </cell>
          <cell r="I9">
            <v>0.6</v>
          </cell>
        </row>
        <row r="10">
          <cell r="D10" t="str">
            <v>Corte por Agua</v>
          </cell>
          <cell r="F10">
            <v>37</v>
          </cell>
          <cell r="I10">
            <v>0.6</v>
          </cell>
        </row>
        <row r="11">
          <cell r="D11" t="str">
            <v>TORNO RIFA RFCZ12</v>
          </cell>
          <cell r="F11">
            <v>15</v>
          </cell>
          <cell r="I11">
            <v>0.6</v>
          </cell>
        </row>
        <row r="12">
          <cell r="D12" t="str">
            <v>TORNO Microcut LT65</v>
          </cell>
          <cell r="F12">
            <v>22</v>
          </cell>
          <cell r="I12">
            <v>0.6</v>
          </cell>
        </row>
        <row r="13">
          <cell r="D13" t="str">
            <v>TORNO HWACHEON CUTEX 240B</v>
          </cell>
          <cell r="F13">
            <v>31</v>
          </cell>
          <cell r="I13">
            <v>0.6</v>
          </cell>
        </row>
        <row r="14">
          <cell r="D14" t="str">
            <v>CM RIFA RFVM60</v>
          </cell>
          <cell r="F14">
            <v>14</v>
          </cell>
          <cell r="I14">
            <v>0.6</v>
          </cell>
        </row>
        <row r="15">
          <cell r="D15" t="str">
            <v>CM HWACHEON SIRIUS 550</v>
          </cell>
          <cell r="F15">
            <v>23</v>
          </cell>
          <cell r="I15">
            <v>0.6</v>
          </cell>
        </row>
        <row r="16">
          <cell r="D16" t="str">
            <v>CM Mitsubishi</v>
          </cell>
          <cell r="F16">
            <v>48</v>
          </cell>
          <cell r="I16">
            <v>0.6</v>
          </cell>
        </row>
        <row r="17">
          <cell r="D17" t="str">
            <v>CM RIFA 4 Ejes</v>
          </cell>
          <cell r="F17">
            <v>33</v>
          </cell>
          <cell r="I17">
            <v>0.6</v>
          </cell>
        </row>
        <row r="18">
          <cell r="D18" t="str">
            <v>Agujereadora</v>
          </cell>
          <cell r="F18">
            <v>0.7</v>
          </cell>
          <cell r="I18">
            <v>0.6</v>
          </cell>
        </row>
        <row r="19">
          <cell r="D19" t="str">
            <v>Roscadora</v>
          </cell>
          <cell r="F19">
            <v>0.75</v>
          </cell>
          <cell r="I19">
            <v>0.6</v>
          </cell>
        </row>
        <row r="20">
          <cell r="D20" t="str">
            <v>Torno Paralelo Chico</v>
          </cell>
          <cell r="F20">
            <v>1.1000000000000001</v>
          </cell>
          <cell r="I20">
            <v>0.6</v>
          </cell>
        </row>
        <row r="21">
          <cell r="D21" t="str">
            <v>Torno Paralelo Grande</v>
          </cell>
          <cell r="F21">
            <v>1.1000000000000001</v>
          </cell>
          <cell r="I21">
            <v>0.6</v>
          </cell>
        </row>
        <row r="22">
          <cell r="D22" t="str">
            <v>Piedra de Banco</v>
          </cell>
          <cell r="F22">
            <v>0.55000000000000004</v>
          </cell>
          <cell r="I22">
            <v>0.6</v>
          </cell>
        </row>
        <row r="23">
          <cell r="D23" t="str">
            <v>Maquina Corta Cadenas</v>
          </cell>
          <cell r="F23">
            <v>0.5</v>
          </cell>
          <cell r="I23">
            <v>0.6</v>
          </cell>
        </row>
        <row r="24">
          <cell r="D24" t="str">
            <v>Serrucho</v>
          </cell>
          <cell r="F24">
            <v>1.25</v>
          </cell>
          <cell r="I24">
            <v>0.6</v>
          </cell>
        </row>
        <row r="25">
          <cell r="D25" t="str">
            <v>Sierra Sensitiva</v>
          </cell>
          <cell r="F25">
            <v>2</v>
          </cell>
          <cell r="I25">
            <v>0.6</v>
          </cell>
        </row>
        <row r="26">
          <cell r="D26" t="str">
            <v>Soldadora</v>
          </cell>
          <cell r="F26">
            <v>3.5</v>
          </cell>
          <cell r="I26">
            <v>0.6</v>
          </cell>
        </row>
        <row r="27">
          <cell r="D27" t="str">
            <v>Agujereadora (Taller)</v>
          </cell>
          <cell r="F27">
            <v>0.7</v>
          </cell>
          <cell r="I27">
            <v>0.6</v>
          </cell>
        </row>
        <row r="28">
          <cell r="D28" t="str">
            <v>Compresor</v>
          </cell>
          <cell r="F28">
            <v>56</v>
          </cell>
          <cell r="I28">
            <v>0.6</v>
          </cell>
        </row>
        <row r="29">
          <cell r="D29"/>
          <cell r="F29"/>
          <cell r="I29">
            <v>0.6</v>
          </cell>
        </row>
        <row r="30">
          <cell r="D30"/>
          <cell r="F30"/>
          <cell r="I30">
            <v>0.6</v>
          </cell>
        </row>
        <row r="31">
          <cell r="D31"/>
          <cell r="F31"/>
          <cell r="I31">
            <v>0.6</v>
          </cell>
        </row>
        <row r="32">
          <cell r="D32" t="str">
            <v>ENGRASADORA MANUAL</v>
          </cell>
          <cell r="F32">
            <v>0.8</v>
          </cell>
          <cell r="I32">
            <v>0.6</v>
          </cell>
        </row>
        <row r="33">
          <cell r="D33" t="str">
            <v>PRENSA QY-10-1</v>
          </cell>
          <cell r="F33">
            <v>2.2000000000000002</v>
          </cell>
          <cell r="I33">
            <v>0.6</v>
          </cell>
        </row>
        <row r="34">
          <cell r="D34" t="str">
            <v>PRENSA QY-10-2</v>
          </cell>
          <cell r="F34">
            <v>2.2000000000000002</v>
          </cell>
          <cell r="I34">
            <v>0.6</v>
          </cell>
        </row>
        <row r="35">
          <cell r="D35" t="str">
            <v>PRENSA QY-10-3</v>
          </cell>
          <cell r="F35">
            <v>2.2000000000000002</v>
          </cell>
          <cell r="I35">
            <v>0.6</v>
          </cell>
        </row>
        <row r="36">
          <cell r="D36" t="str">
            <v>LAVADORA 0448</v>
          </cell>
          <cell r="F36">
            <v>1</v>
          </cell>
          <cell r="I36">
            <v>0.6</v>
          </cell>
        </row>
        <row r="37">
          <cell r="D37" t="str">
            <v>TB-SCAMRIVT-40120 CONICO 518</v>
          </cell>
          <cell r="F37">
            <v>1</v>
          </cell>
          <cell r="I37">
            <v>0.6</v>
          </cell>
        </row>
        <row r="38">
          <cell r="D38" t="str">
            <v>TE-SCAMRIVT-2060 CONICO 30207</v>
          </cell>
          <cell r="F38">
            <v>1</v>
          </cell>
          <cell r="I38">
            <v>0.6</v>
          </cell>
        </row>
        <row r="39">
          <cell r="D39" t="str">
            <v>HERMANADORA MANUAL IM247</v>
          </cell>
          <cell r="F39">
            <v>1</v>
          </cell>
          <cell r="I39">
            <v>0.6</v>
          </cell>
        </row>
        <row r="40">
          <cell r="D40" t="str">
            <v>HER. AUT MS03 DP 02HTQJ2</v>
          </cell>
          <cell r="F40">
            <v>1</v>
          </cell>
          <cell r="I40">
            <v>0.6</v>
          </cell>
        </row>
        <row r="41">
          <cell r="D41" t="str">
            <v>HER. AUT JAULA MS03 BCJL02A</v>
          </cell>
          <cell r="F41">
            <v>1</v>
          </cell>
          <cell r="I41">
            <v>0.6</v>
          </cell>
        </row>
        <row r="42">
          <cell r="D42" t="str">
            <v>ENGRASADORA MS03 0510-5120051</v>
          </cell>
          <cell r="F42">
            <v>1</v>
          </cell>
          <cell r="I42">
            <v>0.6</v>
          </cell>
        </row>
        <row r="43">
          <cell r="D43" t="str">
            <v>HER. AUT MS04 DP 03TQJ3</v>
          </cell>
          <cell r="F43">
            <v>1</v>
          </cell>
          <cell r="I43">
            <v>0.6</v>
          </cell>
        </row>
        <row r="44">
          <cell r="D44" t="str">
            <v>HER. AUT JAULA MS04 BCJL02A</v>
          </cell>
          <cell r="F44">
            <v>1</v>
          </cell>
          <cell r="I44">
            <v>0.6</v>
          </cell>
        </row>
        <row r="45">
          <cell r="D45" t="str">
            <v>ENGRASADORA AUTOMATICA MS04 ZYJ3H</v>
          </cell>
          <cell r="F45">
            <v>1</v>
          </cell>
          <cell r="I45">
            <v>0.6</v>
          </cell>
        </row>
        <row r="46">
          <cell r="D46" t="str">
            <v>LASER CHICO 30</v>
          </cell>
          <cell r="F46">
            <v>1</v>
          </cell>
          <cell r="I46">
            <v>0.6</v>
          </cell>
        </row>
        <row r="47">
          <cell r="D47" t="str">
            <v>LASER GRANDE 50</v>
          </cell>
          <cell r="F47">
            <v>1</v>
          </cell>
          <cell r="I47">
            <v>0.6</v>
          </cell>
        </row>
        <row r="48">
          <cell r="D48" t="str">
            <v>PRENSA QY-16</v>
          </cell>
          <cell r="F48">
            <v>2.2000000000000002</v>
          </cell>
          <cell r="I48">
            <v>0.6</v>
          </cell>
        </row>
        <row r="49">
          <cell r="D49" t="str">
            <v>LAVADORA QXC-1-2 MS03</v>
          </cell>
          <cell r="F49">
            <v>10</v>
          </cell>
          <cell r="I49">
            <v>0.6</v>
          </cell>
        </row>
        <row r="50">
          <cell r="D50" t="str">
            <v>LAVADORA QXC-1 MS04</v>
          </cell>
          <cell r="F50">
            <v>10</v>
          </cell>
          <cell r="I50">
            <v>0.6</v>
          </cell>
        </row>
        <row r="51">
          <cell r="D51" t="str">
            <v>ANDEROMETRO IM-250</v>
          </cell>
          <cell r="F51">
            <v>1</v>
          </cell>
          <cell r="I51">
            <v>0.6</v>
          </cell>
        </row>
        <row r="52">
          <cell r="D52" t="str">
            <v>ANDEROMETRO IM251</v>
          </cell>
          <cell r="F52">
            <v>1</v>
          </cell>
          <cell r="I52">
            <v>0.6</v>
          </cell>
        </row>
        <row r="53">
          <cell r="D53" t="str">
            <v>HERMANADORA AUT MS05 LHT90</v>
          </cell>
          <cell r="F53">
            <v>1</v>
          </cell>
          <cell r="I53">
            <v>0.6</v>
          </cell>
        </row>
        <row r="54">
          <cell r="D54" t="str">
            <v>HER. AUT JAULA MS05 BCJT03</v>
          </cell>
          <cell r="F54">
            <v>1</v>
          </cell>
          <cell r="I54">
            <v>0.6</v>
          </cell>
        </row>
        <row r="55">
          <cell r="D55" t="str">
            <v>PD52 POACHER</v>
          </cell>
          <cell r="F55">
            <v>1</v>
          </cell>
          <cell r="I55">
            <v>0.6</v>
          </cell>
        </row>
        <row r="56">
          <cell r="D56" t="str">
            <v>RADIAL X095B</v>
          </cell>
          <cell r="F56">
            <v>1</v>
          </cell>
          <cell r="I56">
            <v>0.6</v>
          </cell>
        </row>
        <row r="57">
          <cell r="D57" t="str">
            <v>LAVADO MANUAL PMT25-36</v>
          </cell>
          <cell r="F57">
            <v>1</v>
          </cell>
          <cell r="I57">
            <v>0.6</v>
          </cell>
        </row>
        <row r="58">
          <cell r="D58" t="str">
            <v>HERMANADORA MANUAL IM248</v>
          </cell>
          <cell r="F58">
            <v>1</v>
          </cell>
          <cell r="I58">
            <v>0.6</v>
          </cell>
        </row>
        <row r="59">
          <cell r="D59" t="str">
            <v>RADIAL X095A</v>
          </cell>
          <cell r="F59">
            <v>1</v>
          </cell>
          <cell r="I59">
            <v>0.6</v>
          </cell>
        </row>
        <row r="60">
          <cell r="D60" t="str">
            <v>DESIMANTADOR NS-400-B1</v>
          </cell>
          <cell r="F60">
            <v>1</v>
          </cell>
          <cell r="I60">
            <v>0.6</v>
          </cell>
        </row>
        <row r="61">
          <cell r="D61" t="str">
            <v>LAVADORA GRANDE PMD-SJ</v>
          </cell>
          <cell r="F61">
            <v>15</v>
          </cell>
          <cell r="I61">
            <v>0.6</v>
          </cell>
        </row>
        <row r="62">
          <cell r="D62"/>
          <cell r="F62"/>
          <cell r="I62">
            <v>0.6</v>
          </cell>
        </row>
        <row r="63">
          <cell r="D63"/>
          <cell r="F63"/>
          <cell r="I63">
            <v>0.6</v>
          </cell>
        </row>
        <row r="64">
          <cell r="D64"/>
          <cell r="F64"/>
          <cell r="I64">
            <v>0.6</v>
          </cell>
        </row>
        <row r="65">
          <cell r="D65" t="str">
            <v>Embaladora de Pallets</v>
          </cell>
          <cell r="F65">
            <v>1.55</v>
          </cell>
          <cell r="I65">
            <v>0.6</v>
          </cell>
        </row>
        <row r="66">
          <cell r="D66" t="str">
            <v>Embaladora Auto. G. QD-450X</v>
          </cell>
          <cell r="F66">
            <v>1.55</v>
          </cell>
          <cell r="I66">
            <v>0.6</v>
          </cell>
        </row>
        <row r="67">
          <cell r="D67" t="str">
            <v>Embaladora Auto. C. QD-250X</v>
          </cell>
          <cell r="F67">
            <v>1.55</v>
          </cell>
          <cell r="I67">
            <v>0.6</v>
          </cell>
        </row>
        <row r="68">
          <cell r="D68" t="str">
            <v>Etiquetadora Zebra ZD421</v>
          </cell>
          <cell r="F68">
            <v>0.22</v>
          </cell>
          <cell r="I68">
            <v>0.6</v>
          </cell>
        </row>
        <row r="69">
          <cell r="D69" t="str">
            <v>Etiquetadora Zebra ZT230 (1)</v>
          </cell>
          <cell r="F69">
            <v>0.22</v>
          </cell>
          <cell r="I69">
            <v>0.6</v>
          </cell>
        </row>
        <row r="70">
          <cell r="D70" t="str">
            <v>Etiquetadora Zebra ZT230 (2)</v>
          </cell>
          <cell r="F70">
            <v>0.22</v>
          </cell>
          <cell r="I70">
            <v>0.6</v>
          </cell>
        </row>
        <row r="71">
          <cell r="D71"/>
          <cell r="F71"/>
          <cell r="I71">
            <v>0.6</v>
          </cell>
        </row>
        <row r="72">
          <cell r="D72"/>
          <cell r="F72"/>
          <cell r="I72">
            <v>0.6</v>
          </cell>
        </row>
        <row r="73">
          <cell r="D73" t="str">
            <v>Order Picker Crown 30SP42TT</v>
          </cell>
          <cell r="F73">
            <v>20</v>
          </cell>
          <cell r="I73">
            <v>0.6</v>
          </cell>
        </row>
        <row r="74">
          <cell r="D74" t="str">
            <v>Order Picker Crown 45RRTT</v>
          </cell>
          <cell r="F74">
            <v>20</v>
          </cell>
          <cell r="I74">
            <v>0.6</v>
          </cell>
        </row>
        <row r="75">
          <cell r="D75"/>
          <cell r="F75"/>
          <cell r="I75">
            <v>0.6</v>
          </cell>
        </row>
        <row r="76">
          <cell r="D76"/>
          <cell r="F76"/>
          <cell r="I76">
            <v>0.6</v>
          </cell>
        </row>
        <row r="77">
          <cell r="D77"/>
          <cell r="F77"/>
          <cell r="I77">
            <v>0.6</v>
          </cell>
        </row>
        <row r="78">
          <cell r="D78"/>
          <cell r="F78"/>
          <cell r="I78">
            <v>0.6</v>
          </cell>
        </row>
        <row r="79">
          <cell r="D79"/>
          <cell r="F79"/>
          <cell r="I79">
            <v>0.6</v>
          </cell>
        </row>
        <row r="80">
          <cell r="D80" t="str">
            <v>Aire acondicionado Central 1</v>
          </cell>
          <cell r="F80">
            <v>200</v>
          </cell>
          <cell r="I80">
            <v>0.6</v>
          </cell>
        </row>
        <row r="81">
          <cell r="D81" t="str">
            <v>Aire acondicionado Central 2</v>
          </cell>
          <cell r="F81">
            <v>170</v>
          </cell>
          <cell r="I81">
            <v>0.6</v>
          </cell>
        </row>
        <row r="82">
          <cell r="D82" t="str">
            <v>Servidor</v>
          </cell>
          <cell r="F82">
            <v>5</v>
          </cell>
          <cell r="I82">
            <v>0.4</v>
          </cell>
        </row>
        <row r="83">
          <cell r="D83"/>
          <cell r="F83"/>
          <cell r="I83">
            <v>0.6</v>
          </cell>
        </row>
        <row r="84">
          <cell r="D84"/>
          <cell r="F84"/>
          <cell r="I84">
            <v>0.6</v>
          </cell>
        </row>
        <row r="85">
          <cell r="D85" t="str">
            <v>Computadoras</v>
          </cell>
          <cell r="F85">
            <v>0.4</v>
          </cell>
          <cell r="I85">
            <v>0.6</v>
          </cell>
        </row>
        <row r="86">
          <cell r="D86" t="str">
            <v>Impresoras</v>
          </cell>
          <cell r="F86">
            <v>0.2</v>
          </cell>
          <cell r="I86">
            <v>0.6</v>
          </cell>
        </row>
        <row r="87">
          <cell r="D87" t="str">
            <v>Heladeras</v>
          </cell>
          <cell r="F87">
            <v>0.4</v>
          </cell>
          <cell r="I87">
            <v>0.6</v>
          </cell>
        </row>
        <row r="88">
          <cell r="D88" t="str">
            <v>OV</v>
          </cell>
          <cell r="F88">
            <v>0.2</v>
          </cell>
          <cell r="I88">
            <v>0.6</v>
          </cell>
        </row>
        <row r="89">
          <cell r="D89" t="str">
            <v>Reflector</v>
          </cell>
          <cell r="F89">
            <v>0.02</v>
          </cell>
          <cell r="I89">
            <v>0.6</v>
          </cell>
        </row>
        <row r="90">
          <cell r="D90" t="str">
            <v>Paneles</v>
          </cell>
          <cell r="F90">
            <v>4.8000000000000001E-2</v>
          </cell>
          <cell r="I90">
            <v>0.6</v>
          </cell>
        </row>
        <row r="91">
          <cell r="D91" t="str">
            <v>LED Chicas (Plantas)</v>
          </cell>
          <cell r="F91">
            <v>3.0000000000000001E-3</v>
          </cell>
          <cell r="I91">
            <v>0.6</v>
          </cell>
        </row>
        <row r="92">
          <cell r="D92" t="str">
            <v>LED</v>
          </cell>
          <cell r="F92">
            <v>0.03</v>
          </cell>
          <cell r="I92">
            <v>0.6</v>
          </cell>
        </row>
        <row r="93">
          <cell r="D93" t="str">
            <v>Halogenas</v>
          </cell>
          <cell r="F93">
            <v>1.7999999999999999E-2</v>
          </cell>
          <cell r="I93">
            <v>0.6</v>
          </cell>
        </row>
        <row r="94">
          <cell r="D94" t="str">
            <v>Luz Grande</v>
          </cell>
          <cell r="F94">
            <v>0.12</v>
          </cell>
          <cell r="I94">
            <v>0.6</v>
          </cell>
        </row>
        <row r="95">
          <cell r="D95" t="str">
            <v>Monitores</v>
          </cell>
          <cell r="F95">
            <v>0.08</v>
          </cell>
          <cell r="I95">
            <v>0.6</v>
          </cell>
        </row>
        <row r="96">
          <cell r="D96" t="str">
            <v>Aire acondicionados Chicos</v>
          </cell>
          <cell r="I96">
            <v>0.6</v>
          </cell>
        </row>
        <row r="97">
          <cell r="D97" t="str">
            <v>UPS</v>
          </cell>
          <cell r="I97">
            <v>0.35</v>
          </cell>
        </row>
        <row r="98">
          <cell r="D98" t="str">
            <v xml:space="preserve">Televisor </v>
          </cell>
          <cell r="I98">
            <v>0.6</v>
          </cell>
        </row>
        <row r="99">
          <cell r="D99"/>
          <cell r="I99"/>
        </row>
        <row r="100">
          <cell r="D100"/>
          <cell r="I100"/>
        </row>
        <row r="101">
          <cell r="D101"/>
          <cell r="I101"/>
        </row>
        <row r="102">
          <cell r="D102"/>
          <cell r="I102"/>
        </row>
        <row r="105">
          <cell r="D105"/>
        </row>
        <row r="106">
          <cell r="D106"/>
        </row>
        <row r="107">
          <cell r="D107"/>
        </row>
        <row r="108">
          <cell r="D108"/>
        </row>
        <row r="109">
          <cell r="D109"/>
        </row>
        <row r="110">
          <cell r="D110"/>
        </row>
        <row r="113">
          <cell r="D113"/>
        </row>
      </sheetData>
      <sheetData sheetId="1">
        <row r="9">
          <cell r="C9" t="str">
            <v>Produccion</v>
          </cell>
          <cell r="S9">
            <v>2.9039999999999995</v>
          </cell>
        </row>
        <row r="10">
          <cell r="C10" t="str">
            <v>Ensamble</v>
          </cell>
          <cell r="S10">
            <v>2.4095999999999997</v>
          </cell>
        </row>
        <row r="11">
          <cell r="C11" t="str">
            <v>Administración y Comercialización</v>
          </cell>
          <cell r="S11">
            <v>14.936399999999999</v>
          </cell>
        </row>
        <row r="12">
          <cell r="C12" t="str">
            <v>Depósito</v>
          </cell>
          <cell r="S12">
            <v>0.44999999999999996</v>
          </cell>
        </row>
        <row r="13">
          <cell r="C13" t="str">
            <v>Embalaje</v>
          </cell>
          <cell r="S13">
            <v>4.1880000000000006</v>
          </cell>
        </row>
      </sheetData>
      <sheetData sheetId="2">
        <row r="10">
          <cell r="B10">
            <v>45901</v>
          </cell>
          <cell r="D10">
            <v>71</v>
          </cell>
          <cell r="E10">
            <v>4629.4862000000003</v>
          </cell>
          <cell r="F10">
            <v>159</v>
          </cell>
          <cell r="G10">
            <v>10473.274600000001</v>
          </cell>
          <cell r="H10">
            <v>71</v>
          </cell>
          <cell r="I10">
            <v>12990.5146</v>
          </cell>
          <cell r="K10">
            <v>2220</v>
          </cell>
          <cell r="L10">
            <v>76.656580000000005</v>
          </cell>
          <cell r="M10">
            <v>19536</v>
          </cell>
          <cell r="N10">
            <v>75.262979999999999</v>
          </cell>
          <cell r="O10">
            <v>3378</v>
          </cell>
          <cell r="P10">
            <v>74.160960000000003</v>
          </cell>
          <cell r="AB10">
            <v>1430</v>
          </cell>
        </row>
        <row r="11">
          <cell r="B11"/>
          <cell r="D11"/>
          <cell r="E11"/>
          <cell r="F11"/>
          <cell r="G11"/>
          <cell r="H11"/>
          <cell r="I11"/>
          <cell r="K11"/>
          <cell r="L11"/>
          <cell r="M11"/>
          <cell r="N11"/>
          <cell r="O11"/>
          <cell r="P11"/>
          <cell r="AB11"/>
        </row>
        <row r="12">
          <cell r="B12"/>
          <cell r="D12"/>
          <cell r="E12"/>
          <cell r="F12"/>
          <cell r="G12"/>
          <cell r="H12"/>
          <cell r="I12"/>
          <cell r="K12"/>
          <cell r="L12"/>
          <cell r="M12"/>
          <cell r="N12"/>
          <cell r="O12"/>
          <cell r="P12"/>
          <cell r="AB12"/>
        </row>
        <row r="13">
          <cell r="B13"/>
          <cell r="D13"/>
          <cell r="E13"/>
          <cell r="F13"/>
          <cell r="G13"/>
          <cell r="H13"/>
          <cell r="K13" t="str">
            <v xml:space="preserve">NOTAS: </v>
          </cell>
          <cell r="L13"/>
          <cell r="M13"/>
          <cell r="N13"/>
          <cell r="O13"/>
          <cell r="P13"/>
          <cell r="AB13"/>
        </row>
        <row r="14">
          <cell r="B14"/>
          <cell r="D14"/>
          <cell r="E14"/>
          <cell r="F14"/>
          <cell r="G14"/>
          <cell r="H14"/>
          <cell r="I14"/>
          <cell r="K14"/>
          <cell r="L14"/>
          <cell r="M14"/>
          <cell r="N14"/>
          <cell r="O14"/>
          <cell r="P14"/>
          <cell r="AB14"/>
        </row>
        <row r="15">
          <cell r="D15"/>
          <cell r="E15"/>
          <cell r="F15"/>
          <cell r="G15"/>
          <cell r="H15"/>
          <cell r="M15"/>
          <cell r="N15"/>
          <cell r="O15"/>
          <cell r="P15"/>
        </row>
        <row r="16">
          <cell r="D16"/>
          <cell r="E16"/>
          <cell r="F16"/>
          <cell r="G16"/>
          <cell r="H16"/>
          <cell r="M16"/>
          <cell r="N16"/>
          <cell r="O16"/>
          <cell r="P16"/>
        </row>
        <row r="17">
          <cell r="D17"/>
          <cell r="E17"/>
          <cell r="F17"/>
          <cell r="G17"/>
          <cell r="H17"/>
          <cell r="K17"/>
          <cell r="L17"/>
          <cell r="M17"/>
          <cell r="N17"/>
          <cell r="O17"/>
          <cell r="P17"/>
        </row>
        <row r="18">
          <cell r="D18"/>
          <cell r="E18"/>
          <cell r="F18"/>
          <cell r="G18"/>
          <cell r="H18"/>
          <cell r="K18"/>
          <cell r="L18"/>
          <cell r="M18"/>
          <cell r="N18"/>
          <cell r="O18"/>
          <cell r="P18"/>
        </row>
        <row r="19">
          <cell r="D19"/>
          <cell r="E19"/>
          <cell r="F19"/>
          <cell r="G19"/>
          <cell r="H19"/>
          <cell r="K19"/>
          <cell r="L19"/>
          <cell r="M19"/>
          <cell r="N19"/>
          <cell r="O19"/>
          <cell r="P19"/>
        </row>
        <row r="20">
          <cell r="D20"/>
          <cell r="E20"/>
          <cell r="F20"/>
          <cell r="G20"/>
          <cell r="H20"/>
          <cell r="K20"/>
          <cell r="L20"/>
          <cell r="M20"/>
          <cell r="N20"/>
          <cell r="O20"/>
          <cell r="P20"/>
        </row>
        <row r="21">
          <cell r="D21"/>
          <cell r="E21"/>
          <cell r="F21"/>
          <cell r="G21"/>
          <cell r="H21"/>
          <cell r="K21"/>
          <cell r="L21"/>
          <cell r="M21"/>
          <cell r="N21"/>
          <cell r="O21"/>
          <cell r="P21"/>
        </row>
        <row r="22">
          <cell r="D22"/>
          <cell r="E22"/>
          <cell r="F22"/>
          <cell r="G22"/>
          <cell r="H22"/>
          <cell r="K22"/>
          <cell r="L22"/>
          <cell r="M22"/>
          <cell r="N22"/>
          <cell r="O22"/>
          <cell r="P22"/>
        </row>
        <row r="23">
          <cell r="D23"/>
          <cell r="E23"/>
          <cell r="F23"/>
          <cell r="G23"/>
          <cell r="H23"/>
          <cell r="M23"/>
          <cell r="N23"/>
          <cell r="O23"/>
          <cell r="P23"/>
        </row>
        <row r="24">
          <cell r="D24"/>
          <cell r="E24"/>
          <cell r="F24"/>
          <cell r="G24"/>
          <cell r="H24"/>
          <cell r="M24"/>
          <cell r="N24"/>
          <cell r="O24"/>
          <cell r="P24"/>
        </row>
        <row r="25">
          <cell r="D25"/>
          <cell r="E25"/>
          <cell r="F25"/>
          <cell r="G25"/>
          <cell r="H25"/>
          <cell r="K25"/>
          <cell r="L25"/>
          <cell r="M25"/>
          <cell r="N25"/>
          <cell r="O25"/>
          <cell r="P25"/>
        </row>
        <row r="26">
          <cell r="D26"/>
          <cell r="E26"/>
          <cell r="F26"/>
          <cell r="G26"/>
          <cell r="H26"/>
          <cell r="M26"/>
          <cell r="N26"/>
          <cell r="O26"/>
          <cell r="P26"/>
        </row>
        <row r="27">
          <cell r="D27"/>
          <cell r="E27"/>
          <cell r="F27"/>
          <cell r="G27"/>
          <cell r="H27"/>
          <cell r="M27"/>
          <cell r="N27"/>
          <cell r="O27"/>
          <cell r="P27"/>
        </row>
        <row r="28">
          <cell r="D28"/>
          <cell r="E28"/>
          <cell r="F28"/>
          <cell r="G28"/>
          <cell r="H28"/>
          <cell r="M28"/>
          <cell r="N28"/>
          <cell r="O28"/>
          <cell r="P28"/>
        </row>
        <row r="29">
          <cell r="D29"/>
          <cell r="E29"/>
          <cell r="F29"/>
          <cell r="G29"/>
          <cell r="H29"/>
          <cell r="M29"/>
          <cell r="N29"/>
          <cell r="O29"/>
          <cell r="P29"/>
        </row>
        <row r="30">
          <cell r="D30"/>
          <cell r="E30"/>
          <cell r="F30"/>
          <cell r="G30"/>
          <cell r="H30"/>
          <cell r="M30"/>
          <cell r="N30"/>
          <cell r="O30"/>
          <cell r="P30"/>
        </row>
        <row r="31">
          <cell r="D31"/>
          <cell r="E31"/>
          <cell r="F31"/>
          <cell r="G31"/>
          <cell r="H31"/>
          <cell r="M31"/>
          <cell r="N31"/>
          <cell r="O31"/>
          <cell r="P31"/>
        </row>
        <row r="32">
          <cell r="D32"/>
          <cell r="E32"/>
          <cell r="F32"/>
          <cell r="G32"/>
          <cell r="H32"/>
          <cell r="M32"/>
          <cell r="N32"/>
          <cell r="O32"/>
          <cell r="P32"/>
        </row>
        <row r="33">
          <cell r="D33"/>
          <cell r="E33"/>
          <cell r="F33"/>
          <cell r="G33"/>
          <cell r="H33"/>
          <cell r="M33"/>
          <cell r="N33"/>
          <cell r="O33"/>
          <cell r="P33"/>
        </row>
        <row r="34">
          <cell r="D34"/>
          <cell r="E34"/>
          <cell r="F34"/>
          <cell r="G34"/>
          <cell r="H34"/>
          <cell r="M34"/>
          <cell r="N34"/>
          <cell r="O34"/>
          <cell r="P34"/>
        </row>
        <row r="35">
          <cell r="D35"/>
          <cell r="E35"/>
          <cell r="F35"/>
          <cell r="G35"/>
          <cell r="H35"/>
          <cell r="M35"/>
          <cell r="N35"/>
          <cell r="O35"/>
          <cell r="P35"/>
        </row>
        <row r="36">
          <cell r="D36"/>
          <cell r="E36"/>
          <cell r="F36"/>
          <cell r="G36"/>
          <cell r="H36"/>
          <cell r="M36"/>
          <cell r="N36"/>
          <cell r="O36"/>
          <cell r="P36"/>
        </row>
        <row r="37">
          <cell r="D37"/>
          <cell r="E37"/>
          <cell r="F37"/>
          <cell r="G37"/>
          <cell r="H37"/>
          <cell r="M37"/>
          <cell r="N37"/>
          <cell r="O37"/>
          <cell r="P37"/>
        </row>
        <row r="38">
          <cell r="D38"/>
          <cell r="E38"/>
          <cell r="F38"/>
          <cell r="G38"/>
          <cell r="H38"/>
          <cell r="M38"/>
          <cell r="N38"/>
          <cell r="O38"/>
          <cell r="P38"/>
        </row>
        <row r="39">
          <cell r="D39"/>
          <cell r="E39"/>
          <cell r="F39"/>
          <cell r="G39"/>
          <cell r="H39"/>
          <cell r="M39"/>
          <cell r="N39"/>
          <cell r="O39"/>
          <cell r="P39"/>
        </row>
        <row r="40">
          <cell r="D40"/>
          <cell r="E40"/>
          <cell r="F40"/>
          <cell r="G40"/>
          <cell r="H40"/>
          <cell r="M40"/>
          <cell r="N40"/>
          <cell r="O40"/>
          <cell r="P40"/>
        </row>
        <row r="41">
          <cell r="D41"/>
          <cell r="E41"/>
          <cell r="F41"/>
          <cell r="G41"/>
          <cell r="H41"/>
          <cell r="M41"/>
          <cell r="N41"/>
          <cell r="O41"/>
          <cell r="P41"/>
        </row>
        <row r="42">
          <cell r="D42"/>
          <cell r="E42"/>
          <cell r="F42"/>
          <cell r="G42"/>
          <cell r="H42"/>
          <cell r="M42"/>
          <cell r="N42"/>
          <cell r="O42"/>
          <cell r="P42"/>
        </row>
        <row r="43">
          <cell r="D43"/>
          <cell r="E43"/>
          <cell r="F43"/>
          <cell r="G43"/>
          <cell r="H43"/>
          <cell r="M43"/>
          <cell r="N43"/>
          <cell r="O43"/>
          <cell r="P43"/>
        </row>
        <row r="44">
          <cell r="D44"/>
          <cell r="E44"/>
          <cell r="F44"/>
          <cell r="G44"/>
          <cell r="H44"/>
          <cell r="M44"/>
          <cell r="N44"/>
          <cell r="O44"/>
          <cell r="P44"/>
        </row>
        <row r="45">
          <cell r="D45"/>
          <cell r="E45"/>
          <cell r="F45"/>
          <cell r="G45"/>
          <cell r="H45"/>
          <cell r="M45"/>
          <cell r="N45"/>
          <cell r="O45"/>
          <cell r="P45"/>
        </row>
        <row r="46">
          <cell r="D46"/>
          <cell r="E46"/>
          <cell r="F46"/>
          <cell r="G46"/>
          <cell r="H46"/>
          <cell r="M46"/>
          <cell r="N46"/>
          <cell r="O46"/>
          <cell r="P46"/>
        </row>
        <row r="47">
          <cell r="D47"/>
          <cell r="E47"/>
          <cell r="F47"/>
          <cell r="G47"/>
          <cell r="H47"/>
          <cell r="M47"/>
          <cell r="N47"/>
          <cell r="O47"/>
          <cell r="P47"/>
        </row>
        <row r="48">
          <cell r="D48"/>
          <cell r="E48"/>
          <cell r="F48"/>
          <cell r="G48"/>
          <cell r="H48"/>
          <cell r="M48"/>
          <cell r="N48"/>
          <cell r="O48"/>
          <cell r="P48"/>
        </row>
        <row r="49">
          <cell r="D49"/>
          <cell r="E49"/>
          <cell r="F49"/>
          <cell r="G49"/>
          <cell r="H49"/>
          <cell r="M49"/>
          <cell r="N49"/>
          <cell r="O49"/>
          <cell r="P49"/>
        </row>
        <row r="50">
          <cell r="D50"/>
          <cell r="E50"/>
          <cell r="F50"/>
          <cell r="G50"/>
          <cell r="H50"/>
          <cell r="M50"/>
          <cell r="N50"/>
          <cell r="O50"/>
          <cell r="P50"/>
        </row>
        <row r="51">
          <cell r="D51"/>
          <cell r="E51"/>
          <cell r="F51"/>
          <cell r="G51"/>
          <cell r="H51"/>
          <cell r="M51"/>
          <cell r="N51"/>
          <cell r="O51"/>
          <cell r="P51"/>
        </row>
        <row r="52">
          <cell r="D52"/>
          <cell r="E52"/>
          <cell r="F52"/>
          <cell r="G52"/>
          <cell r="H52"/>
          <cell r="M52"/>
          <cell r="N52"/>
          <cell r="O52"/>
          <cell r="P52"/>
        </row>
        <row r="53">
          <cell r="D53"/>
          <cell r="E53"/>
          <cell r="F53"/>
          <cell r="G53"/>
          <cell r="H53"/>
          <cell r="M53"/>
          <cell r="N53"/>
          <cell r="O53"/>
          <cell r="P53"/>
        </row>
        <row r="54">
          <cell r="D54"/>
          <cell r="E54"/>
          <cell r="F54"/>
          <cell r="G54"/>
          <cell r="H54"/>
          <cell r="M54"/>
          <cell r="N54"/>
          <cell r="O54"/>
          <cell r="P54"/>
        </row>
        <row r="55">
          <cell r="D55"/>
          <cell r="E55"/>
          <cell r="F55"/>
          <cell r="G55"/>
          <cell r="H55"/>
          <cell r="M55"/>
          <cell r="N55"/>
          <cell r="O55"/>
          <cell r="P55"/>
        </row>
        <row r="56">
          <cell r="D56"/>
          <cell r="E56"/>
          <cell r="F56"/>
          <cell r="G56"/>
          <cell r="H56"/>
          <cell r="M56"/>
          <cell r="N56"/>
          <cell r="O56"/>
          <cell r="P56"/>
        </row>
        <row r="57">
          <cell r="D57"/>
          <cell r="E57"/>
          <cell r="F57"/>
          <cell r="G57"/>
          <cell r="H57"/>
          <cell r="M57"/>
          <cell r="N57"/>
          <cell r="O57"/>
          <cell r="P57"/>
        </row>
        <row r="58">
          <cell r="D58"/>
          <cell r="E58"/>
          <cell r="F58"/>
          <cell r="G58"/>
          <cell r="H58"/>
          <cell r="M58"/>
          <cell r="N58"/>
          <cell r="O58"/>
          <cell r="P58"/>
        </row>
        <row r="59">
          <cell r="D59"/>
          <cell r="E59"/>
          <cell r="F59"/>
          <cell r="G59"/>
          <cell r="H59"/>
          <cell r="M59"/>
          <cell r="N59"/>
          <cell r="O59"/>
          <cell r="P59"/>
        </row>
        <row r="60">
          <cell r="D60"/>
          <cell r="E60"/>
          <cell r="F60"/>
          <cell r="G60"/>
          <cell r="H60"/>
          <cell r="M60"/>
          <cell r="N60"/>
          <cell r="O60"/>
          <cell r="P60"/>
        </row>
        <row r="61">
          <cell r="D61"/>
          <cell r="E61"/>
          <cell r="F61"/>
          <cell r="G61"/>
          <cell r="H61"/>
          <cell r="M61"/>
          <cell r="N61"/>
          <cell r="O61"/>
          <cell r="P61"/>
        </row>
        <row r="62">
          <cell r="D62"/>
          <cell r="E62"/>
          <cell r="F62"/>
          <cell r="G62"/>
          <cell r="H62"/>
          <cell r="M62"/>
          <cell r="N62"/>
          <cell r="O62"/>
          <cell r="P62"/>
        </row>
        <row r="63">
          <cell r="D63"/>
          <cell r="E63"/>
          <cell r="F63"/>
          <cell r="G63"/>
          <cell r="H63"/>
          <cell r="M63"/>
          <cell r="N63"/>
          <cell r="O63"/>
          <cell r="P63"/>
        </row>
        <row r="64">
          <cell r="D64"/>
          <cell r="E64"/>
          <cell r="F64"/>
          <cell r="G64"/>
          <cell r="H64"/>
          <cell r="M64"/>
          <cell r="N64"/>
          <cell r="O64"/>
          <cell r="P64"/>
        </row>
        <row r="65">
          <cell r="D65"/>
          <cell r="E65"/>
          <cell r="F65"/>
          <cell r="G65"/>
          <cell r="H65"/>
          <cell r="M65"/>
          <cell r="N65"/>
          <cell r="O65"/>
          <cell r="P65"/>
        </row>
        <row r="66">
          <cell r="D66"/>
          <cell r="E66"/>
          <cell r="F66"/>
          <cell r="G66"/>
          <cell r="H66"/>
          <cell r="M66"/>
          <cell r="N66"/>
          <cell r="O66"/>
          <cell r="P66"/>
        </row>
        <row r="67">
          <cell r="D67"/>
          <cell r="E67"/>
          <cell r="F67"/>
          <cell r="G67"/>
          <cell r="H67"/>
          <cell r="M67"/>
          <cell r="N67"/>
          <cell r="O67"/>
          <cell r="P67"/>
        </row>
        <row r="68">
          <cell r="D68"/>
          <cell r="E68"/>
          <cell r="F68"/>
          <cell r="G68"/>
          <cell r="H68"/>
          <cell r="M68"/>
          <cell r="N68"/>
          <cell r="O68"/>
          <cell r="P68"/>
        </row>
        <row r="69">
          <cell r="D69"/>
          <cell r="E69"/>
          <cell r="F69"/>
          <cell r="G69"/>
          <cell r="H69"/>
          <cell r="M69"/>
          <cell r="N69"/>
          <cell r="O69"/>
          <cell r="P69"/>
        </row>
        <row r="70">
          <cell r="D70"/>
          <cell r="E70"/>
          <cell r="F70"/>
          <cell r="G70"/>
          <cell r="H70"/>
          <cell r="M70"/>
          <cell r="N70"/>
          <cell r="O70"/>
          <cell r="P70"/>
        </row>
        <row r="71">
          <cell r="D71"/>
          <cell r="E71"/>
          <cell r="F71"/>
          <cell r="G71"/>
          <cell r="H71"/>
          <cell r="M71"/>
          <cell r="N71"/>
          <cell r="O71"/>
          <cell r="P71"/>
        </row>
        <row r="72">
          <cell r="D72"/>
          <cell r="E72"/>
          <cell r="F72"/>
          <cell r="G72"/>
          <cell r="H72"/>
          <cell r="M72"/>
          <cell r="N72"/>
          <cell r="O72"/>
          <cell r="P72"/>
        </row>
        <row r="73">
          <cell r="D73"/>
          <cell r="E73"/>
          <cell r="F73"/>
          <cell r="G73"/>
          <cell r="H73"/>
          <cell r="M73"/>
          <cell r="N73"/>
          <cell r="O73"/>
          <cell r="P73"/>
        </row>
        <row r="74">
          <cell r="D74"/>
          <cell r="E74"/>
          <cell r="F74"/>
          <cell r="G74"/>
          <cell r="H74"/>
          <cell r="M74"/>
          <cell r="N74"/>
          <cell r="O74"/>
          <cell r="P74"/>
        </row>
        <row r="75">
          <cell r="D75"/>
          <cell r="E75"/>
          <cell r="F75"/>
          <cell r="G75"/>
          <cell r="H75"/>
          <cell r="M75"/>
          <cell r="N75"/>
          <cell r="O75"/>
          <cell r="P75"/>
        </row>
        <row r="76">
          <cell r="D76"/>
          <cell r="E76"/>
          <cell r="F76"/>
          <cell r="G76"/>
          <cell r="H76"/>
          <cell r="M76"/>
          <cell r="N76"/>
          <cell r="O76"/>
          <cell r="P76"/>
        </row>
        <row r="77">
          <cell r="D77"/>
          <cell r="E77"/>
          <cell r="F77"/>
          <cell r="G77"/>
          <cell r="H77"/>
          <cell r="M77"/>
          <cell r="N77"/>
          <cell r="O77"/>
          <cell r="P77"/>
        </row>
        <row r="78">
          <cell r="D78"/>
          <cell r="E78"/>
          <cell r="F78"/>
          <cell r="G78"/>
          <cell r="H78"/>
          <cell r="M78"/>
          <cell r="N78"/>
          <cell r="O78"/>
          <cell r="P78"/>
        </row>
        <row r="79">
          <cell r="D79"/>
          <cell r="E79"/>
          <cell r="F79"/>
          <cell r="G79"/>
          <cell r="H79"/>
          <cell r="M79"/>
          <cell r="N79"/>
          <cell r="O79"/>
          <cell r="P79"/>
        </row>
        <row r="80">
          <cell r="D80"/>
          <cell r="E80"/>
          <cell r="F80"/>
          <cell r="G80"/>
          <cell r="H80"/>
          <cell r="M80"/>
          <cell r="N80"/>
          <cell r="O80"/>
          <cell r="P80"/>
        </row>
        <row r="81">
          <cell r="D81"/>
          <cell r="E81"/>
          <cell r="F81"/>
          <cell r="G81"/>
          <cell r="H81"/>
          <cell r="M81"/>
          <cell r="N81"/>
          <cell r="O81"/>
          <cell r="P81"/>
        </row>
        <row r="82">
          <cell r="D82"/>
          <cell r="E82"/>
          <cell r="F82"/>
          <cell r="G82"/>
          <cell r="H82"/>
          <cell r="M82"/>
          <cell r="N82"/>
          <cell r="O82"/>
          <cell r="P82"/>
        </row>
        <row r="83">
          <cell r="D83"/>
          <cell r="E83"/>
          <cell r="F83"/>
          <cell r="G83"/>
          <cell r="H83"/>
          <cell r="M83"/>
          <cell r="N83"/>
          <cell r="O83"/>
          <cell r="P83"/>
        </row>
        <row r="84">
          <cell r="D84"/>
          <cell r="E84"/>
          <cell r="F84"/>
          <cell r="G84"/>
          <cell r="H84"/>
          <cell r="M84"/>
          <cell r="N84"/>
          <cell r="O84"/>
          <cell r="P84"/>
        </row>
        <row r="85">
          <cell r="D85"/>
          <cell r="E85"/>
          <cell r="F85"/>
          <cell r="G85"/>
          <cell r="H85"/>
          <cell r="M85"/>
          <cell r="N85"/>
          <cell r="O85"/>
          <cell r="P85"/>
        </row>
        <row r="86">
          <cell r="D86"/>
          <cell r="E86"/>
          <cell r="F86"/>
          <cell r="G86"/>
          <cell r="H86"/>
          <cell r="M86"/>
          <cell r="N86"/>
          <cell r="O86"/>
          <cell r="P86"/>
        </row>
        <row r="87">
          <cell r="D87"/>
          <cell r="E87"/>
          <cell r="F87"/>
          <cell r="G87"/>
          <cell r="H87"/>
          <cell r="M87"/>
          <cell r="N87"/>
          <cell r="O87"/>
          <cell r="P87"/>
        </row>
        <row r="88">
          <cell r="D88"/>
          <cell r="E88"/>
          <cell r="F88"/>
          <cell r="G88"/>
          <cell r="H88"/>
          <cell r="M88"/>
          <cell r="N88"/>
          <cell r="O88"/>
          <cell r="P88"/>
        </row>
        <row r="89">
          <cell r="D89"/>
          <cell r="E89"/>
          <cell r="F89"/>
          <cell r="G89"/>
          <cell r="H89"/>
          <cell r="M89"/>
          <cell r="N89"/>
          <cell r="O89"/>
          <cell r="P89"/>
        </row>
        <row r="90">
          <cell r="D90"/>
          <cell r="E90"/>
          <cell r="F90"/>
          <cell r="G90"/>
          <cell r="H90"/>
          <cell r="M90"/>
          <cell r="N90"/>
          <cell r="O90"/>
          <cell r="P90"/>
        </row>
        <row r="91">
          <cell r="D91"/>
          <cell r="E91"/>
          <cell r="F91"/>
          <cell r="G91"/>
          <cell r="H91"/>
          <cell r="M91"/>
          <cell r="N91"/>
          <cell r="O91"/>
          <cell r="P91"/>
        </row>
        <row r="92">
          <cell r="D92"/>
          <cell r="E92"/>
          <cell r="F92"/>
          <cell r="G92"/>
          <cell r="H92"/>
          <cell r="M92"/>
          <cell r="N92"/>
          <cell r="O92"/>
          <cell r="P92"/>
        </row>
        <row r="93">
          <cell r="D93"/>
          <cell r="E93"/>
          <cell r="F93"/>
          <cell r="G93"/>
          <cell r="H93"/>
          <cell r="M93"/>
          <cell r="N93"/>
          <cell r="O93"/>
          <cell r="P93"/>
        </row>
        <row r="94">
          <cell r="D94"/>
          <cell r="E94"/>
          <cell r="F94"/>
          <cell r="G94"/>
          <cell r="H94"/>
          <cell r="M94"/>
          <cell r="N94"/>
          <cell r="O94"/>
          <cell r="P94"/>
        </row>
        <row r="95">
          <cell r="D95"/>
          <cell r="E95"/>
          <cell r="F95"/>
          <cell r="G95"/>
          <cell r="H95"/>
          <cell r="M95"/>
          <cell r="N95"/>
          <cell r="O95"/>
          <cell r="P95"/>
        </row>
        <row r="96">
          <cell r="D96"/>
          <cell r="E96"/>
          <cell r="F96"/>
          <cell r="G96"/>
          <cell r="H96"/>
          <cell r="M96"/>
          <cell r="N96"/>
          <cell r="O96"/>
          <cell r="P96"/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ctrlProp" Target="../ctrlProps/ctrlProp2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ctrlProp" Target="../ctrlProps/ctrlProp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ctrlProp" Target="../ctrlProps/ctrlProp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ctrlProp" Target="../ctrlProps/ctrlProp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ctrlProp" Target="../ctrlProps/ctrlProp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ctrlProp" Target="../ctrlProps/ctrlProp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ctrlProp" Target="../ctrlProps/ctrlProp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0">
    <tabColor rgb="FF00B050"/>
    <pageSetUpPr autoPageBreaks="0" fitToPage="1"/>
  </sheetPr>
  <dimension ref="B1:H82"/>
  <sheetViews>
    <sheetView showGridLines="0" topLeftCell="A28" zoomScaleNormal="100" workbookViewId="0">
      <selection activeCell="E12" sqref="E12:G12"/>
    </sheetView>
  </sheetViews>
  <sheetFormatPr baseColWidth="10" defaultColWidth="9.140625" defaultRowHeight="30" customHeight="1"/>
  <cols>
    <col min="1" max="1" width="2.7109375" style="80" customWidth="1"/>
    <col min="2" max="2" width="10.140625" style="80" customWidth="1"/>
    <col min="3" max="3" width="33.28515625" style="80" bestFit="1" customWidth="1"/>
    <col min="4" max="4" width="22.28515625" style="80" customWidth="1"/>
    <col min="5" max="6" width="17" style="80" customWidth="1"/>
    <col min="7" max="7" width="27.85546875" style="80" bestFit="1" customWidth="1"/>
    <col min="8" max="8" width="2.7109375" style="80" customWidth="1"/>
    <col min="9" max="9" width="3" style="80" customWidth="1"/>
    <col min="10" max="10" width="21.5703125" style="80" customWidth="1"/>
    <col min="11" max="11" width="32.7109375" style="80" customWidth="1"/>
    <col min="12" max="12" width="36.5703125" style="80" customWidth="1"/>
    <col min="13" max="13" width="22.5703125" style="80" customWidth="1"/>
    <col min="14" max="14" width="12.85546875" style="80" customWidth="1"/>
    <col min="15" max="15" width="17.42578125" style="80" customWidth="1"/>
    <col min="16" max="16" width="13.140625" style="80" customWidth="1"/>
    <col min="17" max="17" width="29.85546875" style="80" customWidth="1"/>
    <col min="18" max="16384" width="9.140625" style="80"/>
  </cols>
  <sheetData>
    <row r="1" spans="2:8" ht="12" customHeight="1" thickBot="1"/>
    <row r="2" spans="2:8" ht="30" customHeight="1">
      <c r="B2" s="296" t="s">
        <v>181</v>
      </c>
      <c r="C2" s="297"/>
      <c r="D2" s="302"/>
      <c r="E2" s="83"/>
      <c r="F2" s="83"/>
      <c r="G2" s="84"/>
    </row>
    <row r="3" spans="2:8" ht="30" customHeight="1">
      <c r="B3" s="298"/>
      <c r="C3" s="299"/>
      <c r="D3" s="303"/>
      <c r="F3" s="87"/>
      <c r="G3" s="88"/>
      <c r="H3" s="89"/>
    </row>
    <row r="4" spans="2:8" ht="30" customHeight="1" thickBot="1">
      <c r="B4" s="300"/>
      <c r="C4" s="301"/>
      <c r="D4" s="304"/>
      <c r="E4" s="92"/>
      <c r="F4" s="92"/>
      <c r="G4" s="93"/>
    </row>
    <row r="5" spans="2:8" ht="30" customHeight="1" thickBot="1">
      <c r="B5" s="46" t="s">
        <v>182</v>
      </c>
      <c r="C5" s="46" t="s">
        <v>183</v>
      </c>
      <c r="D5" s="46" t="s">
        <v>98</v>
      </c>
      <c r="E5" s="305" t="s">
        <v>68</v>
      </c>
      <c r="F5" s="305"/>
      <c r="G5" s="305"/>
    </row>
    <row r="6" spans="2:8" ht="30" customHeight="1">
      <c r="B6" s="271">
        <v>1</v>
      </c>
      <c r="C6" s="272" t="s">
        <v>185</v>
      </c>
      <c r="D6" s="26" t="s">
        <v>184</v>
      </c>
      <c r="E6" s="306"/>
      <c r="F6" s="307"/>
      <c r="G6" s="308"/>
    </row>
    <row r="7" spans="2:8" ht="30" customHeight="1">
      <c r="B7" s="273">
        <v>2</v>
      </c>
      <c r="C7" s="274" t="s">
        <v>186</v>
      </c>
      <c r="D7" s="26" t="s">
        <v>184</v>
      </c>
      <c r="E7" s="293"/>
      <c r="F7" s="294"/>
      <c r="G7" s="295"/>
    </row>
    <row r="8" spans="2:8" ht="30" customHeight="1">
      <c r="B8" s="273">
        <v>3</v>
      </c>
      <c r="C8" s="274" t="s">
        <v>187</v>
      </c>
      <c r="D8" s="26" t="s">
        <v>184</v>
      </c>
      <c r="E8" s="293"/>
      <c r="F8" s="294"/>
      <c r="G8" s="295"/>
    </row>
    <row r="9" spans="2:8" ht="30" customHeight="1">
      <c r="B9" s="273">
        <v>4</v>
      </c>
      <c r="C9" s="274" t="s">
        <v>188</v>
      </c>
      <c r="D9" s="26" t="s">
        <v>184</v>
      </c>
      <c r="E9" s="293"/>
      <c r="F9" s="294"/>
      <c r="G9" s="295"/>
    </row>
    <row r="10" spans="2:8" ht="30" customHeight="1">
      <c r="B10" s="273">
        <v>5</v>
      </c>
      <c r="C10" s="274" t="s">
        <v>190</v>
      </c>
      <c r="D10" s="26" t="s">
        <v>184</v>
      </c>
      <c r="E10" s="293"/>
      <c r="F10" s="294"/>
      <c r="G10" s="295"/>
    </row>
    <row r="11" spans="2:8" ht="30" customHeight="1">
      <c r="B11" s="273">
        <v>6</v>
      </c>
      <c r="C11" s="274" t="s">
        <v>189</v>
      </c>
      <c r="D11" s="26" t="s">
        <v>184</v>
      </c>
      <c r="E11" s="293"/>
      <c r="F11" s="294"/>
      <c r="G11" s="295"/>
    </row>
    <row r="12" spans="2:8" ht="30" customHeight="1">
      <c r="B12" s="273">
        <v>7</v>
      </c>
      <c r="C12" s="274" t="s">
        <v>107</v>
      </c>
      <c r="D12" s="275">
        <f ca="1">'ENGRASADORA MANUAL'!L57</f>
        <v>9.358740948398129</v>
      </c>
      <c r="E12" s="293"/>
      <c r="F12" s="294"/>
      <c r="G12" s="295"/>
    </row>
    <row r="13" spans="2:8" ht="30" customHeight="1">
      <c r="B13" s="273">
        <v>8</v>
      </c>
      <c r="C13" s="274" t="s">
        <v>178</v>
      </c>
      <c r="D13" s="275">
        <f ca="1">'PRENSA QY-10-1'!L57</f>
        <v>7.2900488737442828</v>
      </c>
      <c r="E13" s="293"/>
      <c r="F13" s="294"/>
      <c r="G13" s="295"/>
    </row>
    <row r="14" spans="2:8" ht="30" customHeight="1">
      <c r="B14" s="273">
        <v>9</v>
      </c>
      <c r="C14" s="274" t="s">
        <v>179</v>
      </c>
      <c r="D14" s="275">
        <f ca="1">'PRENSA QY-10-2'!L57</f>
        <v>6.1974914051214185</v>
      </c>
      <c r="E14" s="293"/>
      <c r="F14" s="294"/>
      <c r="G14" s="295"/>
    </row>
    <row r="15" spans="2:8" ht="30" customHeight="1">
      <c r="B15" s="273">
        <v>10</v>
      </c>
      <c r="C15" s="274" t="s">
        <v>180</v>
      </c>
      <c r="D15" s="275">
        <f ca="1">'PRENSA QY-10-3'!L57</f>
        <v>6.1974914051214185</v>
      </c>
      <c r="E15" s="293"/>
      <c r="F15" s="294"/>
      <c r="G15" s="295"/>
    </row>
    <row r="16" spans="2:8" ht="30" customHeight="1">
      <c r="B16" s="273">
        <v>11</v>
      </c>
      <c r="C16" s="274" t="s">
        <v>115</v>
      </c>
      <c r="D16" s="275">
        <f ca="1">'LAVADORA 0448'!L57</f>
        <v>4.3671573951676104</v>
      </c>
      <c r="E16" s="293"/>
      <c r="F16" s="294"/>
      <c r="G16" s="295"/>
    </row>
    <row r="17" spans="2:7" ht="30" customHeight="1">
      <c r="B17" s="273">
        <v>12</v>
      </c>
      <c r="C17" s="274" t="s">
        <v>116</v>
      </c>
      <c r="D17" s="275">
        <f ca="1">'TB-SCAMRIVT-40120 CONICO 518'!L57</f>
        <v>8.2025737221945896</v>
      </c>
      <c r="E17" s="293"/>
      <c r="F17" s="294"/>
      <c r="G17" s="295"/>
    </row>
    <row r="18" spans="2:7" ht="30" customHeight="1">
      <c r="B18" s="273">
        <v>13</v>
      </c>
      <c r="C18" s="274" t="s">
        <v>117</v>
      </c>
      <c r="D18" s="275">
        <f ca="1">'TE-SCAMRIVT-2060 CONICO 30207'!L57</f>
        <v>7.515319634057116</v>
      </c>
      <c r="E18" s="293"/>
      <c r="F18" s="294"/>
      <c r="G18" s="295"/>
    </row>
    <row r="19" spans="2:7" ht="30" customHeight="1">
      <c r="B19" s="273">
        <v>14</v>
      </c>
      <c r="C19" s="274" t="s">
        <v>118</v>
      </c>
      <c r="D19" s="275">
        <f ca="1">'HERMANADORA MANUAL IM247'!L57</f>
        <v>7.4142457209275632</v>
      </c>
      <c r="E19" s="293"/>
      <c r="F19" s="294"/>
      <c r="G19" s="295"/>
    </row>
    <row r="20" spans="2:7" ht="30" customHeight="1">
      <c r="B20" s="273">
        <v>15</v>
      </c>
      <c r="C20" s="274" t="s">
        <v>202</v>
      </c>
      <c r="D20" s="275">
        <f ca="1">'HER. AUT MS03 DP 02HTQJ2'!L57</f>
        <v>7.127123170459738</v>
      </c>
      <c r="E20" s="293"/>
      <c r="F20" s="294"/>
      <c r="G20" s="295"/>
    </row>
    <row r="21" spans="2:7" ht="30" customHeight="1">
      <c r="B21" s="273">
        <v>16</v>
      </c>
      <c r="C21" s="274" t="s">
        <v>203</v>
      </c>
      <c r="D21" s="275">
        <f ca="1">'HER. AUT JAULA-MS03 BCJL02A'!L57</f>
        <v>7.127123170459738</v>
      </c>
      <c r="E21" s="293"/>
      <c r="F21" s="294"/>
      <c r="G21" s="295"/>
    </row>
    <row r="22" spans="2:7" ht="30" customHeight="1">
      <c r="B22" s="273">
        <v>17</v>
      </c>
      <c r="C22" s="274" t="s">
        <v>200</v>
      </c>
      <c r="D22" s="275">
        <f ca="1">'ENGRASADORA MS03 0510-5120051'!L57</f>
        <v>7.127123170459738</v>
      </c>
      <c r="E22" s="293"/>
      <c r="F22" s="294"/>
      <c r="G22" s="295"/>
    </row>
    <row r="23" spans="2:7" ht="30" customHeight="1">
      <c r="B23" s="273">
        <v>18</v>
      </c>
      <c r="C23" s="274" t="s">
        <v>199</v>
      </c>
      <c r="D23" s="275">
        <f ca="1">'HER. AUT MS04 DP 03TQJ3'!L57</f>
        <v>5.2967891605059298</v>
      </c>
      <c r="E23" s="293"/>
      <c r="F23" s="294"/>
      <c r="G23" s="295"/>
    </row>
    <row r="24" spans="2:7" ht="30" customHeight="1">
      <c r="B24" s="273">
        <v>19</v>
      </c>
      <c r="C24" s="274" t="s">
        <v>204</v>
      </c>
      <c r="D24" s="275">
        <f ca="1">'HER. AUT JAULA-MS04 BCJL02A'!L57</f>
        <v>7.127123170459738</v>
      </c>
      <c r="E24" s="293"/>
      <c r="F24" s="294"/>
      <c r="G24" s="295"/>
    </row>
    <row r="25" spans="2:7" ht="30" customHeight="1">
      <c r="B25" s="273">
        <v>20</v>
      </c>
      <c r="C25" s="274" t="s">
        <v>191</v>
      </c>
      <c r="D25" s="275">
        <f ca="1">'ENGRASADORA AUTOM MS04 ZYJ3H '!L57</f>
        <v>2.0805691436938214</v>
      </c>
      <c r="E25" s="293"/>
      <c r="F25" s="294"/>
      <c r="G25" s="295"/>
    </row>
    <row r="26" spans="2:7" ht="30" customHeight="1">
      <c r="B26" s="273">
        <v>21</v>
      </c>
      <c r="C26" s="274" t="s">
        <v>125</v>
      </c>
      <c r="D26" s="275">
        <f ca="1">'LASER CHICO 30'!L57</f>
        <v>4.7338831332252838</v>
      </c>
      <c r="E26" s="293"/>
      <c r="F26" s="294"/>
      <c r="G26" s="295"/>
    </row>
    <row r="27" spans="2:7" ht="30" customHeight="1">
      <c r="B27" s="273">
        <v>22</v>
      </c>
      <c r="C27" s="274" t="s">
        <v>126</v>
      </c>
      <c r="D27" s="275">
        <f ca="1">'LASER GRANDE 50'!L57</f>
        <v>0</v>
      </c>
      <c r="E27" s="293"/>
      <c r="F27" s="294"/>
      <c r="G27" s="295"/>
    </row>
    <row r="28" spans="2:7" ht="30" customHeight="1">
      <c r="B28" s="273">
        <v>23</v>
      </c>
      <c r="C28" s="274" t="s">
        <v>119</v>
      </c>
      <c r="D28" s="275">
        <f ca="1">'PRENSA QY-16'!L57</f>
        <v>7.3348110075256114</v>
      </c>
      <c r="E28" s="293"/>
      <c r="F28" s="294"/>
      <c r="G28" s="295"/>
    </row>
    <row r="29" spans="2:7" ht="30" customHeight="1">
      <c r="B29" s="273">
        <v>24</v>
      </c>
      <c r="C29" s="274" t="s">
        <v>120</v>
      </c>
      <c r="D29" s="275">
        <f ca="1">'LAVADORA QXC-1-2 MS03'!L57</f>
        <v>0</v>
      </c>
      <c r="E29" s="293"/>
      <c r="F29" s="294"/>
      <c r="G29" s="295"/>
    </row>
    <row r="30" spans="2:7" ht="30" customHeight="1">
      <c r="B30" s="273">
        <v>25</v>
      </c>
      <c r="C30" s="274" t="s">
        <v>121</v>
      </c>
      <c r="D30" s="275">
        <f ca="1">'LAVADORA QXC-1 MS04'!L57</f>
        <v>0</v>
      </c>
      <c r="E30" s="293"/>
      <c r="F30" s="294"/>
      <c r="G30" s="295"/>
    </row>
    <row r="31" spans="2:7" ht="30" customHeight="1">
      <c r="B31" s="273">
        <v>26</v>
      </c>
      <c r="C31" s="274" t="s">
        <v>122</v>
      </c>
      <c r="D31" s="275">
        <f ca="1">'ANDEROMETRO IM-250'!L57</f>
        <v>2.0358070099124923</v>
      </c>
      <c r="E31" s="293"/>
      <c r="F31" s="294"/>
      <c r="G31" s="295"/>
    </row>
    <row r="32" spans="2:7" ht="30" customHeight="1">
      <c r="B32" s="273">
        <v>27</v>
      </c>
      <c r="C32" s="274" t="s">
        <v>123</v>
      </c>
      <c r="D32" s="275">
        <f ca="1">'ANDEROMETRO IM251'!L57</f>
        <v>2.0358070099124923</v>
      </c>
      <c r="E32" s="293"/>
      <c r="F32" s="294"/>
      <c r="G32" s="295"/>
    </row>
    <row r="33" spans="2:7" ht="30" customHeight="1">
      <c r="B33" s="273">
        <v>28</v>
      </c>
      <c r="C33" s="274" t="s">
        <v>192</v>
      </c>
      <c r="D33" s="275">
        <f ca="1">'HERMANADORA AUT MS05 LHT90'!L57</f>
        <v>7.3637087643627863</v>
      </c>
      <c r="E33" s="293"/>
      <c r="F33" s="294"/>
      <c r="G33" s="295"/>
    </row>
    <row r="34" spans="2:7" ht="30" customHeight="1">
      <c r="B34" s="273">
        <v>29</v>
      </c>
      <c r="C34" s="274" t="s">
        <v>193</v>
      </c>
      <c r="D34" s="275">
        <f ca="1">'HER. AUT JAULA MS05 BCJT03'!L57</f>
        <v>2.0805691436938214</v>
      </c>
      <c r="E34" s="293"/>
      <c r="F34" s="294"/>
      <c r="G34" s="295"/>
    </row>
    <row r="35" spans="2:7" ht="30" customHeight="1">
      <c r="B35" s="273">
        <v>30</v>
      </c>
      <c r="C35" s="274" t="s">
        <v>127</v>
      </c>
      <c r="D35" s="275">
        <f ca="1">'PD52 POACHER'!L57</f>
        <v>5.1220795968226618</v>
      </c>
      <c r="E35" s="293"/>
      <c r="F35" s="294"/>
      <c r="G35" s="295"/>
    </row>
    <row r="36" spans="2:7" ht="30" customHeight="1">
      <c r="B36" s="273">
        <v>31</v>
      </c>
      <c r="C36" s="274" t="s">
        <v>128</v>
      </c>
      <c r="D36" s="275">
        <f ca="1">'RADIAL X095B'!L57</f>
        <v>7.3637087643627863</v>
      </c>
      <c r="E36" s="293"/>
      <c r="F36" s="294"/>
      <c r="G36" s="295"/>
    </row>
    <row r="37" spans="2:7" ht="30" customHeight="1">
      <c r="B37" s="273">
        <v>32</v>
      </c>
      <c r="C37" s="274" t="s">
        <v>129</v>
      </c>
      <c r="D37" s="275">
        <f ca="1">'LAVADO MANUAL PMT25-36'!L57</f>
        <v>5.1220795968226618</v>
      </c>
      <c r="E37" s="293"/>
      <c r="F37" s="294"/>
      <c r="G37" s="295"/>
    </row>
    <row r="38" spans="2:7" ht="30" customHeight="1">
      <c r="B38" s="273">
        <v>33</v>
      </c>
      <c r="C38" s="274" t="s">
        <v>130</v>
      </c>
      <c r="D38" s="275">
        <f ca="1">'HERMANADORA MANUAL IM248'!L57</f>
        <v>1.8303340099538083</v>
      </c>
      <c r="E38" s="293"/>
      <c r="F38" s="294"/>
      <c r="G38" s="295"/>
    </row>
    <row r="39" spans="2:7" ht="30" customHeight="1">
      <c r="B39" s="273">
        <v>34</v>
      </c>
      <c r="C39" s="274" t="s">
        <v>131</v>
      </c>
      <c r="D39" s="275">
        <f ca="1">'RADIAL X095A'!L57</f>
        <v>1.8303340099538083</v>
      </c>
      <c r="E39" s="293"/>
      <c r="F39" s="294"/>
      <c r="G39" s="295"/>
    </row>
    <row r="40" spans="2:7" ht="30" customHeight="1">
      <c r="B40" s="273">
        <v>35</v>
      </c>
      <c r="C40" s="274" t="s">
        <v>132</v>
      </c>
      <c r="D40" s="275">
        <f ca="1">'DESIMANTADOR NS-400-B1'!L57</f>
        <v>0</v>
      </c>
      <c r="E40" s="293"/>
      <c r="F40" s="294"/>
      <c r="G40" s="295"/>
    </row>
    <row r="41" spans="2:7" ht="30" customHeight="1">
      <c r="B41" s="273">
        <v>36</v>
      </c>
      <c r="C41" s="274" t="s">
        <v>133</v>
      </c>
      <c r="D41" s="275">
        <f ca="1">'LAVADORA GRANDE PMD-SJ'!L57</f>
        <v>0</v>
      </c>
      <c r="E41" s="293"/>
      <c r="F41" s="294"/>
      <c r="G41" s="295"/>
    </row>
    <row r="42" spans="2:7" ht="30" customHeight="1">
      <c r="B42" s="273"/>
      <c r="C42" s="274"/>
      <c r="D42" s="275"/>
      <c r="E42" s="293"/>
      <c r="F42" s="294"/>
      <c r="G42" s="295"/>
    </row>
    <row r="43" spans="2:7" ht="30" customHeight="1">
      <c r="B43" s="273"/>
      <c r="C43" s="274"/>
      <c r="D43" s="275"/>
      <c r="E43" s="293"/>
      <c r="F43" s="294"/>
      <c r="G43" s="295"/>
    </row>
    <row r="44" spans="2:7" ht="30" customHeight="1">
      <c r="B44" s="273"/>
      <c r="C44" s="274"/>
      <c r="D44" s="275"/>
      <c r="E44" s="293"/>
      <c r="F44" s="294"/>
      <c r="G44" s="295"/>
    </row>
    <row r="45" spans="2:7" ht="30" customHeight="1" thickBot="1">
      <c r="B45" s="276"/>
      <c r="C45" s="277"/>
      <c r="D45" s="278"/>
      <c r="E45" s="112"/>
      <c r="F45" s="112"/>
      <c r="G45" s="113"/>
    </row>
    <row r="46" spans="2:7" ht="30" customHeight="1">
      <c r="B46" s="279"/>
      <c r="C46" s="280"/>
      <c r="D46" s="281"/>
      <c r="E46" s="115"/>
      <c r="F46" s="115"/>
      <c r="G46" s="116"/>
    </row>
    <row r="47" spans="2:7" ht="30" customHeight="1">
      <c r="B47" s="279"/>
      <c r="C47" s="280"/>
      <c r="D47" s="282"/>
    </row>
    <row r="48" spans="2:7" ht="30" customHeight="1">
      <c r="B48" s="279"/>
      <c r="C48" s="280"/>
      <c r="D48" s="282"/>
    </row>
    <row r="49" spans="2:4" ht="30" customHeight="1">
      <c r="B49" s="279"/>
      <c r="C49" s="280"/>
      <c r="D49" s="282"/>
    </row>
    <row r="50" spans="2:4" ht="30" customHeight="1">
      <c r="B50" s="279"/>
      <c r="C50" s="280"/>
      <c r="D50" s="282"/>
    </row>
    <row r="51" spans="2:4" ht="30" customHeight="1">
      <c r="B51" s="279"/>
      <c r="C51" s="280"/>
      <c r="D51" s="282"/>
    </row>
    <row r="52" spans="2:4" ht="30" customHeight="1">
      <c r="B52" s="279"/>
      <c r="C52" s="280"/>
      <c r="D52" s="282"/>
    </row>
    <row r="53" spans="2:4" ht="30" customHeight="1">
      <c r="B53" s="283"/>
      <c r="C53" s="283"/>
      <c r="D53" s="284"/>
    </row>
    <row r="54" spans="2:4" ht="30" customHeight="1">
      <c r="B54" s="283"/>
      <c r="C54" s="283"/>
      <c r="D54" s="284"/>
    </row>
    <row r="55" spans="2:4" ht="30" customHeight="1">
      <c r="B55" s="284"/>
      <c r="C55" s="284"/>
      <c r="D55" s="284"/>
    </row>
    <row r="56" spans="2:4" ht="30" customHeight="1">
      <c r="B56" s="284"/>
      <c r="C56" s="284"/>
      <c r="D56" s="284"/>
    </row>
    <row r="57" spans="2:4" ht="30" customHeight="1">
      <c r="B57" s="284"/>
      <c r="C57" s="285"/>
      <c r="D57" s="284"/>
    </row>
    <row r="58" spans="2:4" ht="30" customHeight="1">
      <c r="B58" s="284"/>
      <c r="C58" s="284"/>
      <c r="D58" s="284"/>
    </row>
    <row r="59" spans="2:4" ht="30" customHeight="1">
      <c r="B59" s="284"/>
      <c r="C59" s="284"/>
      <c r="D59" s="284"/>
    </row>
    <row r="60" spans="2:4" ht="30" customHeight="1">
      <c r="B60" s="284"/>
      <c r="C60" s="284"/>
      <c r="D60" s="284"/>
    </row>
    <row r="61" spans="2:4" ht="30" customHeight="1">
      <c r="B61" s="284"/>
      <c r="C61" s="284"/>
      <c r="D61" s="284"/>
    </row>
    <row r="62" spans="2:4" ht="30" customHeight="1">
      <c r="B62" s="284"/>
      <c r="C62" s="284"/>
      <c r="D62" s="284"/>
    </row>
    <row r="63" spans="2:4" ht="30" customHeight="1">
      <c r="B63" s="284"/>
      <c r="C63" s="284"/>
      <c r="D63" s="284"/>
    </row>
    <row r="64" spans="2:4" ht="30" customHeight="1">
      <c r="B64" s="284"/>
      <c r="C64" s="284"/>
      <c r="D64" s="284"/>
    </row>
    <row r="65" spans="2:4" ht="30" customHeight="1">
      <c r="B65" s="284"/>
      <c r="C65" s="284"/>
      <c r="D65" s="284"/>
    </row>
    <row r="66" spans="2:4" ht="30" customHeight="1">
      <c r="B66" s="284"/>
      <c r="C66" s="284"/>
      <c r="D66" s="284"/>
    </row>
    <row r="67" spans="2:4" ht="30" customHeight="1">
      <c r="B67" s="284"/>
      <c r="C67" s="284"/>
      <c r="D67" s="284"/>
    </row>
    <row r="68" spans="2:4" ht="30" customHeight="1">
      <c r="B68" s="284"/>
      <c r="C68" s="284"/>
      <c r="D68" s="284"/>
    </row>
    <row r="69" spans="2:4" ht="30" customHeight="1">
      <c r="B69" s="284"/>
      <c r="C69" s="284"/>
      <c r="D69" s="284"/>
    </row>
    <row r="70" spans="2:4" ht="30" customHeight="1">
      <c r="B70" s="284"/>
      <c r="C70" s="284"/>
      <c r="D70" s="284"/>
    </row>
    <row r="71" spans="2:4" ht="30" customHeight="1">
      <c r="B71" s="284"/>
      <c r="C71" s="284"/>
      <c r="D71" s="284"/>
    </row>
    <row r="72" spans="2:4" ht="30" customHeight="1">
      <c r="B72" s="284"/>
      <c r="C72" s="284"/>
      <c r="D72" s="284"/>
    </row>
    <row r="73" spans="2:4" ht="30" customHeight="1">
      <c r="B73" s="284"/>
      <c r="C73" s="284"/>
      <c r="D73" s="284"/>
    </row>
    <row r="74" spans="2:4" ht="30" customHeight="1">
      <c r="B74" s="284"/>
      <c r="C74" s="284"/>
      <c r="D74" s="284"/>
    </row>
    <row r="75" spans="2:4" ht="30" customHeight="1">
      <c r="B75" s="284"/>
      <c r="C75" s="284"/>
      <c r="D75" s="284"/>
    </row>
    <row r="76" spans="2:4" ht="30" customHeight="1">
      <c r="B76" s="284"/>
      <c r="C76" s="284"/>
      <c r="D76" s="284"/>
    </row>
    <row r="77" spans="2:4" ht="30" customHeight="1">
      <c r="B77" s="284"/>
      <c r="C77" s="284"/>
      <c r="D77" s="284"/>
    </row>
    <row r="78" spans="2:4" ht="30" customHeight="1">
      <c r="B78" s="284"/>
      <c r="C78" s="284"/>
      <c r="D78" s="284"/>
    </row>
    <row r="79" spans="2:4" ht="30" customHeight="1">
      <c r="B79" s="284"/>
      <c r="C79" s="284"/>
      <c r="D79" s="284"/>
    </row>
    <row r="80" spans="2:4" ht="30" customHeight="1">
      <c r="B80" s="284"/>
      <c r="C80" s="284"/>
      <c r="D80" s="284"/>
    </row>
    <row r="81" spans="2:4" ht="30" customHeight="1">
      <c r="B81" s="284"/>
      <c r="C81" s="284"/>
      <c r="D81" s="284"/>
    </row>
    <row r="82" spans="2:4" ht="15"/>
  </sheetData>
  <sheetProtection selectLockedCells="1"/>
  <mergeCells count="42">
    <mergeCell ref="E35:G35"/>
    <mergeCell ref="E36:G36"/>
    <mergeCell ref="E37:G37"/>
    <mergeCell ref="E12:G12"/>
    <mergeCell ref="E13:G13"/>
    <mergeCell ref="E20:G20"/>
    <mergeCell ref="E21:G21"/>
    <mergeCell ref="E22:G22"/>
    <mergeCell ref="E23:G23"/>
    <mergeCell ref="E32:G32"/>
    <mergeCell ref="E33:G33"/>
    <mergeCell ref="E34:G34"/>
    <mergeCell ref="E26:G26"/>
    <mergeCell ref="E27:G27"/>
    <mergeCell ref="E28:G28"/>
    <mergeCell ref="E29:G29"/>
    <mergeCell ref="E43:G43"/>
    <mergeCell ref="E44:G44"/>
    <mergeCell ref="E38:G38"/>
    <mergeCell ref="E39:G39"/>
    <mergeCell ref="E40:G40"/>
    <mergeCell ref="E41:G41"/>
    <mergeCell ref="E42:G42"/>
    <mergeCell ref="E30:G30"/>
    <mergeCell ref="E31:G31"/>
    <mergeCell ref="E15:G15"/>
    <mergeCell ref="E16:G16"/>
    <mergeCell ref="E17:G17"/>
    <mergeCell ref="E18:G18"/>
    <mergeCell ref="E19:G19"/>
    <mergeCell ref="E25:G25"/>
    <mergeCell ref="E24:G24"/>
    <mergeCell ref="B2:C4"/>
    <mergeCell ref="D2:D4"/>
    <mergeCell ref="E5:G5"/>
    <mergeCell ref="E6:G6"/>
    <mergeCell ref="E7:G7"/>
    <mergeCell ref="E14:G14"/>
    <mergeCell ref="E8:G8"/>
    <mergeCell ref="E9:G9"/>
    <mergeCell ref="E10:G10"/>
    <mergeCell ref="E11:G11"/>
  </mergeCells>
  <hyperlinks>
    <hyperlink ref="C6" location="'INFO-OEE'!A1" display="INFO-OEE"/>
    <hyperlink ref="C7" location="'INFO-Personal'!A1" display="INFO-Personal"/>
    <hyperlink ref="C8" location="'INFO-Direc'!A1" display="INFO-Direc"/>
    <hyperlink ref="C9" location="'INFO-Mant'!A1" display="INFO-Mant"/>
    <hyperlink ref="C10" location="'INFO-INSUMOS-P'!A1" display="INFO-INSUMOS-P"/>
    <hyperlink ref="C11" location="'INFO-Pos'!A1" display="INFO-Pos"/>
    <hyperlink ref="C12" location="'ENGRASADORA MANUAL'!A1" display="ENGRASADORA MANUAL"/>
    <hyperlink ref="C13" location="'PRENSA QY-10-1'!A1" display="PRENSA QY-10-1"/>
    <hyperlink ref="C14" location="'PRENSA QY-10-2'!A1" display="PRENSA QY-10-2"/>
    <hyperlink ref="C15" location="'PRENSA QY-10-3'!A1" display="PRENSA QY-10-3"/>
    <hyperlink ref="C16" location="'LAVADORA 0448'!A1" display="LAVADORA 0448"/>
    <hyperlink ref="C17" location="'TB-SCAMRIVT-40120 CONICO 518'!A1" display="TB-SCAMRIVT-40120 CONICO 518"/>
    <hyperlink ref="C18" location="'TE-SCAMRIVT-2060 CONICO 30207'!A1" display="TE-SCAMRIVT-2060 CONICO 30207"/>
    <hyperlink ref="C19" location="'HERMANADORA MANUAL IM247'!A1" display="HERMANADORA MANUAL IM247"/>
    <hyperlink ref="C20" location="'HER. AUT MS03 DP 02HTQJ2'!A1" display="HER. AUT MS03 DP 02HTQJ2"/>
    <hyperlink ref="C21" location="'HER. AUT JAULA-MS03 BCJL02A'!A1" display="HER. AUT JAULA-MS03 BCJL02A"/>
    <hyperlink ref="C22" location="'ENGRASADORA MS03 0510-5120051'!A1" display="ENGRASADORA MS03 0510-5120051"/>
    <hyperlink ref="C23" location="'HER. AUT MS04 DP 03TQJ3'!A1" display="HER. AUT MS04 DP 03TQJ3"/>
    <hyperlink ref="C24" location="'HER. AUT JAULA-MS04 BCJL02A'!A1" display="HER. AUT JAULA-MS04 BCJL02A"/>
    <hyperlink ref="C25" location="'ENGRASADORA AUTOM MS04 ZYJ3H '!A1" display="ENGRASADORA AUTOM MS04 ZYJ3H "/>
    <hyperlink ref="C26" location="'LASER CHICO 30'!A1" display="LASER CHICO 30"/>
    <hyperlink ref="C27" location="'LASER GRANDE 50'!A1" display="LASER GRANDE 50"/>
    <hyperlink ref="C28" location="'PRENSA QY-16'!A1" display="PRENSA QY-16"/>
    <hyperlink ref="C29" location="'LAVADORA QXC-1-2 MS03'!A1" display="LAVADORA QXC-1-2 MS03"/>
    <hyperlink ref="C30" location="'LAVADORA QXC-1 MS04'!A1" display="LAVADORA QXC-1 MS04"/>
    <hyperlink ref="C31" location="'ANDEROMETRO IM-250'!A1" display="ANDEROMETRO IM-250"/>
    <hyperlink ref="C32" location="'ANDEROMETRO IM251'!A1" display="ANDEROMETRO IM251"/>
    <hyperlink ref="C33" location="'HERMANADORA AUT MS05 LHT90'!A1" display="HERMANADORA AUT MS05 LHT90"/>
    <hyperlink ref="C34" location="'HER. AUT JAULA MS05 BCJT03'!A1" display="HER. AUT JAULA MS05 BCJT03"/>
    <hyperlink ref="C35" location="'PD52 POACHER'!A1" display="PD52 POACHER"/>
    <hyperlink ref="C36" location="'RADIAL X095B'!A1" display="RADIAL X095B"/>
    <hyperlink ref="C37" location="'LAVADO MANUAL PMT25-36'!A1" display="LAVADO MANUAL PMT25-36"/>
    <hyperlink ref="C38" location="'HERMANADORA MANUAL IM248'!A1" display="HERMANADORA MANUAL IM248"/>
    <hyperlink ref="C39" location="'RADIAL X095A'!A1" display="RADIAL X095A"/>
    <hyperlink ref="C40" location="'DESIMANTADOR NS-400-B1'!A1" display="DESIMANTADOR NS-400-B1"/>
    <hyperlink ref="C41" location="'LAVADORA GRANDE PMD-SJ'!A1" display="LAVADORA GRANDE PMD-SJ"/>
  </hyperlinks>
  <printOptions horizontalCentered="1" verticalCentered="1"/>
  <pageMargins left="0.4" right="0.4" top="0.4" bottom="0.4" header="0.3" footer="0.3"/>
  <pageSetup paperSize="9" scale="55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ActualizarIndice">
                <anchor moveWithCells="1" sizeWithCells="1">
                  <from>
                    <xdr:col>3</xdr:col>
                    <xdr:colOff>171450</xdr:colOff>
                    <xdr:row>2</xdr:row>
                    <xdr:rowOff>9525</xdr:rowOff>
                  </from>
                  <to>
                    <xdr:col>3</xdr:col>
                    <xdr:colOff>1343025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>
    <tabColor rgb="FF002060"/>
    <pageSetUpPr autoPageBreaks="0" fitToPage="1"/>
  </sheetPr>
  <dimension ref="A1:AK49"/>
  <sheetViews>
    <sheetView showGridLines="0" zoomScaleNormal="100" workbookViewId="0">
      <selection activeCell="AJ19" sqref="AJ19"/>
    </sheetView>
  </sheetViews>
  <sheetFormatPr baseColWidth="10" defaultColWidth="9.140625" defaultRowHeight="30" customHeight="1"/>
  <cols>
    <col min="1" max="1" width="2.7109375" customWidth="1"/>
    <col min="2" max="2" width="26.7109375" customWidth="1"/>
    <col min="3" max="3" width="28" customWidth="1"/>
    <col min="4" max="4" width="33.28515625" bestFit="1" customWidth="1"/>
    <col min="5" max="5" width="28.42578125" customWidth="1"/>
    <col min="6" max="6" width="15.42578125" customWidth="1"/>
    <col min="7" max="7" width="13.42578125" customWidth="1"/>
    <col min="8" max="8" width="15.85546875" customWidth="1"/>
    <col min="9" max="9" width="18.7109375" customWidth="1"/>
    <col min="10" max="10" width="25.42578125" customWidth="1"/>
    <col min="11" max="11" width="22" customWidth="1"/>
    <col min="12" max="12" width="23" customWidth="1"/>
    <col min="13" max="13" width="24.28515625" customWidth="1"/>
    <col min="14" max="14" width="24.85546875" customWidth="1"/>
    <col min="15" max="15" width="26.140625" customWidth="1"/>
    <col min="16" max="16" width="22.7109375" customWidth="1"/>
    <col min="17" max="17" width="28" customWidth="1"/>
    <col min="18" max="18" width="29.140625" customWidth="1"/>
    <col min="19" max="19" width="17.28515625" bestFit="1" customWidth="1"/>
    <col min="20" max="20" width="19.85546875" bestFit="1" customWidth="1"/>
    <col min="21" max="24" width="24.85546875" customWidth="1"/>
    <col min="25" max="25" width="28" customWidth="1"/>
    <col min="26" max="26" width="27.140625" customWidth="1"/>
    <col min="27" max="27" width="21.5703125" customWidth="1"/>
    <col min="28" max="28" width="19.85546875" bestFit="1" customWidth="1"/>
    <col min="29" max="34" width="24.85546875" customWidth="1"/>
    <col min="35" max="35" width="16.5703125" customWidth="1"/>
    <col min="36" max="36" width="45.7109375" customWidth="1"/>
    <col min="37" max="37" width="2.7109375" customWidth="1"/>
    <col min="38" max="38" width="3" customWidth="1"/>
    <col min="39" max="39" width="21.5703125" customWidth="1"/>
    <col min="40" max="40" width="32.7109375" customWidth="1"/>
    <col min="41" max="41" width="36.5703125" customWidth="1"/>
    <col min="42" max="42" width="22.5703125" customWidth="1"/>
    <col min="43" max="43" width="12.85546875" customWidth="1"/>
    <col min="44" max="44" width="17.42578125" customWidth="1"/>
    <col min="45" max="45" width="13.140625" customWidth="1"/>
    <col min="46" max="46" width="29.85546875" customWidth="1"/>
  </cols>
  <sheetData>
    <row r="1" spans="1:37" ht="12" customHeight="1" thickBot="1">
      <c r="A1" s="136"/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  <c r="AA1" s="136"/>
      <c r="AB1" s="136"/>
      <c r="AC1" s="136"/>
      <c r="AD1" s="136"/>
      <c r="AE1" s="136"/>
      <c r="AF1" s="136"/>
      <c r="AG1" s="136"/>
      <c r="AH1" s="136"/>
      <c r="AI1" s="136"/>
      <c r="AJ1" s="136"/>
      <c r="AK1" s="136"/>
    </row>
    <row r="2" spans="1:37" ht="30" customHeight="1">
      <c r="A2" s="136"/>
      <c r="B2" s="126" t="s">
        <v>0</v>
      </c>
      <c r="C2" s="214"/>
      <c r="D2" s="127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9"/>
      <c r="AK2" s="136"/>
    </row>
    <row r="3" spans="1:37" ht="30" customHeight="1">
      <c r="A3" s="136"/>
      <c r="B3" s="130" t="s">
        <v>40</v>
      </c>
      <c r="C3" s="168" t="s">
        <v>41</v>
      </c>
      <c r="D3" s="125" t="s">
        <v>3</v>
      </c>
      <c r="E3" s="321">
        <f ca="1">TODAY()</f>
        <v>46020</v>
      </c>
      <c r="F3" s="321"/>
      <c r="G3" s="125"/>
      <c r="H3" s="137"/>
      <c r="I3" s="136"/>
      <c r="J3" s="136"/>
      <c r="K3" s="136"/>
      <c r="L3" s="136"/>
      <c r="M3" s="169"/>
      <c r="N3" s="169"/>
      <c r="O3" s="169"/>
      <c r="P3" s="169"/>
      <c r="Q3" s="169"/>
      <c r="R3" s="169"/>
      <c r="S3" s="169"/>
      <c r="T3" s="169"/>
      <c r="U3" s="169"/>
      <c r="V3" s="169"/>
      <c r="W3" s="169"/>
      <c r="X3" s="169"/>
      <c r="Y3" s="169"/>
      <c r="Z3" s="169"/>
      <c r="AA3" s="169"/>
      <c r="AB3" s="169"/>
      <c r="AC3" s="169"/>
      <c r="AD3" s="169"/>
      <c r="AE3" s="169"/>
      <c r="AF3" s="169"/>
      <c r="AG3" s="169"/>
      <c r="AH3" s="169"/>
      <c r="AI3" s="169"/>
      <c r="AJ3" s="170"/>
      <c r="AK3" s="171"/>
    </row>
    <row r="4" spans="1:37" ht="30" customHeight="1">
      <c r="A4" s="136"/>
      <c r="B4" s="139" t="s">
        <v>4</v>
      </c>
      <c r="C4" s="140"/>
      <c r="D4" s="141"/>
      <c r="E4" s="141"/>
      <c r="F4" s="141"/>
      <c r="G4" s="136"/>
      <c r="H4" s="136"/>
      <c r="I4" s="136"/>
      <c r="J4" s="136"/>
      <c r="K4" s="136"/>
      <c r="L4" s="136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2"/>
      <c r="AK4" s="136"/>
    </row>
    <row r="5" spans="1:37" ht="30" customHeight="1">
      <c r="A5" s="136"/>
      <c r="B5" s="143" t="s">
        <v>5</v>
      </c>
      <c r="C5" s="189"/>
      <c r="D5" s="144" t="s">
        <v>6</v>
      </c>
      <c r="E5" s="323"/>
      <c r="F5" s="323"/>
      <c r="G5" s="136"/>
      <c r="H5" s="136"/>
      <c r="I5" s="136"/>
      <c r="J5" s="136"/>
      <c r="K5" s="136"/>
      <c r="L5" s="136"/>
      <c r="M5" s="141"/>
      <c r="N5" s="141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1"/>
      <c r="AG5" s="141"/>
      <c r="AH5" s="141"/>
      <c r="AI5" s="141"/>
      <c r="AJ5" s="145"/>
      <c r="AK5" s="136"/>
    </row>
    <row r="6" spans="1:37" ht="30" customHeight="1">
      <c r="A6" s="136"/>
      <c r="B6" s="143" t="s">
        <v>7</v>
      </c>
      <c r="C6" s="189"/>
      <c r="D6" s="144" t="s">
        <v>42</v>
      </c>
      <c r="E6" s="294"/>
      <c r="F6" s="294"/>
      <c r="G6" s="136"/>
      <c r="H6" s="136"/>
      <c r="I6" s="136"/>
      <c r="J6" s="136"/>
      <c r="K6" s="136"/>
      <c r="L6" s="136"/>
      <c r="M6" s="141"/>
      <c r="N6" s="141"/>
      <c r="O6" s="141"/>
      <c r="P6" s="141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1"/>
      <c r="AE6" s="141"/>
      <c r="AF6" s="141"/>
      <c r="AG6" s="141"/>
      <c r="AH6" s="141"/>
      <c r="AI6" s="141"/>
      <c r="AJ6" s="145"/>
      <c r="AK6" s="136"/>
    </row>
    <row r="7" spans="1:37" ht="30" customHeight="1" thickBot="1">
      <c r="A7" s="136"/>
      <c r="B7" s="146"/>
      <c r="C7" s="147"/>
      <c r="D7" s="147"/>
      <c r="E7" s="148"/>
      <c r="F7" s="148"/>
      <c r="G7" s="30"/>
      <c r="H7" s="30"/>
      <c r="I7" s="30"/>
      <c r="J7" s="30"/>
      <c r="K7" s="30"/>
      <c r="L7" s="30"/>
      <c r="M7" s="149"/>
      <c r="N7" s="149"/>
      <c r="O7" s="149"/>
      <c r="P7" s="149"/>
      <c r="Q7" s="149"/>
      <c r="R7" s="149"/>
      <c r="S7" s="149"/>
      <c r="T7" s="149"/>
      <c r="U7" s="149"/>
      <c r="V7" s="149"/>
      <c r="W7" s="149"/>
      <c r="X7" s="149"/>
      <c r="Y7" s="149"/>
      <c r="Z7" s="149"/>
      <c r="AA7" s="149"/>
      <c r="AB7" s="149"/>
      <c r="AC7" s="149"/>
      <c r="AD7" s="149"/>
      <c r="AE7" s="149"/>
      <c r="AF7" s="149"/>
      <c r="AG7" s="149"/>
      <c r="AH7" s="149"/>
      <c r="AI7" s="149"/>
      <c r="AJ7" s="145"/>
      <c r="AK7" s="136"/>
    </row>
    <row r="8" spans="1:37" ht="30" customHeight="1" thickBot="1">
      <c r="A8" s="136"/>
      <c r="B8" s="324" t="s">
        <v>43</v>
      </c>
      <c r="C8" s="325" t="s">
        <v>44</v>
      </c>
      <c r="D8" s="324" t="s">
        <v>45</v>
      </c>
      <c r="E8" s="324" t="s">
        <v>10</v>
      </c>
      <c r="F8" s="324"/>
      <c r="G8" s="324"/>
      <c r="H8" s="324"/>
      <c r="I8" s="324"/>
      <c r="J8" s="324"/>
      <c r="K8" s="324"/>
      <c r="L8" s="324"/>
      <c r="M8" s="324"/>
      <c r="N8" s="324"/>
      <c r="O8" s="324"/>
      <c r="P8" s="324"/>
      <c r="Q8" s="324"/>
      <c r="R8" s="324"/>
      <c r="S8" s="324"/>
      <c r="T8" s="324"/>
      <c r="U8" s="324"/>
      <c r="V8" s="324"/>
      <c r="W8" s="324"/>
      <c r="X8" s="324"/>
      <c r="Y8" s="324"/>
      <c r="Z8" s="324"/>
      <c r="AA8" s="324"/>
      <c r="AB8" s="324"/>
      <c r="AC8" s="324"/>
      <c r="AD8" s="324"/>
      <c r="AE8" s="324"/>
      <c r="AF8" s="324"/>
      <c r="AG8" s="324"/>
      <c r="AH8" s="324"/>
      <c r="AI8" s="324"/>
      <c r="AJ8" s="324"/>
      <c r="AK8" s="136"/>
    </row>
    <row r="9" spans="1:37" ht="48" customHeight="1" thickBot="1">
      <c r="A9" s="136"/>
      <c r="B9" s="324"/>
      <c r="C9" s="326"/>
      <c r="D9" s="324"/>
      <c r="E9" s="215" t="str">
        <f>'ENGRASADORA MANUAL'!C3</f>
        <v>ENGRASADORA MANUAL</v>
      </c>
      <c r="F9" s="215" t="str">
        <f>'PRENSA QY-10-1'!C3</f>
        <v>PRENSA QY-10-1</v>
      </c>
      <c r="G9" s="215" t="str">
        <f>'PRENSA QY-10-2'!C3</f>
        <v>PRENSA QY-10-2</v>
      </c>
      <c r="H9" s="215" t="str">
        <f>'PRENSA QY-10-3'!C3</f>
        <v>PRENSA QY-10-3</v>
      </c>
      <c r="I9" s="215" t="str">
        <f>'LAVADORA 0448'!C3</f>
        <v>LAVADORA 0448</v>
      </c>
      <c r="J9" s="215" t="str">
        <f>'TB-SCAMRIVT-40120 CONICO 518'!C3</f>
        <v>TB-SCAMRIVT-40120 CONICO 518</v>
      </c>
      <c r="K9" s="215" t="str">
        <f>'TE-SCAMRIVT-2060 CONICO 30207'!C3</f>
        <v>TE-SCAMRIVT-2060 CONICO 30207</v>
      </c>
      <c r="L9" s="215" t="str">
        <f>'HERMANADORA MANUAL IM247'!C3</f>
        <v>HERMANADORA MANUAL IM247</v>
      </c>
      <c r="M9" s="215" t="str">
        <f>'HER. AUT MS03 DP 02HTQJ2'!C3</f>
        <v>HER. AUT MS03 DP 02HTQJ2</v>
      </c>
      <c r="N9" s="215" t="str">
        <f>'HER. AUT JAULA-MS03 BCJL02A'!C3</f>
        <v>HER. AUT JAULA MS03 BCJL02A</v>
      </c>
      <c r="O9" s="215" t="str">
        <f>'ENGRASADORA MS03 0510-5120051'!C3</f>
        <v>ENGRASADORA MS03 0510-5120051</v>
      </c>
      <c r="P9" s="215" t="str">
        <f>'HER. AUT MS04 DP 03TQJ3'!C3</f>
        <v>HER. AUT MS04 DP 03TQJ3</v>
      </c>
      <c r="Q9" s="215" t="str">
        <f>'HER. AUT JAULA-MS04 BCJL02A'!C3</f>
        <v>HER. AUT JAULA MS04 BCJL02A</v>
      </c>
      <c r="R9" s="215" t="str">
        <f>'ENGRASADORA AUTOM MS04 ZYJ3H '!C3</f>
        <v>ENGRASADORA AUTOMATICA MS04 ZYJ3H</v>
      </c>
      <c r="S9" s="215" t="str">
        <f>'LASER CHICO 30'!C3</f>
        <v>LASER CHICO 30</v>
      </c>
      <c r="T9" s="215" t="str">
        <f>'LASER GRANDE 50'!$C$3</f>
        <v>LASER GRANDE 50</v>
      </c>
      <c r="U9" s="215" t="str">
        <f>'PRENSA QY-16'!$C$3</f>
        <v>PRENSA QY-16</v>
      </c>
      <c r="V9" s="215" t="str">
        <f>'LAVADORA QXC-1-2 MS03'!C3</f>
        <v>LAVADORA QXC-1-2 MS03</v>
      </c>
      <c r="W9" s="215" t="str">
        <f>'LAVADORA QXC-1 MS04'!C3</f>
        <v>LAVADORA QXC-1 MS04</v>
      </c>
      <c r="X9" s="215" t="str">
        <f>'ANDEROMETRO IM-250'!C3</f>
        <v>ANDEROMETRO IM-250</v>
      </c>
      <c r="Y9" s="215" t="str">
        <f>'ANDEROMETRO IM251'!C3</f>
        <v>ANDEROMETRO IM251</v>
      </c>
      <c r="Z9" s="215" t="str">
        <f>'HERMANADORA AUT MS05 LHT90'!C3</f>
        <v>HERMANADORA AUT MS05 LHT90</v>
      </c>
      <c r="AA9" s="215" t="str">
        <f>'HER. AUT JAULA MS05 BCJT03'!$C$3</f>
        <v>HER. AUT JAULA MS05 BCJT03</v>
      </c>
      <c r="AB9" s="215" t="str">
        <f>'PD52 POACHER'!C3</f>
        <v>PD52 POACHER</v>
      </c>
      <c r="AC9" s="215" t="str">
        <f>'RADIAL X095B'!C3</f>
        <v>RADIAL X095B</v>
      </c>
      <c r="AD9" s="215" t="str">
        <f>'LAVADO MANUAL PMT25-36'!C3</f>
        <v>LAVADO MANUAL PMT25-36</v>
      </c>
      <c r="AE9" s="215" t="str">
        <f>'HERMANADORA MANUAL IM248'!C3</f>
        <v>HERMANADORA MANUAL IM248</v>
      </c>
      <c r="AF9" s="215" t="str">
        <f>'RADIAL X095A'!C3</f>
        <v>RADIAL X095A</v>
      </c>
      <c r="AG9" s="215" t="str">
        <f>'DESIMANTADOR NS-400-B1'!C3</f>
        <v>DESIMANTADOR NS-400-B1</v>
      </c>
      <c r="AH9" s="215" t="str">
        <f>'LAVADORA GRANDE PMD-SJ'!C3</f>
        <v>LAVADORA GRANDE PMD-SJ</v>
      </c>
      <c r="AI9" s="215"/>
      <c r="AJ9" s="215"/>
      <c r="AK9" s="136"/>
    </row>
    <row r="10" spans="1:37" ht="30" customHeight="1">
      <c r="A10" s="136"/>
      <c r="B10" s="327" t="s">
        <v>46</v>
      </c>
      <c r="C10" s="328" t="s">
        <v>47</v>
      </c>
      <c r="D10" s="163" t="s">
        <v>48</v>
      </c>
      <c r="E10" s="185">
        <v>10</v>
      </c>
      <c r="F10" s="185">
        <v>10</v>
      </c>
      <c r="G10" s="185">
        <v>10</v>
      </c>
      <c r="H10" s="185">
        <v>10</v>
      </c>
      <c r="I10" s="185">
        <v>10</v>
      </c>
      <c r="J10" s="185">
        <v>10</v>
      </c>
      <c r="K10" s="185">
        <v>10</v>
      </c>
      <c r="L10" s="185">
        <v>10</v>
      </c>
      <c r="M10" s="185">
        <v>10</v>
      </c>
      <c r="N10" s="185">
        <v>10</v>
      </c>
      <c r="O10" s="185">
        <v>10</v>
      </c>
      <c r="P10" s="185">
        <v>10</v>
      </c>
      <c r="Q10" s="185">
        <v>10</v>
      </c>
      <c r="R10" s="185">
        <v>10</v>
      </c>
      <c r="S10" s="185">
        <v>10</v>
      </c>
      <c r="T10" s="185">
        <v>10</v>
      </c>
      <c r="U10" s="185">
        <v>10</v>
      </c>
      <c r="V10" s="185">
        <v>10</v>
      </c>
      <c r="W10" s="185">
        <v>10</v>
      </c>
      <c r="X10" s="185">
        <v>10</v>
      </c>
      <c r="Y10" s="185">
        <v>10</v>
      </c>
      <c r="Z10" s="185">
        <v>10</v>
      </c>
      <c r="AA10" s="185">
        <v>10</v>
      </c>
      <c r="AB10" s="185">
        <v>10</v>
      </c>
      <c r="AC10" s="185">
        <v>10</v>
      </c>
      <c r="AD10" s="185">
        <v>10</v>
      </c>
      <c r="AE10" s="185">
        <v>10</v>
      </c>
      <c r="AF10" s="185">
        <v>10</v>
      </c>
      <c r="AG10" s="185">
        <v>10</v>
      </c>
      <c r="AH10" s="185">
        <v>10</v>
      </c>
      <c r="AI10" s="185">
        <v>10</v>
      </c>
      <c r="AJ10" s="213">
        <v>10</v>
      </c>
      <c r="AK10" s="136"/>
    </row>
    <row r="11" spans="1:37" ht="30" customHeight="1">
      <c r="A11" s="136"/>
      <c r="B11" s="312"/>
      <c r="C11" s="315"/>
      <c r="D11" s="216" t="s">
        <v>49</v>
      </c>
      <c r="E11" s="186">
        <v>10</v>
      </c>
      <c r="F11" s="186">
        <v>10</v>
      </c>
      <c r="G11" s="186">
        <v>10</v>
      </c>
      <c r="H11" s="186">
        <v>10</v>
      </c>
      <c r="I11" s="186">
        <v>10</v>
      </c>
      <c r="J11" s="186">
        <v>10</v>
      </c>
      <c r="K11" s="186">
        <v>10</v>
      </c>
      <c r="L11" s="186">
        <v>10</v>
      </c>
      <c r="M11" s="186">
        <v>10</v>
      </c>
      <c r="N11" s="186">
        <v>10</v>
      </c>
      <c r="O11" s="186">
        <v>10</v>
      </c>
      <c r="P11" s="186">
        <v>10</v>
      </c>
      <c r="Q11" s="186">
        <v>10</v>
      </c>
      <c r="R11" s="186">
        <v>10</v>
      </c>
      <c r="S11" s="186">
        <v>10</v>
      </c>
      <c r="T11" s="186">
        <v>10</v>
      </c>
      <c r="U11" s="186">
        <v>10</v>
      </c>
      <c r="V11" s="186">
        <v>10</v>
      </c>
      <c r="W11" s="186">
        <v>10</v>
      </c>
      <c r="X11" s="186">
        <v>10</v>
      </c>
      <c r="Y11" s="186">
        <v>10</v>
      </c>
      <c r="Z11" s="186">
        <v>10</v>
      </c>
      <c r="AA11" s="186">
        <v>10</v>
      </c>
      <c r="AB11" s="186">
        <v>10</v>
      </c>
      <c r="AC11" s="186">
        <v>10</v>
      </c>
      <c r="AD11" s="186">
        <v>10</v>
      </c>
      <c r="AE11" s="186">
        <v>10</v>
      </c>
      <c r="AF11" s="186">
        <v>10</v>
      </c>
      <c r="AG11" s="186">
        <v>10</v>
      </c>
      <c r="AH11" s="186">
        <v>10</v>
      </c>
      <c r="AI11" s="186">
        <v>10</v>
      </c>
      <c r="AJ11" s="187">
        <v>10</v>
      </c>
      <c r="AK11" s="136"/>
    </row>
    <row r="12" spans="1:37" ht="30" customHeight="1">
      <c r="A12" s="136"/>
      <c r="B12" s="310" t="s">
        <v>50</v>
      </c>
      <c r="C12" s="313" t="s">
        <v>51</v>
      </c>
      <c r="D12" s="216" t="s">
        <v>52</v>
      </c>
      <c r="E12" s="186">
        <v>10</v>
      </c>
      <c r="F12" s="186">
        <v>10</v>
      </c>
      <c r="G12" s="186">
        <v>10</v>
      </c>
      <c r="H12" s="186">
        <v>10</v>
      </c>
      <c r="I12" s="186">
        <v>10</v>
      </c>
      <c r="J12" s="186">
        <v>10</v>
      </c>
      <c r="K12" s="186">
        <v>10</v>
      </c>
      <c r="L12" s="186">
        <v>10</v>
      </c>
      <c r="M12" s="186">
        <v>10</v>
      </c>
      <c r="N12" s="186">
        <v>10</v>
      </c>
      <c r="O12" s="186">
        <v>10</v>
      </c>
      <c r="P12" s="186">
        <v>10</v>
      </c>
      <c r="Q12" s="186">
        <v>10</v>
      </c>
      <c r="R12" s="186">
        <v>10</v>
      </c>
      <c r="S12" s="186">
        <v>10</v>
      </c>
      <c r="T12" s="186">
        <v>10</v>
      </c>
      <c r="U12" s="186">
        <v>10</v>
      </c>
      <c r="V12" s="186">
        <v>10</v>
      </c>
      <c r="W12" s="186">
        <v>10</v>
      </c>
      <c r="X12" s="186">
        <v>10</v>
      </c>
      <c r="Y12" s="186">
        <v>10</v>
      </c>
      <c r="Z12" s="186">
        <v>10</v>
      </c>
      <c r="AA12" s="186">
        <v>10</v>
      </c>
      <c r="AB12" s="186">
        <v>10</v>
      </c>
      <c r="AC12" s="186">
        <v>10</v>
      </c>
      <c r="AD12" s="186">
        <v>10</v>
      </c>
      <c r="AE12" s="186">
        <v>10</v>
      </c>
      <c r="AF12" s="186">
        <v>10</v>
      </c>
      <c r="AG12" s="186">
        <v>10</v>
      </c>
      <c r="AH12" s="186">
        <v>10</v>
      </c>
      <c r="AI12" s="186">
        <v>10</v>
      </c>
      <c r="AJ12" s="187">
        <v>10</v>
      </c>
      <c r="AK12" s="136"/>
    </row>
    <row r="13" spans="1:37" ht="30" customHeight="1">
      <c r="A13" s="136"/>
      <c r="B13" s="311"/>
      <c r="C13" s="314"/>
      <c r="D13" s="216" t="s">
        <v>53</v>
      </c>
      <c r="E13" s="186">
        <v>1</v>
      </c>
      <c r="F13" s="186">
        <v>1</v>
      </c>
      <c r="G13" s="186">
        <v>1</v>
      </c>
      <c r="H13" s="186">
        <v>1</v>
      </c>
      <c r="I13" s="186">
        <v>1</v>
      </c>
      <c r="J13" s="186">
        <v>1</v>
      </c>
      <c r="K13" s="186">
        <v>1</v>
      </c>
      <c r="L13" s="186">
        <v>1</v>
      </c>
      <c r="M13" s="186">
        <v>1</v>
      </c>
      <c r="N13" s="186">
        <v>1</v>
      </c>
      <c r="O13" s="186">
        <v>1</v>
      </c>
      <c r="P13" s="186">
        <v>1</v>
      </c>
      <c r="Q13" s="186">
        <v>1</v>
      </c>
      <c r="R13" s="186">
        <v>1</v>
      </c>
      <c r="S13" s="186">
        <v>1</v>
      </c>
      <c r="T13" s="186">
        <v>1</v>
      </c>
      <c r="U13" s="186">
        <v>1</v>
      </c>
      <c r="V13" s="186">
        <v>1</v>
      </c>
      <c r="W13" s="186">
        <v>1</v>
      </c>
      <c r="X13" s="186">
        <v>1</v>
      </c>
      <c r="Y13" s="186">
        <v>1</v>
      </c>
      <c r="Z13" s="186">
        <v>1</v>
      </c>
      <c r="AA13" s="186">
        <v>1</v>
      </c>
      <c r="AB13" s="186">
        <v>1</v>
      </c>
      <c r="AC13" s="186">
        <v>1</v>
      </c>
      <c r="AD13" s="186">
        <v>1</v>
      </c>
      <c r="AE13" s="186">
        <v>1</v>
      </c>
      <c r="AF13" s="186">
        <v>1</v>
      </c>
      <c r="AG13" s="186">
        <v>1</v>
      </c>
      <c r="AH13" s="186">
        <v>1</v>
      </c>
      <c r="AI13" s="186">
        <v>1</v>
      </c>
      <c r="AJ13" s="187">
        <v>1</v>
      </c>
      <c r="AK13" s="136"/>
    </row>
    <row r="14" spans="1:37" ht="30" customHeight="1">
      <c r="A14" s="136"/>
      <c r="B14" s="312"/>
      <c r="C14" s="315"/>
      <c r="D14" s="27" t="s">
        <v>48</v>
      </c>
      <c r="E14" s="186">
        <v>10</v>
      </c>
      <c r="F14" s="186">
        <v>10</v>
      </c>
      <c r="G14" s="186">
        <v>10</v>
      </c>
      <c r="H14" s="186">
        <v>10</v>
      </c>
      <c r="I14" s="186">
        <v>10</v>
      </c>
      <c r="J14" s="186">
        <v>10</v>
      </c>
      <c r="K14" s="186">
        <v>10</v>
      </c>
      <c r="L14" s="186">
        <v>10</v>
      </c>
      <c r="M14" s="186">
        <v>10</v>
      </c>
      <c r="N14" s="186">
        <v>10</v>
      </c>
      <c r="O14" s="186">
        <v>10</v>
      </c>
      <c r="P14" s="186">
        <v>10</v>
      </c>
      <c r="Q14" s="186">
        <v>10</v>
      </c>
      <c r="R14" s="186">
        <v>10</v>
      </c>
      <c r="S14" s="186">
        <v>10</v>
      </c>
      <c r="T14" s="186">
        <v>10</v>
      </c>
      <c r="U14" s="186">
        <v>10</v>
      </c>
      <c r="V14" s="186">
        <v>10</v>
      </c>
      <c r="W14" s="186">
        <v>10</v>
      </c>
      <c r="X14" s="186">
        <v>10</v>
      </c>
      <c r="Y14" s="186">
        <v>10</v>
      </c>
      <c r="Z14" s="186">
        <v>10</v>
      </c>
      <c r="AA14" s="186">
        <v>10</v>
      </c>
      <c r="AB14" s="186">
        <v>10</v>
      </c>
      <c r="AC14" s="186">
        <v>10</v>
      </c>
      <c r="AD14" s="186">
        <v>10</v>
      </c>
      <c r="AE14" s="186">
        <v>10</v>
      </c>
      <c r="AF14" s="186">
        <v>10</v>
      </c>
      <c r="AG14" s="186">
        <v>10</v>
      </c>
      <c r="AH14" s="186">
        <v>10</v>
      </c>
      <c r="AI14" s="186">
        <v>10</v>
      </c>
      <c r="AJ14" s="187">
        <v>10</v>
      </c>
      <c r="AK14" s="136"/>
    </row>
    <row r="15" spans="1:37" ht="30" customHeight="1">
      <c r="A15" s="136"/>
      <c r="B15" s="310" t="s">
        <v>54</v>
      </c>
      <c r="C15" s="313" t="s">
        <v>55</v>
      </c>
      <c r="D15" s="27" t="s">
        <v>56</v>
      </c>
      <c r="E15" s="186">
        <v>8</v>
      </c>
      <c r="F15" s="186">
        <v>8</v>
      </c>
      <c r="G15" s="186">
        <v>8</v>
      </c>
      <c r="H15" s="186">
        <v>8</v>
      </c>
      <c r="I15" s="186">
        <v>8</v>
      </c>
      <c r="J15" s="186">
        <v>8</v>
      </c>
      <c r="K15" s="186">
        <v>8</v>
      </c>
      <c r="L15" s="186">
        <v>8</v>
      </c>
      <c r="M15" s="186">
        <v>8</v>
      </c>
      <c r="N15" s="186">
        <v>8</v>
      </c>
      <c r="O15" s="186">
        <v>8</v>
      </c>
      <c r="P15" s="186">
        <v>8</v>
      </c>
      <c r="Q15" s="186">
        <v>8</v>
      </c>
      <c r="R15" s="186">
        <v>8</v>
      </c>
      <c r="S15" s="186">
        <v>8</v>
      </c>
      <c r="T15" s="186">
        <v>8</v>
      </c>
      <c r="U15" s="186">
        <v>8</v>
      </c>
      <c r="V15" s="186">
        <v>8</v>
      </c>
      <c r="W15" s="186">
        <v>8</v>
      </c>
      <c r="X15" s="186">
        <v>8</v>
      </c>
      <c r="Y15" s="186">
        <v>8</v>
      </c>
      <c r="Z15" s="186">
        <v>8</v>
      </c>
      <c r="AA15" s="186">
        <v>8</v>
      </c>
      <c r="AB15" s="186">
        <v>8</v>
      </c>
      <c r="AC15" s="186">
        <v>8</v>
      </c>
      <c r="AD15" s="186">
        <v>8</v>
      </c>
      <c r="AE15" s="186">
        <v>8</v>
      </c>
      <c r="AF15" s="186">
        <v>8</v>
      </c>
      <c r="AG15" s="186">
        <v>8</v>
      </c>
      <c r="AH15" s="186">
        <v>8</v>
      </c>
      <c r="AI15" s="186">
        <v>8</v>
      </c>
      <c r="AJ15" s="187">
        <v>8</v>
      </c>
      <c r="AK15" s="136"/>
    </row>
    <row r="16" spans="1:37" ht="37.5" customHeight="1" thickBot="1">
      <c r="A16" s="136"/>
      <c r="B16" s="316"/>
      <c r="C16" s="317"/>
      <c r="D16" s="27" t="s">
        <v>57</v>
      </c>
      <c r="E16" s="186">
        <v>10</v>
      </c>
      <c r="F16" s="186">
        <v>10</v>
      </c>
      <c r="G16" s="186">
        <v>10</v>
      </c>
      <c r="H16" s="186">
        <v>10</v>
      </c>
      <c r="I16" s="186">
        <v>10</v>
      </c>
      <c r="J16" s="186">
        <v>10</v>
      </c>
      <c r="K16" s="186">
        <v>10</v>
      </c>
      <c r="L16" s="186">
        <v>10</v>
      </c>
      <c r="M16" s="186">
        <v>10</v>
      </c>
      <c r="N16" s="186">
        <v>10</v>
      </c>
      <c r="O16" s="186">
        <v>10</v>
      </c>
      <c r="P16" s="186">
        <v>10</v>
      </c>
      <c r="Q16" s="186">
        <v>10</v>
      </c>
      <c r="R16" s="186">
        <v>10</v>
      </c>
      <c r="S16" s="186">
        <v>10</v>
      </c>
      <c r="T16" s="186">
        <v>10</v>
      </c>
      <c r="U16" s="186">
        <v>10</v>
      </c>
      <c r="V16" s="186">
        <v>10</v>
      </c>
      <c r="W16" s="186">
        <v>10</v>
      </c>
      <c r="X16" s="186">
        <v>10</v>
      </c>
      <c r="Y16" s="186">
        <v>10</v>
      </c>
      <c r="Z16" s="186">
        <v>10</v>
      </c>
      <c r="AA16" s="186">
        <v>10</v>
      </c>
      <c r="AB16" s="186">
        <v>10</v>
      </c>
      <c r="AC16" s="186">
        <v>10</v>
      </c>
      <c r="AD16" s="186">
        <v>10</v>
      </c>
      <c r="AE16" s="186">
        <v>10</v>
      </c>
      <c r="AF16" s="186">
        <v>10</v>
      </c>
      <c r="AG16" s="186">
        <v>10</v>
      </c>
      <c r="AH16" s="186">
        <v>10</v>
      </c>
      <c r="AI16" s="186">
        <v>10</v>
      </c>
      <c r="AJ16" s="187">
        <v>10</v>
      </c>
      <c r="AK16" s="136"/>
    </row>
    <row r="17" spans="1:37" ht="30" customHeight="1" thickBot="1">
      <c r="A17" s="136"/>
      <c r="B17" s="318" t="s">
        <v>58</v>
      </c>
      <c r="C17" s="319"/>
      <c r="D17" s="320"/>
      <c r="E17" s="78">
        <f>IFERROR((E10/E11)*(E12*E13/E14)*(E15/E16),"")</f>
        <v>0.8</v>
      </c>
      <c r="F17" s="78">
        <f t="shared" ref="F17:X17" si="0">IFERROR((F10/F11)*(F12*F13/F14)*(F15/F16),"")</f>
        <v>0.8</v>
      </c>
      <c r="G17" s="78">
        <f t="shared" si="0"/>
        <v>0.8</v>
      </c>
      <c r="H17" s="78">
        <f t="shared" si="0"/>
        <v>0.8</v>
      </c>
      <c r="I17" s="78">
        <f t="shared" si="0"/>
        <v>0.8</v>
      </c>
      <c r="J17" s="78">
        <f t="shared" si="0"/>
        <v>0.8</v>
      </c>
      <c r="K17" s="78">
        <f t="shared" si="0"/>
        <v>0.8</v>
      </c>
      <c r="L17" s="78">
        <f t="shared" si="0"/>
        <v>0.8</v>
      </c>
      <c r="M17" s="78">
        <f t="shared" si="0"/>
        <v>0.8</v>
      </c>
      <c r="N17" s="78">
        <f t="shared" si="0"/>
        <v>0.8</v>
      </c>
      <c r="O17" s="78">
        <f t="shared" si="0"/>
        <v>0.8</v>
      </c>
      <c r="P17" s="78">
        <f t="shared" si="0"/>
        <v>0.8</v>
      </c>
      <c r="Q17" s="78">
        <f t="shared" si="0"/>
        <v>0.8</v>
      </c>
      <c r="R17" s="78">
        <f t="shared" si="0"/>
        <v>0.8</v>
      </c>
      <c r="S17" s="78">
        <f t="shared" si="0"/>
        <v>0.8</v>
      </c>
      <c r="T17" s="78">
        <f t="shared" si="0"/>
        <v>0.8</v>
      </c>
      <c r="U17" s="78">
        <f t="shared" si="0"/>
        <v>0.8</v>
      </c>
      <c r="V17" s="78">
        <f t="shared" si="0"/>
        <v>0.8</v>
      </c>
      <c r="W17" s="78">
        <f t="shared" si="0"/>
        <v>0.8</v>
      </c>
      <c r="X17" s="78">
        <f t="shared" si="0"/>
        <v>0.8</v>
      </c>
      <c r="Y17" s="78">
        <f t="shared" ref="Y17:AF17" si="1">IFERROR((Y10/Y11)*(Y12*Y13/Y14)*(Y15/Y16),"")</f>
        <v>0.8</v>
      </c>
      <c r="Z17" s="78">
        <f t="shared" si="1"/>
        <v>0.8</v>
      </c>
      <c r="AA17" s="78">
        <f t="shared" si="1"/>
        <v>0.8</v>
      </c>
      <c r="AB17" s="78">
        <f t="shared" si="1"/>
        <v>0.8</v>
      </c>
      <c r="AC17" s="78">
        <f t="shared" si="1"/>
        <v>0.8</v>
      </c>
      <c r="AD17" s="78">
        <f t="shared" si="1"/>
        <v>0.8</v>
      </c>
      <c r="AE17" s="78">
        <f t="shared" si="1"/>
        <v>0.8</v>
      </c>
      <c r="AF17" s="78">
        <f t="shared" si="1"/>
        <v>0.8</v>
      </c>
      <c r="AG17" s="78">
        <f t="shared" ref="AG17:AJ17" si="2">IFERROR((AG10/AG11)*(AG12*AG13/AG14)*(AG15/AG16),"")</f>
        <v>0.8</v>
      </c>
      <c r="AH17" s="78">
        <f t="shared" si="2"/>
        <v>0.8</v>
      </c>
      <c r="AI17" s="78">
        <f t="shared" si="2"/>
        <v>0.8</v>
      </c>
      <c r="AJ17" s="78">
        <f t="shared" si="2"/>
        <v>0.8</v>
      </c>
      <c r="AK17" s="136"/>
    </row>
    <row r="18" spans="1:37" ht="30" customHeight="1" thickBot="1">
      <c r="A18" s="136"/>
      <c r="B18" s="318" t="s">
        <v>59</v>
      </c>
      <c r="C18" s="319"/>
      <c r="D18" s="320"/>
      <c r="E18" s="79">
        <f>IFERROR(176*E17,176)</f>
        <v>140.80000000000001</v>
      </c>
      <c r="F18" s="79">
        <f t="shared" ref="F18:AJ18" si="3">IFERROR(176*F17,176)</f>
        <v>140.80000000000001</v>
      </c>
      <c r="G18" s="79">
        <f t="shared" si="3"/>
        <v>140.80000000000001</v>
      </c>
      <c r="H18" s="79">
        <f t="shared" si="3"/>
        <v>140.80000000000001</v>
      </c>
      <c r="I18" s="79">
        <f t="shared" si="3"/>
        <v>140.80000000000001</v>
      </c>
      <c r="J18" s="79">
        <f t="shared" si="3"/>
        <v>140.80000000000001</v>
      </c>
      <c r="K18" s="79">
        <f t="shared" si="3"/>
        <v>140.80000000000001</v>
      </c>
      <c r="L18" s="79">
        <f t="shared" si="3"/>
        <v>140.80000000000001</v>
      </c>
      <c r="M18" s="79">
        <f t="shared" si="3"/>
        <v>140.80000000000001</v>
      </c>
      <c r="N18" s="79">
        <f t="shared" si="3"/>
        <v>140.80000000000001</v>
      </c>
      <c r="O18" s="79">
        <f t="shared" si="3"/>
        <v>140.80000000000001</v>
      </c>
      <c r="P18" s="79">
        <f t="shared" si="3"/>
        <v>140.80000000000001</v>
      </c>
      <c r="Q18" s="79">
        <f t="shared" si="3"/>
        <v>140.80000000000001</v>
      </c>
      <c r="R18" s="79">
        <f t="shared" si="3"/>
        <v>140.80000000000001</v>
      </c>
      <c r="S18" s="79">
        <f t="shared" si="3"/>
        <v>140.80000000000001</v>
      </c>
      <c r="T18" s="79">
        <f t="shared" si="3"/>
        <v>140.80000000000001</v>
      </c>
      <c r="U18" s="79">
        <f t="shared" si="3"/>
        <v>140.80000000000001</v>
      </c>
      <c r="V18" s="79">
        <f t="shared" si="3"/>
        <v>140.80000000000001</v>
      </c>
      <c r="W18" s="79">
        <f t="shared" si="3"/>
        <v>140.80000000000001</v>
      </c>
      <c r="X18" s="79">
        <f t="shared" si="3"/>
        <v>140.80000000000001</v>
      </c>
      <c r="Y18" s="79">
        <f t="shared" si="3"/>
        <v>140.80000000000001</v>
      </c>
      <c r="Z18" s="79">
        <f t="shared" si="3"/>
        <v>140.80000000000001</v>
      </c>
      <c r="AA18" s="79">
        <f t="shared" si="3"/>
        <v>140.80000000000001</v>
      </c>
      <c r="AB18" s="79">
        <f t="shared" si="3"/>
        <v>140.80000000000001</v>
      </c>
      <c r="AC18" s="79">
        <f t="shared" si="3"/>
        <v>140.80000000000001</v>
      </c>
      <c r="AD18" s="79">
        <f t="shared" si="3"/>
        <v>140.80000000000001</v>
      </c>
      <c r="AE18" s="79">
        <f t="shared" si="3"/>
        <v>140.80000000000001</v>
      </c>
      <c r="AF18" s="79">
        <f t="shared" si="3"/>
        <v>140.80000000000001</v>
      </c>
      <c r="AG18" s="79">
        <f t="shared" si="3"/>
        <v>140.80000000000001</v>
      </c>
      <c r="AH18" s="79">
        <f t="shared" si="3"/>
        <v>140.80000000000001</v>
      </c>
      <c r="AI18" s="79">
        <f t="shared" si="3"/>
        <v>140.80000000000001</v>
      </c>
      <c r="AJ18" s="79">
        <f t="shared" si="3"/>
        <v>140.80000000000001</v>
      </c>
      <c r="AK18" s="136"/>
    </row>
    <row r="19" spans="1:37" ht="30" customHeight="1">
      <c r="A19" s="136"/>
      <c r="B19" s="146"/>
      <c r="C19" s="147"/>
      <c r="D19" s="147"/>
      <c r="E19" s="329"/>
      <c r="F19" s="329"/>
      <c r="G19" s="30"/>
      <c r="H19" s="30"/>
      <c r="I19" s="30"/>
      <c r="J19" s="30"/>
      <c r="K19" s="30"/>
      <c r="L19" s="30"/>
      <c r="M19" s="149"/>
      <c r="N19" s="149"/>
      <c r="O19" s="149"/>
      <c r="P19" s="149"/>
      <c r="Q19" s="149"/>
      <c r="R19" s="149"/>
      <c r="S19" s="149"/>
      <c r="T19" s="149"/>
      <c r="U19" s="149"/>
      <c r="V19" s="149"/>
      <c r="W19" s="149"/>
      <c r="X19" s="149"/>
      <c r="Y19" s="149"/>
      <c r="Z19" s="149"/>
      <c r="AA19" s="149"/>
      <c r="AB19" s="149"/>
      <c r="AC19" s="149"/>
      <c r="AD19" s="149"/>
      <c r="AE19" s="149"/>
      <c r="AF19" s="149"/>
      <c r="AG19" s="149"/>
      <c r="AH19" s="149"/>
      <c r="AI19" s="149"/>
      <c r="AJ19" s="145"/>
      <c r="AK19" s="136"/>
    </row>
    <row r="20" spans="1:37" ht="30" customHeight="1">
      <c r="A20" s="136"/>
      <c r="B20" s="153" t="s">
        <v>39</v>
      </c>
      <c r="C20" s="330"/>
      <c r="D20" s="330"/>
      <c r="E20" s="136"/>
      <c r="F20" s="154" t="s">
        <v>23</v>
      </c>
      <c r="G20" s="322"/>
      <c r="H20" s="322"/>
      <c r="I20" s="322"/>
      <c r="J20" s="322"/>
      <c r="K20" s="149"/>
      <c r="L20" s="149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78"/>
      <c r="AK20" s="136"/>
    </row>
    <row r="21" spans="1:37" ht="30" customHeight="1" thickBot="1">
      <c r="A21" s="136"/>
      <c r="B21" s="155"/>
      <c r="C21" s="217"/>
      <c r="D21" s="156"/>
      <c r="E21" s="156"/>
      <c r="F21" s="156"/>
      <c r="G21" s="309"/>
      <c r="H21" s="309"/>
      <c r="I21" s="156"/>
      <c r="J21" s="156"/>
      <c r="K21" s="156"/>
      <c r="L21" s="156"/>
      <c r="M21" s="157"/>
      <c r="N21" s="157"/>
      <c r="O21" s="157"/>
      <c r="P21" s="157"/>
      <c r="Q21" s="157"/>
      <c r="R21" s="157"/>
      <c r="S21" s="157"/>
      <c r="T21" s="157"/>
      <c r="U21" s="157"/>
      <c r="V21" s="157"/>
      <c r="W21" s="157"/>
      <c r="X21" s="157"/>
      <c r="Y21" s="157"/>
      <c r="Z21" s="157"/>
      <c r="AA21" s="157"/>
      <c r="AB21" s="157"/>
      <c r="AC21" s="157"/>
      <c r="AD21" s="157"/>
      <c r="AE21" s="157"/>
      <c r="AF21" s="157"/>
      <c r="AG21" s="157"/>
      <c r="AH21" s="157"/>
      <c r="AI21" s="157"/>
      <c r="AJ21" s="179"/>
      <c r="AK21" s="136"/>
    </row>
    <row r="22" spans="1:37" ht="30" customHeight="1">
      <c r="A22" s="136"/>
      <c r="B22" s="180"/>
      <c r="C22" s="180"/>
      <c r="D22" s="180"/>
      <c r="E22" s="181"/>
      <c r="F22" s="181"/>
      <c r="G22" s="181"/>
      <c r="H22" s="181"/>
      <c r="I22" s="181"/>
      <c r="J22" s="181"/>
      <c r="K22" s="181"/>
      <c r="L22" s="181"/>
      <c r="M22" s="181"/>
      <c r="N22" s="181"/>
      <c r="O22" s="181"/>
      <c r="P22" s="181"/>
      <c r="Q22" s="181"/>
      <c r="R22" s="181"/>
      <c r="S22" s="181"/>
      <c r="T22" s="181"/>
      <c r="U22" s="181"/>
      <c r="V22" s="181"/>
      <c r="W22" s="181"/>
      <c r="X22" s="181"/>
      <c r="Y22" s="181"/>
      <c r="Z22" s="181"/>
      <c r="AA22" s="181"/>
      <c r="AB22" s="181"/>
      <c r="AC22" s="181"/>
      <c r="AD22" s="181"/>
      <c r="AE22" s="181"/>
      <c r="AF22" s="181"/>
      <c r="AG22" s="181"/>
      <c r="AH22" s="181"/>
      <c r="AI22" s="181"/>
      <c r="AJ22" s="182"/>
      <c r="AK22" s="136"/>
    </row>
    <row r="23" spans="1:37" ht="30" customHeight="1">
      <c r="B23" s="40"/>
      <c r="C23" s="77"/>
    </row>
    <row r="24" spans="1:37" ht="30" customHeight="1">
      <c r="B24" s="40"/>
      <c r="C24" s="77"/>
    </row>
    <row r="25" spans="1:37" ht="30" customHeight="1">
      <c r="B25" s="40"/>
      <c r="C25" s="40"/>
      <c r="D25" s="40"/>
    </row>
    <row r="26" spans="1:37" ht="30" customHeight="1">
      <c r="B26" s="40"/>
      <c r="C26" s="40"/>
      <c r="D26" s="40"/>
    </row>
    <row r="27" spans="1:37" ht="30" customHeight="1">
      <c r="B27" s="40"/>
      <c r="C27" s="40"/>
      <c r="D27" s="40"/>
    </row>
    <row r="28" spans="1:37" ht="30" customHeight="1">
      <c r="B28" s="40"/>
      <c r="C28" s="40"/>
      <c r="D28" s="40"/>
    </row>
    <row r="29" spans="1:37" ht="30" customHeight="1">
      <c r="B29" s="40"/>
      <c r="C29" s="40"/>
      <c r="D29" s="40"/>
    </row>
    <row r="30" spans="1:37" ht="30" customHeight="1">
      <c r="B30" s="40"/>
      <c r="C30" s="40"/>
      <c r="D30" s="40"/>
    </row>
    <row r="33" spans="4:4" ht="30" customHeight="1">
      <c r="D33" s="44"/>
    </row>
    <row r="49" ht="15"/>
  </sheetData>
  <sheetProtection selectLockedCells="1"/>
  <mergeCells count="19">
    <mergeCell ref="E3:F3"/>
    <mergeCell ref="G20:J20"/>
    <mergeCell ref="E5:F5"/>
    <mergeCell ref="E6:F6"/>
    <mergeCell ref="B8:B9"/>
    <mergeCell ref="C8:C9"/>
    <mergeCell ref="D8:D9"/>
    <mergeCell ref="E8:AJ8"/>
    <mergeCell ref="B10:B11"/>
    <mergeCell ref="C10:C11"/>
    <mergeCell ref="E19:F19"/>
    <mergeCell ref="C20:D20"/>
    <mergeCell ref="G21:H21"/>
    <mergeCell ref="B12:B14"/>
    <mergeCell ref="C12:C14"/>
    <mergeCell ref="B15:B16"/>
    <mergeCell ref="C15:C16"/>
    <mergeCell ref="B17:D17"/>
    <mergeCell ref="B18:D18"/>
  </mergeCells>
  <dataValidations count="2">
    <dataValidation allowBlank="1" showInputMessage="1" showErrorMessage="1" prompt="Escriba comentarios en las celdas de la derecha." sqref="D33"/>
    <dataValidation allowBlank="1" showInputMessage="1" showErrorMessage="1" prompt="Escriba el departamento del empleado en la celda de la derecha." sqref="B29:D30"/>
  </dataValidations>
  <printOptions horizontalCentered="1" verticalCentered="1"/>
  <pageMargins left="0.4" right="0.4" top="0.4" bottom="0.4" header="0.3" footer="0.3"/>
  <pageSetup paperSize="9" scale="23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504825</xdr:colOff>
                    <xdr:row>18</xdr:row>
                    <xdr:rowOff>342900</xdr:rowOff>
                  </from>
                  <to>
                    <xdr:col>1</xdr:col>
                    <xdr:colOff>1743075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2060"/>
    <pageSetUpPr autoPageBreaks="0" fitToPage="1"/>
  </sheetPr>
  <dimension ref="B1:AW100"/>
  <sheetViews>
    <sheetView showGridLines="0" zoomScale="80" zoomScaleNormal="80" zoomScaleSheetLayoutView="50" workbookViewId="0">
      <selection activeCell="G12" sqref="G12"/>
    </sheetView>
  </sheetViews>
  <sheetFormatPr baseColWidth="10" defaultColWidth="9.140625" defaultRowHeight="30" customHeight="1"/>
  <cols>
    <col min="1" max="1" width="2.7109375" customWidth="1"/>
    <col min="2" max="2" width="31.5703125" customWidth="1"/>
    <col min="3" max="3" width="33.5703125" customWidth="1"/>
    <col min="4" max="4" width="59.42578125" hidden="1" customWidth="1"/>
    <col min="5" max="5" width="23.7109375" customWidth="1"/>
    <col min="6" max="6" width="15.42578125" customWidth="1"/>
    <col min="7" max="7" width="18.140625" customWidth="1"/>
    <col min="8" max="8" width="16.85546875" customWidth="1"/>
    <col min="9" max="9" width="14.140625" bestFit="1" customWidth="1"/>
    <col min="10" max="10" width="24.42578125" customWidth="1"/>
    <col min="11" max="11" width="23.7109375" customWidth="1"/>
    <col min="12" max="12" width="22" customWidth="1"/>
    <col min="13" max="13" width="21.140625" customWidth="1"/>
    <col min="14" max="14" width="27.140625" customWidth="1"/>
    <col min="15" max="15" width="32.5703125" customWidth="1"/>
    <col min="16" max="16" width="25" customWidth="1"/>
    <col min="17" max="17" width="28.5703125" customWidth="1"/>
    <col min="18" max="18" width="27.7109375" customWidth="1"/>
    <col min="19" max="19" width="14.42578125" customWidth="1"/>
    <col min="20" max="34" width="18.28515625" customWidth="1"/>
    <col min="35" max="35" width="22" customWidth="1"/>
    <col min="36" max="38" width="18.28515625" customWidth="1"/>
    <col min="39" max="39" width="18.85546875" bestFit="1" customWidth="1"/>
    <col min="40" max="40" width="24.85546875" customWidth="1"/>
    <col min="41" max="41" width="27.28515625" customWidth="1"/>
    <col min="42" max="42" width="26.28515625" customWidth="1"/>
    <col min="43" max="43" width="24.85546875" customWidth="1"/>
    <col min="44" max="44" width="25.7109375" customWidth="1"/>
    <col min="45" max="45" width="2.7109375" customWidth="1"/>
    <col min="46" max="46" width="3" customWidth="1"/>
    <col min="47" max="47" width="21.5703125" customWidth="1"/>
    <col min="48" max="49" width="30.28515625" hidden="1" customWidth="1"/>
    <col min="50" max="50" width="22.5703125" customWidth="1"/>
    <col min="51" max="51" width="12.85546875" customWidth="1"/>
    <col min="52" max="52" width="17.42578125" customWidth="1"/>
    <col min="53" max="53" width="13.140625" customWidth="1"/>
    <col min="54" max="54" width="29.85546875" customWidth="1"/>
  </cols>
  <sheetData>
    <row r="1" spans="2:49" ht="12" customHeight="1" thickBot="1"/>
    <row r="2" spans="2:49" ht="30" customHeight="1">
      <c r="B2" s="1" t="s">
        <v>0</v>
      </c>
      <c r="C2" s="2"/>
      <c r="D2" s="3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5"/>
    </row>
    <row r="3" spans="2:49" ht="30" customHeight="1">
      <c r="B3" s="6" t="s">
        <v>1</v>
      </c>
      <c r="C3" s="7" t="s">
        <v>2</v>
      </c>
      <c r="E3" s="8" t="s">
        <v>3</v>
      </c>
      <c r="F3" s="321">
        <f ca="1">TODAY()</f>
        <v>46020</v>
      </c>
      <c r="G3" s="321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10"/>
      <c r="AS3" s="11"/>
    </row>
    <row r="4" spans="2:49" ht="30" customHeight="1">
      <c r="B4" s="12" t="s">
        <v>4</v>
      </c>
      <c r="C4" s="13"/>
      <c r="E4" s="14"/>
      <c r="F4" s="14"/>
      <c r="G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5"/>
    </row>
    <row r="5" spans="2:49" ht="30" customHeight="1">
      <c r="B5" s="16" t="s">
        <v>5</v>
      </c>
      <c r="C5" s="161" t="s">
        <v>111</v>
      </c>
      <c r="E5" s="17" t="s">
        <v>6</v>
      </c>
      <c r="F5" s="337" t="s">
        <v>113</v>
      </c>
      <c r="G5" s="337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8"/>
    </row>
    <row r="6" spans="2:49" ht="30" customHeight="1">
      <c r="B6" s="16" t="s">
        <v>7</v>
      </c>
      <c r="C6" s="161" t="s">
        <v>112</v>
      </c>
      <c r="E6" s="17" t="s">
        <v>62</v>
      </c>
      <c r="F6" s="338" t="s">
        <v>114</v>
      </c>
      <c r="G6" s="338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8"/>
    </row>
    <row r="7" spans="2:49" ht="30" customHeight="1" thickBot="1">
      <c r="B7" s="19"/>
      <c r="C7" s="20"/>
      <c r="D7" s="20"/>
      <c r="E7" s="21"/>
      <c r="F7" s="21"/>
      <c r="G7" s="22"/>
      <c r="H7" s="22"/>
      <c r="I7" s="22"/>
      <c r="J7" s="22"/>
      <c r="K7" s="22"/>
      <c r="L7" s="22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18"/>
    </row>
    <row r="8" spans="2:49" ht="30" customHeight="1" thickBot="1">
      <c r="B8" s="324" t="s">
        <v>8</v>
      </c>
      <c r="C8" s="325" t="s">
        <v>9</v>
      </c>
      <c r="D8" s="331" t="s">
        <v>31</v>
      </c>
      <c r="E8" s="324" t="s">
        <v>10</v>
      </c>
      <c r="F8" s="324"/>
      <c r="G8" s="324"/>
      <c r="H8" s="324"/>
      <c r="I8" s="324"/>
      <c r="J8" s="324"/>
      <c r="K8" s="324"/>
      <c r="L8" s="324"/>
      <c r="M8" s="324"/>
      <c r="N8" s="324"/>
      <c r="O8" s="324"/>
      <c r="P8" s="324"/>
      <c r="Q8" s="324"/>
      <c r="R8" s="324"/>
      <c r="S8" s="324"/>
      <c r="T8" s="324"/>
      <c r="U8" s="324"/>
      <c r="V8" s="324"/>
      <c r="W8" s="324"/>
      <c r="X8" s="324"/>
      <c r="Y8" s="324"/>
      <c r="Z8" s="324"/>
      <c r="AA8" s="324"/>
      <c r="AB8" s="324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M8" s="324"/>
      <c r="AN8" s="324"/>
      <c r="AO8" s="324"/>
      <c r="AP8" s="324"/>
      <c r="AQ8" s="324"/>
      <c r="AR8" s="324"/>
    </row>
    <row r="9" spans="2:49" ht="30" customHeight="1" thickBot="1">
      <c r="B9" s="325"/>
      <c r="C9" s="326"/>
      <c r="D9" s="332"/>
      <c r="E9" s="46" t="str">
        <f>'ENGRASADORA MANUAL'!C3</f>
        <v>ENGRASADORA MANUAL</v>
      </c>
      <c r="F9" s="46" t="str">
        <f>'PRENSA QY-10-1'!C3</f>
        <v>PRENSA QY-10-1</v>
      </c>
      <c r="G9" s="46" t="str">
        <f>'PRENSA QY-10-2'!C3</f>
        <v>PRENSA QY-10-2</v>
      </c>
      <c r="H9" s="46" t="str">
        <f>'PRENSA QY-10-3'!C3</f>
        <v>PRENSA QY-10-3</v>
      </c>
      <c r="I9" s="46" t="str">
        <f>'LAVADORA 0448'!C3</f>
        <v>LAVADORA 0448</v>
      </c>
      <c r="J9" s="46" t="str">
        <f>'TB-SCAMRIVT-40120 CONICO 518'!C3</f>
        <v>TB-SCAMRIVT-40120 CONICO 518</v>
      </c>
      <c r="K9" s="46" t="str">
        <f>'TE-SCAMRIVT-2060 CONICO 30207'!C3</f>
        <v>TE-SCAMRIVT-2060 CONICO 30207</v>
      </c>
      <c r="L9" s="46" t="str">
        <f>'HERMANADORA MANUAL IM247'!C3</f>
        <v>HERMANADORA MANUAL IM247</v>
      </c>
      <c r="M9" s="46" t="str">
        <f>'HER. AUT MS03 DP 02HTQJ2'!C3</f>
        <v>HER. AUT MS03 DP 02HTQJ2</v>
      </c>
      <c r="N9" s="46" t="str">
        <f>'HER. AUT JAULA-MS03 BCJL02A'!C3</f>
        <v>HER. AUT JAULA MS03 BCJL02A</v>
      </c>
      <c r="O9" s="46" t="str">
        <f>'ENGRASADORA MS03 0510-5120051'!C3</f>
        <v>ENGRASADORA MS03 0510-5120051</v>
      </c>
      <c r="P9" s="46" t="str">
        <f>'HER. AUT MS04 DP 03TQJ3'!C3</f>
        <v>HER. AUT MS04 DP 03TQJ3</v>
      </c>
      <c r="Q9" s="46" t="str">
        <f>'HER. AUT JAULA-MS04 BCJL02A'!C3</f>
        <v>HER. AUT JAULA MS04 BCJL02A</v>
      </c>
      <c r="R9" s="46" t="str">
        <f>'ENGRASADORA AUTOM MS04 ZYJ3H '!C3</f>
        <v>ENGRASADORA AUTOMATICA MS04 ZYJ3H</v>
      </c>
      <c r="S9" s="46" t="str">
        <f>'LASER CHICO 30'!C3</f>
        <v>LASER CHICO 30</v>
      </c>
      <c r="T9" s="46" t="str">
        <f>'LASER GRANDE 50'!C3</f>
        <v>LASER GRANDE 50</v>
      </c>
      <c r="U9" s="46" t="str">
        <f>'PRENSA QY-16'!C3</f>
        <v>PRENSA QY-16</v>
      </c>
      <c r="V9" s="46" t="str">
        <f>'LAVADORA QXC-1-2 MS03'!C3</f>
        <v>LAVADORA QXC-1-2 MS03</v>
      </c>
      <c r="W9" s="46" t="str">
        <f>'LAVADORA QXC-1 MS04'!C3</f>
        <v>LAVADORA QXC-1 MS04</v>
      </c>
      <c r="X9" s="46" t="str">
        <f>'ANDEROMETRO IM-250'!C3</f>
        <v>ANDEROMETRO IM-250</v>
      </c>
      <c r="Y9" s="46" t="str">
        <f>'ANDEROMETRO IM251'!C3</f>
        <v>ANDEROMETRO IM251</v>
      </c>
      <c r="Z9" s="46" t="str">
        <f>'HERMANADORA AUT MS05 LHT90'!C3</f>
        <v>HERMANADORA AUT MS05 LHT90</v>
      </c>
      <c r="AA9" s="46" t="str">
        <f>'HER. AUT JAULA MS05 BCJT03'!C3</f>
        <v>HER. AUT JAULA MS05 BCJT03</v>
      </c>
      <c r="AB9" s="46" t="str">
        <f>'PD52 POACHER'!C3</f>
        <v>PD52 POACHER</v>
      </c>
      <c r="AC9" s="46" t="str">
        <f>'RADIAL X095B'!C3</f>
        <v>RADIAL X095B</v>
      </c>
      <c r="AD9" s="46" t="str">
        <f>'LAVADO MANUAL PMT25-36'!C3</f>
        <v>LAVADO MANUAL PMT25-36</v>
      </c>
      <c r="AE9" s="46" t="str">
        <f>'HERMANADORA MANUAL IM248'!C3</f>
        <v>HERMANADORA MANUAL IM248</v>
      </c>
      <c r="AF9" s="46" t="str">
        <f>'RADIAL X095A'!C3</f>
        <v>RADIAL X095A</v>
      </c>
      <c r="AG9" s="46" t="str">
        <f>'DESIMANTADOR NS-400-B1'!C3</f>
        <v>DESIMANTADOR NS-400-B1</v>
      </c>
      <c r="AH9" s="46" t="str">
        <f>'LAVADORA GRANDE PMD-SJ'!C3</f>
        <v>LAVADORA GRANDE PMD-SJ</v>
      </c>
      <c r="AI9" s="46"/>
      <c r="AJ9" s="46"/>
      <c r="AK9" s="46"/>
      <c r="AL9" s="46"/>
      <c r="AM9" s="46"/>
      <c r="AN9" s="46"/>
      <c r="AO9" s="46"/>
      <c r="AP9" s="46"/>
      <c r="AQ9" s="45"/>
      <c r="AR9" s="45"/>
      <c r="AV9" s="46" t="s">
        <v>29</v>
      </c>
      <c r="AW9" s="46" t="s">
        <v>30</v>
      </c>
    </row>
    <row r="10" spans="2:49" ht="30" customHeight="1">
      <c r="B10" s="59" t="s">
        <v>37</v>
      </c>
      <c r="C10" s="24" t="s">
        <v>11</v>
      </c>
      <c r="D10" s="71">
        <f>IFERROR(
(
  INDEX([3]Personal!$L$9:$L$58,
         MATCH(B10,[3]Personal!$C$9:$C$58,0))
  *
  (
    (INDEX([3]Personal!$D$9:$D$58,
            MATCH(B10,[3]Personal!$C$9:$C$58,0))="Ensamble")
      *
      INDEX([3]Personal!$E$9:$E$58,
             MATCH(B10,[3]Personal!$C$9:$C$58,0))
    +
    (INDEX([3]Personal!$F$9:$F$58,
            MATCH(B10,[3]Personal!$C$9:$C$58,0))="Ensamble")
      *
      INDEX([3]Personal!$G$9:$G$58,
             MATCH(B10,[3]Personal!$C$9:$C$58,0))
    +
    (INDEX([3]Personal!$H$9:$H$58,
            MATCH(B10,[3]Personal!$C$9:$C$58,0))="Ensamble")
      *
      INDEX([3]Personal!$I$9:$I$58,
             MATCH(B10,[3]Personal!$C$9:$C$58,0))
    +
    (INDEX([3]Personal!$J$9:$J$58,
            MATCH(B10,[3]Personal!$C$9:$C$58,0))="Ensamble")
      *
      INDEX([3]Personal!$K$9:$K$58,
             MATCH(B10,[3]Personal!$C$9:$C$58,0))
  )
)
/
[3]Personal!$K$3, "")</f>
        <v>560.22297212543549</v>
      </c>
      <c r="E10" s="61" t="s">
        <v>14</v>
      </c>
      <c r="F10" s="61" t="s">
        <v>32</v>
      </c>
      <c r="G10" s="61" t="s">
        <v>36</v>
      </c>
      <c r="H10" s="61" t="s">
        <v>36</v>
      </c>
      <c r="I10" s="61" t="s">
        <v>36</v>
      </c>
      <c r="J10" s="61" t="s">
        <v>36</v>
      </c>
      <c r="K10" s="61" t="s">
        <v>36</v>
      </c>
      <c r="L10" s="61" t="s">
        <v>36</v>
      </c>
      <c r="M10" s="61" t="s">
        <v>36</v>
      </c>
      <c r="N10" s="61" t="s">
        <v>36</v>
      </c>
      <c r="O10" s="61" t="s">
        <v>36</v>
      </c>
      <c r="P10" s="61" t="s">
        <v>36</v>
      </c>
      <c r="Q10" s="61" t="s">
        <v>36</v>
      </c>
      <c r="R10" s="61" t="s">
        <v>36</v>
      </c>
      <c r="S10" s="61" t="s">
        <v>36</v>
      </c>
      <c r="T10" s="61" t="s">
        <v>36</v>
      </c>
      <c r="U10" s="61" t="s">
        <v>134</v>
      </c>
      <c r="V10" s="61"/>
      <c r="W10" s="61"/>
      <c r="X10" s="61"/>
      <c r="Y10" s="61"/>
      <c r="Z10" s="61" t="s">
        <v>36</v>
      </c>
      <c r="AA10" s="61" t="s">
        <v>36</v>
      </c>
      <c r="AB10" s="61" t="s">
        <v>36</v>
      </c>
      <c r="AC10" s="61" t="s">
        <v>36</v>
      </c>
      <c r="AD10" s="61" t="s">
        <v>36</v>
      </c>
      <c r="AE10" s="61"/>
      <c r="AF10" s="61"/>
      <c r="AG10" s="61"/>
      <c r="AH10" s="61"/>
      <c r="AI10" s="61"/>
      <c r="AJ10" s="61"/>
      <c r="AK10" s="61"/>
      <c r="AL10" s="61"/>
      <c r="AM10" s="61"/>
      <c r="AN10" s="28"/>
      <c r="AO10" s="61"/>
      <c r="AP10" s="61"/>
      <c r="AQ10" s="61"/>
      <c r="AR10" s="62"/>
      <c r="AV10" t="str">
        <f>IF(OR([3]Personal!D9="Ensamble",[3]Personal!F9="Ensamble",[3]Personal!H9="Ensamble",[3]Personal!J9="Ensamble"),[3]Personal!$C9,"")</f>
        <v/>
      </c>
      <c r="AW10" t="str">
        <f t="array" ref="AW10">IFERROR(INDEX($AV$10:$AV$100, SMALL(IF($AV$10:$AV$100&lt;&gt;"", ROW($AV$10:$AV$100)-ROW($AV$10)+1), ROW(1:1))), "")</f>
        <v>Guardia Jonatan Dario</v>
      </c>
    </row>
    <row r="11" spans="2:49" ht="30" customHeight="1">
      <c r="B11" s="25" t="s">
        <v>12</v>
      </c>
      <c r="C11" s="26" t="s">
        <v>11</v>
      </c>
      <c r="D11" s="27">
        <f>IFERROR(
(
  INDEX([3]Personal!$L$9:$L$58,
         MATCH(B11,[3]Personal!$C$9:$C$58,0))
  *
  (
    (INDEX([3]Personal!$D$9:$D$58,
            MATCH(B11,[3]Personal!$C$9:$C$58,0))="Ensamble")
      *
      INDEX([3]Personal!$E$9:$E$58,
             MATCH(B11,[3]Personal!$C$9:$C$58,0))
    +
    (INDEX([3]Personal!$F$9:$F$58,
            MATCH(B11,[3]Personal!$C$9:$C$58,0))="Ensamble")
      *
      INDEX([3]Personal!$G$9:$G$58,
             MATCH(B11,[3]Personal!$C$9:$C$58,0))
    +
    (INDEX([3]Personal!$H$9:$H$58,
            MATCH(B11,[3]Personal!$C$9:$C$58,0))="Ensamble")
      *
      INDEX([3]Personal!$I$9:$I$58,
             MATCH(B11,[3]Personal!$C$9:$C$58,0))
    +
    (INDEX([3]Personal!$J$9:$J$58,
            MATCH(B11,[3]Personal!$C$9:$C$58,0))="Ensamble")
      *
      INDEX([3]Personal!$K$9:$K$58,
             MATCH(B11,[3]Personal!$C$9:$C$58,0))
  )
)
/
[3]Personal!$K$3, "")</f>
        <v>665.40376306620215</v>
      </c>
      <c r="E11" s="28"/>
      <c r="F11" s="28" t="s">
        <v>36</v>
      </c>
      <c r="G11" s="61" t="s">
        <v>36</v>
      </c>
      <c r="H11" s="61" t="s">
        <v>36</v>
      </c>
      <c r="I11" s="61" t="s">
        <v>36</v>
      </c>
      <c r="J11" s="61" t="s">
        <v>36</v>
      </c>
      <c r="K11" s="61" t="s">
        <v>36</v>
      </c>
      <c r="L11" s="61" t="s">
        <v>36</v>
      </c>
      <c r="M11" s="61" t="s">
        <v>36</v>
      </c>
      <c r="N11" s="61" t="s">
        <v>36</v>
      </c>
      <c r="O11" s="61" t="s">
        <v>36</v>
      </c>
      <c r="P11" s="61" t="s">
        <v>36</v>
      </c>
      <c r="Q11" s="61" t="s">
        <v>36</v>
      </c>
      <c r="R11" s="61" t="s">
        <v>36</v>
      </c>
      <c r="S11" s="61" t="s">
        <v>36</v>
      </c>
      <c r="T11" s="61" t="s">
        <v>36</v>
      </c>
      <c r="U11" s="61" t="s">
        <v>36</v>
      </c>
      <c r="V11" s="61"/>
      <c r="W11" s="61"/>
      <c r="X11" s="61" t="s">
        <v>36</v>
      </c>
      <c r="Y11" s="61" t="s">
        <v>36</v>
      </c>
      <c r="Z11" s="61" t="s">
        <v>36</v>
      </c>
      <c r="AA11" s="61" t="s">
        <v>36</v>
      </c>
      <c r="AB11" s="61" t="s">
        <v>36</v>
      </c>
      <c r="AC11" s="61" t="s">
        <v>36</v>
      </c>
      <c r="AD11" s="61" t="s">
        <v>36</v>
      </c>
      <c r="AE11" s="61"/>
      <c r="AF11" s="61"/>
      <c r="AG11" s="61"/>
      <c r="AH11" s="61"/>
      <c r="AI11" s="61"/>
      <c r="AJ11" s="61"/>
      <c r="AK11" s="61"/>
      <c r="AL11" s="61"/>
      <c r="AM11" s="61"/>
      <c r="AN11" s="28"/>
      <c r="AO11" s="28"/>
      <c r="AP11" s="28"/>
      <c r="AQ11" s="28"/>
      <c r="AR11" s="65"/>
      <c r="AV11" t="str">
        <f>IF(OR([3]Personal!D10="Ensamble",[3]Personal!F10="Ensamble",[3]Personal!H10="Ensamble",[3]Personal!J10="Ensamble"),[3]Personal!$C10,"")</f>
        <v/>
      </c>
      <c r="AW11" t="str">
        <f t="array" ref="AW11">IFERROR(INDEX($AV$10:$AV$100, SMALL(IF($AV$10:$AV$100&lt;&gt;"", ROW($AV$10:$AV$100)-ROW($AV$10)+1), ROW(2:2))), "")</f>
        <v>Ferro Juan Manuel</v>
      </c>
    </row>
    <row r="12" spans="2:49" ht="30" customHeight="1">
      <c r="B12" s="25" t="s">
        <v>38</v>
      </c>
      <c r="C12" s="26" t="s">
        <v>13</v>
      </c>
      <c r="D12" s="27">
        <f>IFERROR(
(
  INDEX([3]Personal!$L$9:$L$58,
         MATCH(B12,[3]Personal!$C$9:$C$58,0))
  *
  (
    (INDEX([3]Personal!$D$9:$D$58,
            MATCH(B12,[3]Personal!$C$9:$C$58,0))="Ensamble")
      *
      INDEX([3]Personal!$E$9:$E$58,
             MATCH(B12,[3]Personal!$C$9:$C$58,0))
    +
    (INDEX([3]Personal!$F$9:$F$58,
            MATCH(B12,[3]Personal!$C$9:$C$58,0))="Ensamble")
      *
      INDEX([3]Personal!$G$9:$G$58,
             MATCH(B12,[3]Personal!$C$9:$C$58,0))
    +
    (INDEX([3]Personal!$H$9:$H$58,
            MATCH(B12,[3]Personal!$C$9:$C$58,0))="Ensamble")
      *
      INDEX([3]Personal!$I$9:$I$58,
             MATCH(B12,[3]Personal!$C$9:$C$58,0))
    +
    (INDEX([3]Personal!$J$9:$J$58,
            MATCH(B12,[3]Personal!$C$9:$C$58,0))="Ensamble")
      *
      INDEX([3]Personal!$K$9:$K$58,
             MATCH(B12,[3]Personal!$C$9:$C$58,0))
  )
)
/
[3]Personal!$K$3, "")</f>
        <v>1135.7269909407667</v>
      </c>
      <c r="E12" s="28" t="s">
        <v>212</v>
      </c>
      <c r="F12" s="28" t="s">
        <v>212</v>
      </c>
      <c r="G12" s="28"/>
      <c r="H12" s="63"/>
      <c r="I12" s="61"/>
      <c r="J12" s="61"/>
      <c r="K12" s="63"/>
      <c r="L12" s="63" t="s">
        <v>212</v>
      </c>
      <c r="M12" s="63"/>
      <c r="N12" s="63"/>
      <c r="O12" s="63"/>
      <c r="P12" s="63"/>
      <c r="Q12" s="61"/>
      <c r="R12" s="63"/>
      <c r="S12" s="63" t="s">
        <v>212</v>
      </c>
      <c r="T12" s="63" t="s">
        <v>212</v>
      </c>
      <c r="U12" s="63" t="s">
        <v>212</v>
      </c>
      <c r="V12" s="165"/>
      <c r="W12" s="165"/>
      <c r="X12" s="165"/>
      <c r="Y12" s="165"/>
      <c r="Z12" s="63" t="s">
        <v>212</v>
      </c>
      <c r="AA12" s="165"/>
      <c r="AB12" s="63" t="s">
        <v>212</v>
      </c>
      <c r="AC12" s="63" t="s">
        <v>212</v>
      </c>
      <c r="AD12" s="63" t="s">
        <v>212</v>
      </c>
      <c r="AE12" s="165"/>
      <c r="AF12" s="165"/>
      <c r="AG12" s="165"/>
      <c r="AH12" s="165"/>
      <c r="AI12" s="165"/>
      <c r="AJ12" s="165"/>
      <c r="AK12" s="165"/>
      <c r="AL12" s="165"/>
      <c r="AM12" s="61"/>
      <c r="AN12" s="28"/>
      <c r="AO12" s="28"/>
      <c r="AP12" s="28"/>
      <c r="AQ12" s="28"/>
      <c r="AR12" s="65"/>
      <c r="AV12" t="str">
        <f>IF(OR([3]Personal!D11="Ensamble",[3]Personal!F11="Ensamble",[3]Personal!H11="Ensamble",[3]Personal!J11="Ensamble"),[3]Personal!$C11,"")</f>
        <v/>
      </c>
      <c r="AW12" t="str">
        <f t="array" ref="AW12">IFERROR(INDEX($AV$10:$AV$100, SMALL(IF($AV$10:$AV$100&lt;&gt;"", ROW($AV$10:$AV$100)-ROW($AV$10)+1), ROW(3:3))), "")</f>
        <v>D'olivo Gaston Fernando</v>
      </c>
    </row>
    <row r="13" spans="2:49" ht="30" customHeight="1">
      <c r="B13" s="25" t="s">
        <v>110</v>
      </c>
      <c r="C13" s="26" t="s">
        <v>33</v>
      </c>
      <c r="D13" s="27">
        <f>IFERROR(
(
  INDEX([3]Personal!$L$9:$L$58,
         MATCH(B13,[3]Personal!$C$9:$C$58,0))
  *
  (
    (INDEX([3]Personal!$D$9:$D$58,
            MATCH(B13,[3]Personal!$C$9:$C$58,0))="Ensamble")
      *
      INDEX([3]Personal!$E$9:$E$58,
             MATCH(B13,[3]Personal!$C$9:$C$58,0))
    +
    (INDEX([3]Personal!$F$9:$F$58,
            MATCH(B13,[3]Personal!$C$9:$C$58,0))="Ensamble")
      *
      INDEX([3]Personal!$G$9:$G$58,
             MATCH(B13,[3]Personal!$C$9:$C$58,0))
    +
    (INDEX([3]Personal!$H$9:$H$58,
            MATCH(B13,[3]Personal!$C$9:$C$58,0))="Ensamble")
      *
      INDEX([3]Personal!$I$9:$I$58,
             MATCH(B13,[3]Personal!$C$9:$C$58,0))
    +
    (INDEX([3]Personal!$J$9:$J$58,
            MATCH(B13,[3]Personal!$C$9:$C$58,0))="Ensamble")
      *
      INDEX([3]Personal!$K$9:$K$58,
             MATCH(B13,[3]Personal!$C$9:$C$58,0))
  )
)
/
[3]Personal!$K$3, "")</f>
        <v>888.19350871080144</v>
      </c>
      <c r="E13" s="28" t="s">
        <v>213</v>
      </c>
      <c r="F13" s="28" t="s">
        <v>213</v>
      </c>
      <c r="G13" s="63" t="s">
        <v>213</v>
      </c>
      <c r="H13" s="63" t="s">
        <v>213</v>
      </c>
      <c r="I13" s="63" t="s">
        <v>213</v>
      </c>
      <c r="J13" s="63" t="s">
        <v>213</v>
      </c>
      <c r="K13" s="63" t="s">
        <v>213</v>
      </c>
      <c r="L13" s="63" t="s">
        <v>213</v>
      </c>
      <c r="M13" s="63" t="s">
        <v>214</v>
      </c>
      <c r="N13" s="63" t="s">
        <v>214</v>
      </c>
      <c r="O13" s="63" t="s">
        <v>214</v>
      </c>
      <c r="P13" s="63" t="s">
        <v>214</v>
      </c>
      <c r="Q13" s="63" t="s">
        <v>214</v>
      </c>
      <c r="R13" s="63"/>
      <c r="S13" s="63" t="s">
        <v>212</v>
      </c>
      <c r="T13" s="63" t="s">
        <v>212</v>
      </c>
      <c r="U13" s="63" t="s">
        <v>213</v>
      </c>
      <c r="V13" s="28"/>
      <c r="W13" s="28"/>
      <c r="X13" s="28"/>
      <c r="Y13" s="28"/>
      <c r="Z13" s="63" t="s">
        <v>34</v>
      </c>
      <c r="AA13" s="28"/>
      <c r="AB13" s="63" t="s">
        <v>34</v>
      </c>
      <c r="AC13" s="63" t="s">
        <v>34</v>
      </c>
      <c r="AD13" s="63" t="s">
        <v>34</v>
      </c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65"/>
      <c r="AV13" t="str">
        <f>IF(OR([3]Personal!D12="Ensamble",[3]Personal!F12="Ensamble",[3]Personal!H12="Ensamble",[3]Personal!J12="Ensamble"),[3]Personal!$C12,"")</f>
        <v/>
      </c>
      <c r="AW13" t="str">
        <f t="array" ref="AW13">IFERROR(INDEX($AV$10:$AV$100, SMALL(IF($AV$10:$AV$100&lt;&gt;"", ROW($AV$10:$AV$100)-ROW($AV$10)+1), ROW(4:4))), "")</f>
        <v>Barrios Ortiz Ignacio</v>
      </c>
    </row>
    <row r="14" spans="2:49" ht="30" customHeight="1">
      <c r="B14" s="25" t="s">
        <v>109</v>
      </c>
      <c r="C14" s="26" t="s">
        <v>13</v>
      </c>
      <c r="D14" s="27">
        <f>IFERROR(
(
  INDEX([3]Personal!$L$9:$L$58,
         MATCH(B14,[3]Personal!$C$9:$C$58,0))
  *
  (
    (INDEX([3]Personal!$D$9:$D$58,
            MATCH(B14,[3]Personal!$C$9:$C$58,0))="Ensamble")
      *
      INDEX([3]Personal!$E$9:$E$58,
             MATCH(B14,[3]Personal!$C$9:$C$58,0))
    +
    (INDEX([3]Personal!$F$9:$F$58,
            MATCH(B14,[3]Personal!$C$9:$C$58,0))="Ensamble")
      *
      INDEX([3]Personal!$G$9:$G$58,
             MATCH(B14,[3]Personal!$C$9:$C$58,0))
    +
    (INDEX([3]Personal!$H$9:$H$58,
            MATCH(B14,[3]Personal!$C$9:$C$58,0))="Ensamble")
      *
      INDEX([3]Personal!$I$9:$I$58,
             MATCH(B14,[3]Personal!$C$9:$C$58,0))
    +
    (INDEX([3]Personal!$J$9:$J$58,
            MATCH(B14,[3]Personal!$C$9:$C$58,0))="Ensamble")
      *
      INDEX([3]Personal!$K$9:$K$58,
             MATCH(B14,[3]Personal!$C$9:$C$58,0))
  )
)
/
[3]Personal!$K$3, "")</f>
        <v>242.68900209059237</v>
      </c>
      <c r="E14" s="28" t="s">
        <v>212</v>
      </c>
      <c r="F14" s="28" t="s">
        <v>212</v>
      </c>
      <c r="G14" s="28" t="s">
        <v>212</v>
      </c>
      <c r="H14" s="28" t="s">
        <v>212</v>
      </c>
      <c r="I14" s="28" t="s">
        <v>212</v>
      </c>
      <c r="J14" s="63"/>
      <c r="K14" s="63"/>
      <c r="L14" s="63" t="s">
        <v>212</v>
      </c>
      <c r="M14" s="63"/>
      <c r="N14" s="28"/>
      <c r="O14" s="28"/>
      <c r="P14" s="28"/>
      <c r="Q14" s="28"/>
      <c r="R14" s="28"/>
      <c r="S14" s="63" t="s">
        <v>212</v>
      </c>
      <c r="T14" s="63" t="s">
        <v>212</v>
      </c>
      <c r="U14" s="63" t="s">
        <v>212</v>
      </c>
      <c r="V14" s="28"/>
      <c r="W14" s="28"/>
      <c r="X14" s="28"/>
      <c r="Y14" s="28"/>
      <c r="Z14" s="63" t="s">
        <v>212</v>
      </c>
      <c r="AA14" s="28"/>
      <c r="AB14" s="63" t="s">
        <v>212</v>
      </c>
      <c r="AC14" s="63" t="s">
        <v>212</v>
      </c>
      <c r="AD14" s="63" t="s">
        <v>212</v>
      </c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65"/>
      <c r="AV14" t="str">
        <f>IF(OR([3]Personal!D13="Ensamble",[3]Personal!F13="Ensamble",[3]Personal!H13="Ensamble",[3]Personal!J13="Ensamble"),[3]Personal!$C13,"")</f>
        <v>Guardia Jonatan Dario</v>
      </c>
      <c r="AW14" t="str">
        <f t="array" ref="AW14">IFERROR(INDEX($AV$10:$AV$100, SMALL(IF($AV$10:$AV$100&lt;&gt;"", ROW($AV$10:$AV$100)-ROW($AV$10)+1), ROW(5:5))), "")</f>
        <v>Deheza Pambosian Fernando</v>
      </c>
    </row>
    <row r="15" spans="2:49" ht="30" customHeight="1">
      <c r="B15" s="25" t="s">
        <v>35</v>
      </c>
      <c r="C15" s="26" t="s">
        <v>13</v>
      </c>
      <c r="D15" s="27">
        <f>IFERROR(
(
  INDEX([3]Personal!$L$9:$L$58,
         MATCH(B15,[3]Personal!$C$9:$C$58,0))
  *
  (
    (INDEX([3]Personal!$D$9:$D$58,
            MATCH(B15,[3]Personal!$C$9:$C$58,0))="Ensamble")
      *
      INDEX([3]Personal!$E$9:$E$58,
             MATCH(B15,[3]Personal!$C$9:$C$58,0))
    +
    (INDEX([3]Personal!$F$9:$F$58,
            MATCH(B15,[3]Personal!$C$9:$C$58,0))="Ensamble")
      *
      INDEX([3]Personal!$G$9:$G$58,
             MATCH(B15,[3]Personal!$C$9:$C$58,0))
    +
    (INDEX([3]Personal!$H$9:$H$58,
            MATCH(B15,[3]Personal!$C$9:$C$58,0))="Ensamble")
      *
      INDEX([3]Personal!$I$9:$I$58,
             MATCH(B15,[3]Personal!$C$9:$C$58,0))
    +
    (INDEX([3]Personal!$J$9:$J$58,
            MATCH(B15,[3]Personal!$C$9:$C$58,0))="Ensamble")
      *
      INDEX([3]Personal!$K$9:$K$58,
             MATCH(B15,[3]Personal!$C$9:$C$58,0))
  )
)
/
[3]Personal!$K$3, "")</f>
        <v>242.68900209059237</v>
      </c>
      <c r="E15" s="28" t="s">
        <v>212</v>
      </c>
      <c r="F15" s="28" t="s">
        <v>212</v>
      </c>
      <c r="G15" s="28" t="s">
        <v>212</v>
      </c>
      <c r="H15" s="28" t="s">
        <v>212</v>
      </c>
      <c r="I15" s="28" t="s">
        <v>212</v>
      </c>
      <c r="J15" s="28"/>
      <c r="K15" s="28"/>
      <c r="L15" s="28"/>
      <c r="M15" s="28"/>
      <c r="N15" s="28"/>
      <c r="O15" s="28"/>
      <c r="P15" s="28"/>
      <c r="Q15" s="28"/>
      <c r="R15" s="28"/>
      <c r="S15" s="63" t="s">
        <v>212</v>
      </c>
      <c r="T15" s="63" t="s">
        <v>212</v>
      </c>
      <c r="U15" s="63" t="s">
        <v>212</v>
      </c>
      <c r="V15" s="28"/>
      <c r="W15" s="28"/>
      <c r="X15" s="28"/>
      <c r="Y15" s="28"/>
      <c r="Z15" s="28"/>
      <c r="AA15" s="28"/>
      <c r="AB15" s="63" t="s">
        <v>212</v>
      </c>
      <c r="AC15" s="28"/>
      <c r="AD15" s="63" t="s">
        <v>212</v>
      </c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63"/>
      <c r="AS15" s="29"/>
      <c r="AV15" t="str">
        <f>IF(OR([3]Personal!D14="Ensamble",[3]Personal!F14="Ensamble",[3]Personal!H14="Ensamble",[3]Personal!J14="Ensamble"),[3]Personal!$C14,"")</f>
        <v>Ferro Juan Manuel</v>
      </c>
      <c r="AW15" t="str">
        <f t="array" ref="AW15">IFERROR(INDEX($AV$10:$AV$100, SMALL(IF($AV$10:$AV$100&lt;&gt;"", ROW($AV$10:$AV$100)-ROW($AV$10)+1), ROW(6:6))), "")</f>
        <v>Agüero Juan Pablo</v>
      </c>
    </row>
    <row r="16" spans="2:49" ht="30" customHeight="1">
      <c r="B16" s="25" t="s">
        <v>108</v>
      </c>
      <c r="C16" s="26" t="s">
        <v>13</v>
      </c>
      <c r="D16" s="27">
        <f>IFERROR(
(
  INDEX([3]Personal!$L$9:$L$58,
         MATCH(B16,[3]Personal!$C$9:$C$58,0))
  *
  (
    (INDEX([3]Personal!$D$9:$D$58,
            MATCH(B16,[3]Personal!$C$9:$C$58,0))="Ensamble")
      *
      INDEX([3]Personal!$E$9:$E$58,
             MATCH(B16,[3]Personal!$C$9:$C$58,0))
    +
    (INDEX([3]Personal!$F$9:$F$58,
            MATCH(B16,[3]Personal!$C$9:$C$58,0))="Ensamble")
      *
      INDEX([3]Personal!$G$9:$G$58,
             MATCH(B16,[3]Personal!$C$9:$C$58,0))
    +
    (INDEX([3]Personal!$H$9:$H$58,
            MATCH(B16,[3]Personal!$C$9:$C$58,0))="Ensamble")
      *
      INDEX([3]Personal!$I$9:$I$58,
             MATCH(B16,[3]Personal!$C$9:$C$58,0))
    +
    (INDEX([3]Personal!$J$9:$J$58,
            MATCH(B16,[3]Personal!$C$9:$C$58,0))="Ensamble")
      *
      INDEX([3]Personal!$K$9:$K$58,
             MATCH(B16,[3]Personal!$C$9:$C$58,0))
  )
)
/
[3]Personal!$K$3, "")</f>
        <v>904.08555818815341</v>
      </c>
      <c r="E16" s="28" t="s">
        <v>212</v>
      </c>
      <c r="F16" s="28" t="s">
        <v>212</v>
      </c>
      <c r="G16" s="28" t="s">
        <v>212</v>
      </c>
      <c r="H16" s="28" t="s">
        <v>212</v>
      </c>
      <c r="I16" s="28" t="s">
        <v>212</v>
      </c>
      <c r="J16" s="28" t="s">
        <v>212</v>
      </c>
      <c r="K16" s="28"/>
      <c r="L16" s="28"/>
      <c r="M16" s="64"/>
      <c r="N16" s="63"/>
      <c r="O16" s="28"/>
      <c r="P16" s="28"/>
      <c r="Q16" s="28"/>
      <c r="R16" s="63"/>
      <c r="S16" s="63" t="s">
        <v>212</v>
      </c>
      <c r="T16" s="63" t="s">
        <v>212</v>
      </c>
      <c r="U16" s="63" t="s">
        <v>212</v>
      </c>
      <c r="V16" s="63"/>
      <c r="W16" s="63"/>
      <c r="X16" s="63"/>
      <c r="Y16" s="63"/>
      <c r="Z16" s="63"/>
      <c r="AA16" s="63"/>
      <c r="AB16" s="63" t="s">
        <v>212</v>
      </c>
      <c r="AC16" s="63"/>
      <c r="AD16" s="63" t="s">
        <v>212</v>
      </c>
      <c r="AE16" s="63"/>
      <c r="AF16" s="63"/>
      <c r="AG16" s="63"/>
      <c r="AH16" s="63"/>
      <c r="AI16" s="63"/>
      <c r="AJ16" s="63"/>
      <c r="AK16" s="63"/>
      <c r="AL16" s="63"/>
      <c r="AM16" s="28"/>
      <c r="AN16" s="28"/>
      <c r="AO16" s="28"/>
      <c r="AP16" s="28"/>
      <c r="AQ16" s="28"/>
      <c r="AR16" s="65"/>
      <c r="AV16" t="str">
        <f>IF(OR([3]Personal!D15="Ensamble",[3]Personal!F15="Ensamble",[3]Personal!H15="Ensamble",[3]Personal!J15="Ensamble"),[3]Personal!$C15,"")</f>
        <v/>
      </c>
      <c r="AW16" t="str">
        <f t="array" ref="AW16">IFERROR(INDEX($AV$10:$AV$100, SMALL(IF($AV$10:$AV$100&lt;&gt;"", ROW($AV$10:$AV$100)-ROW($AV$10)+1), ROW(7:7))), "")</f>
        <v>Roda Gabriel Cesar</v>
      </c>
    </row>
    <row r="17" spans="2:49" ht="44.25" customHeight="1">
      <c r="B17" s="25" t="s">
        <v>28</v>
      </c>
      <c r="C17" s="26"/>
      <c r="D17" s="27" t="str">
        <f>IFERROR(
(
  INDEX([3]Personal!$L$9:$L$58,
         MATCH(B17,[3]Personal!$C$9:$C$58,0))
  *
  (
    (INDEX([3]Personal!$D$9:$D$58,
            MATCH(B17,[3]Personal!$C$9:$C$58,0))="Ensamble")
      *
      INDEX([3]Personal!$E$9:$E$58,
             MATCH(B17,[3]Personal!$C$9:$C$58,0))
    +
    (INDEX([3]Personal!$F$9:$F$58,
            MATCH(B17,[3]Personal!$C$9:$C$58,0))="Ensamble")
      *
      INDEX([3]Personal!$G$9:$G$58,
             MATCH(B17,[3]Personal!$C$9:$C$58,0))
    +
    (INDEX([3]Personal!$H$9:$H$58,
            MATCH(B17,[3]Personal!$C$9:$C$58,0))="Ensamble")
      *
      INDEX([3]Personal!$I$9:$I$58,
             MATCH(B17,[3]Personal!$C$9:$C$58,0))
    +
    (INDEX([3]Personal!$J$9:$J$58,
            MATCH(B17,[3]Personal!$C$9:$C$58,0))="Ensamble")
      *
      INDEX([3]Personal!$K$9:$K$58,
             MATCH(B17,[3]Personal!$C$9:$C$58,0))
  )
)
/
[3]Personal!$K$3, "")</f>
        <v/>
      </c>
      <c r="E17" s="28"/>
      <c r="F17" s="28"/>
      <c r="G17" s="28"/>
      <c r="H17" s="28"/>
      <c r="I17" s="28"/>
      <c r="J17" s="28"/>
      <c r="K17" s="28"/>
      <c r="L17" s="28"/>
      <c r="M17" s="64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65"/>
      <c r="AV17" t="str">
        <f>IF(OR([3]Personal!D16="Ensamble",[3]Personal!F16="Ensamble",[3]Personal!H16="Ensamble",[3]Personal!J16="Ensamble"),[3]Personal!$C16,"")</f>
        <v/>
      </c>
      <c r="AW17" t="str">
        <f t="array" ref="AW17">IFERROR(INDEX($AV$10:$AV$100, SMALL(IF($AV$10:$AV$100&lt;&gt;"", ROW($AV$10:$AV$100)-ROW($AV$10)+1), ROW(8:8))), "")</f>
        <v/>
      </c>
    </row>
    <row r="18" spans="2:49" ht="45" customHeight="1">
      <c r="B18" s="25" t="s">
        <v>28</v>
      </c>
      <c r="C18" s="26"/>
      <c r="D18" s="27" t="str">
        <f>IFERROR(
(
  INDEX([3]Personal!$L$9:$L$58,
         MATCH(B18,[3]Personal!$C$9:$C$58,0))
  *
  (
    (INDEX([3]Personal!$D$9:$D$58,
            MATCH(B18,[3]Personal!$C$9:$C$58,0))="Ensamble")
      *
      INDEX([3]Personal!$E$9:$E$58,
             MATCH(B18,[3]Personal!$C$9:$C$58,0))
    +
    (INDEX([3]Personal!$F$9:$F$58,
            MATCH(B18,[3]Personal!$C$9:$C$58,0))="Ensamble")
      *
      INDEX([3]Personal!$G$9:$G$58,
             MATCH(B18,[3]Personal!$C$9:$C$58,0))
    +
    (INDEX([3]Personal!$H$9:$H$58,
            MATCH(B18,[3]Personal!$C$9:$C$58,0))="Ensamble")
      *
      INDEX([3]Personal!$I$9:$I$58,
             MATCH(B18,[3]Personal!$C$9:$C$58,0))
    +
    (INDEX([3]Personal!$J$9:$J$58,
            MATCH(B18,[3]Personal!$C$9:$C$58,0))="Ensamble")
      *
      INDEX([3]Personal!$K$9:$K$58,
             MATCH(B18,[3]Personal!$C$9:$C$58,0))
  )
)
/
[3]Personal!$K$3, "")</f>
        <v/>
      </c>
      <c r="E18" s="28"/>
      <c r="F18" s="28"/>
      <c r="G18" s="28"/>
      <c r="H18" s="28"/>
      <c r="I18" s="28"/>
      <c r="J18" s="28"/>
      <c r="K18" s="28"/>
      <c r="L18" s="28"/>
      <c r="M18" s="64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65"/>
      <c r="AV18" t="str">
        <f>IF(OR([3]Personal!D17="Ensamble",[3]Personal!F17="Ensamble",[3]Personal!H17="Ensamble",[3]Personal!J17="Ensamble"),[3]Personal!$C17,"")</f>
        <v>D'olivo Gaston Fernando</v>
      </c>
      <c r="AW18" t="str">
        <f t="array" ref="AW18">IFERROR(INDEX($AV$10:$AV$100, SMALL(IF($AV$10:$AV$100&lt;&gt;"", ROW($AV$10:$AV$100)-ROW($AV$10)+1), ROW(9:9))), "")</f>
        <v/>
      </c>
    </row>
    <row r="19" spans="2:49" ht="30" customHeight="1">
      <c r="B19" s="25" t="s">
        <v>28</v>
      </c>
      <c r="C19" s="26"/>
      <c r="D19" s="27" t="str">
        <f>IFERROR(
(
  INDEX([3]Personal!$L$9:$L$58,
         MATCH(B19,[3]Personal!$C$9:$C$58,0))
  *
  (
    (INDEX([3]Personal!$D$9:$D$58,
            MATCH(B19,[3]Personal!$C$9:$C$58,0))="Ensamble")
      *
      INDEX([3]Personal!$E$9:$E$58,
             MATCH(B19,[3]Personal!$C$9:$C$58,0))
    +
    (INDEX([3]Personal!$F$9:$F$58,
            MATCH(B19,[3]Personal!$C$9:$C$58,0))="Ensamble")
      *
      INDEX([3]Personal!$G$9:$G$58,
             MATCH(B19,[3]Personal!$C$9:$C$58,0))
    +
    (INDEX([3]Personal!$H$9:$H$58,
            MATCH(B19,[3]Personal!$C$9:$C$58,0))="Ensamble")
      *
      INDEX([3]Personal!$I$9:$I$58,
             MATCH(B19,[3]Personal!$C$9:$C$58,0))
    +
    (INDEX([3]Personal!$J$9:$J$58,
            MATCH(B19,[3]Personal!$C$9:$C$58,0))="Ensamble")
      *
      INDEX([3]Personal!$K$9:$K$58,
             MATCH(B19,[3]Personal!$C$9:$C$58,0))
  )
)
/
[3]Personal!$K$3, "")</f>
        <v/>
      </c>
      <c r="E19" s="28"/>
      <c r="F19" s="28"/>
      <c r="G19" s="28"/>
      <c r="H19" s="28"/>
      <c r="I19" s="28"/>
      <c r="J19" s="28"/>
      <c r="K19" s="28"/>
      <c r="L19" s="28"/>
      <c r="M19" s="64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65"/>
      <c r="AV19" t="str">
        <f>IF(OR([3]Personal!D18="Ensamble",[3]Personal!F18="Ensamble",[3]Personal!H18="Ensamble",[3]Personal!J18="Ensamble"),[3]Personal!$C18,"")</f>
        <v/>
      </c>
      <c r="AW19" t="str">
        <f t="array" ref="AW19">IFERROR(INDEX($AV$10:$AV$100, SMALL(IF($AV$10:$AV$100&lt;&gt;"", ROW($AV$10:$AV$100)-ROW($AV$10)+1), ROW(10:10))), "")</f>
        <v/>
      </c>
    </row>
    <row r="20" spans="2:49" ht="30" customHeight="1">
      <c r="B20" s="25" t="s">
        <v>28</v>
      </c>
      <c r="C20" s="26"/>
      <c r="D20" s="27" t="str">
        <f>IFERROR(
(
  INDEX([3]Personal!$L$9:$L$58,
         MATCH(B20,[3]Personal!$C$9:$C$58,0))
  *
  (
    (INDEX([3]Personal!$D$9:$D$58,
            MATCH(B20,[3]Personal!$C$9:$C$58,0))="Ensamble")
      *
      INDEX([3]Personal!$E$9:$E$58,
             MATCH(B20,[3]Personal!$C$9:$C$58,0))
    +
    (INDEX([3]Personal!$F$9:$F$58,
            MATCH(B20,[3]Personal!$C$9:$C$58,0))="Ensamble")
      *
      INDEX([3]Personal!$G$9:$G$58,
             MATCH(B20,[3]Personal!$C$9:$C$58,0))
    +
    (INDEX([3]Personal!$H$9:$H$58,
            MATCH(B20,[3]Personal!$C$9:$C$58,0))="Ensamble")
      *
      INDEX([3]Personal!$I$9:$I$58,
             MATCH(B20,[3]Personal!$C$9:$C$58,0))
    +
    (INDEX([3]Personal!$J$9:$J$58,
            MATCH(B20,[3]Personal!$C$9:$C$58,0))="Ensamble")
      *
      INDEX([3]Personal!$K$9:$K$58,
             MATCH(B20,[3]Personal!$C$9:$C$58,0))
  )
)
/
[3]Personal!$K$3, "")</f>
        <v/>
      </c>
      <c r="E20" s="28"/>
      <c r="F20" s="28"/>
      <c r="G20" s="28"/>
      <c r="H20" s="28"/>
      <c r="I20" s="28"/>
      <c r="J20" s="28"/>
      <c r="K20" s="28"/>
      <c r="L20" s="28"/>
      <c r="M20" s="64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65"/>
      <c r="AV20" t="str">
        <f>IF(OR([3]Personal!D19="Ensamble",[3]Personal!F19="Ensamble",[3]Personal!H19="Ensamble",[3]Personal!J19="Ensamble"),[3]Personal!$C19,"")</f>
        <v/>
      </c>
      <c r="AW20" t="str">
        <f t="array" ref="AW20">IFERROR(INDEX($AV$10:$AV$100, SMALL(IF($AV$10:$AV$100&lt;&gt;"", ROW($AV$10:$AV$100)-ROW($AV$10)+1), ROW(11:11))), "")</f>
        <v/>
      </c>
    </row>
    <row r="21" spans="2:49" ht="30" customHeight="1">
      <c r="B21" s="25" t="s">
        <v>28</v>
      </c>
      <c r="C21" s="26"/>
      <c r="D21" s="27" t="str">
        <f>IFERROR(
(
  INDEX([3]Personal!$L$9:$L$58,
         MATCH(B21,[3]Personal!$C$9:$C$58,0))
  *
  (
    (INDEX([3]Personal!$D$9:$D$58,
            MATCH(B21,[3]Personal!$C$9:$C$58,0))="Ensamble")
      *
      INDEX([3]Personal!$E$9:$E$58,
             MATCH(B21,[3]Personal!$C$9:$C$58,0))
    +
    (INDEX([3]Personal!$F$9:$F$58,
            MATCH(B21,[3]Personal!$C$9:$C$58,0))="Ensamble")
      *
      INDEX([3]Personal!$G$9:$G$58,
             MATCH(B21,[3]Personal!$C$9:$C$58,0))
    +
    (INDEX([3]Personal!$H$9:$H$58,
            MATCH(B21,[3]Personal!$C$9:$C$58,0))="Ensamble")
      *
      INDEX([3]Personal!$I$9:$I$58,
             MATCH(B21,[3]Personal!$C$9:$C$58,0))
    +
    (INDEX([3]Personal!$J$9:$J$58,
            MATCH(B21,[3]Personal!$C$9:$C$58,0))="Ensamble")
      *
      INDEX([3]Personal!$K$9:$K$58,
             MATCH(B21,[3]Personal!$C$9:$C$58,0))
  )
)
/
[3]Personal!$K$3, "")</f>
        <v/>
      </c>
      <c r="E21" s="28"/>
      <c r="F21" s="28"/>
      <c r="G21" s="28"/>
      <c r="H21" s="28"/>
      <c r="I21" s="28"/>
      <c r="J21" s="28"/>
      <c r="K21" s="28"/>
      <c r="L21" s="28"/>
      <c r="M21" s="64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65"/>
      <c r="AV21" t="str">
        <f>IF(OR([3]Personal!D20="Ensamble",[3]Personal!F20="Ensamble",[3]Personal!H20="Ensamble",[3]Personal!J20="Ensamble"),[3]Personal!$C20,"")</f>
        <v/>
      </c>
      <c r="AW21" t="str">
        <f t="array" ref="AW21">IFERROR(INDEX($AV$10:$AV$100, SMALL(IF($AV$10:$AV$100&lt;&gt;"", ROW($AV$10:$AV$100)-ROW($AV$10)+1), ROW(12:12))), "")</f>
        <v/>
      </c>
    </row>
    <row r="22" spans="2:49" ht="30" customHeight="1">
      <c r="B22" s="25" t="s">
        <v>28</v>
      </c>
      <c r="C22" s="26"/>
      <c r="D22" s="27" t="str">
        <f>IFERROR(
(
  INDEX([3]Personal!$L$9:$L$58,
         MATCH(B22,[3]Personal!$C$9:$C$58,0))
  *
  (
    (INDEX([3]Personal!$D$9:$D$58,
            MATCH(B22,[3]Personal!$C$9:$C$58,0))="Ensamble")
      *
      INDEX([3]Personal!$E$9:$E$58,
             MATCH(B22,[3]Personal!$C$9:$C$58,0))
    +
    (INDEX([3]Personal!$F$9:$F$58,
            MATCH(B22,[3]Personal!$C$9:$C$58,0))="Ensamble")
      *
      INDEX([3]Personal!$G$9:$G$58,
             MATCH(B22,[3]Personal!$C$9:$C$58,0))
    +
    (INDEX([3]Personal!$H$9:$H$58,
            MATCH(B22,[3]Personal!$C$9:$C$58,0))="Ensamble")
      *
      INDEX([3]Personal!$I$9:$I$58,
             MATCH(B22,[3]Personal!$C$9:$C$58,0))
    +
    (INDEX([3]Personal!$J$9:$J$58,
            MATCH(B22,[3]Personal!$C$9:$C$58,0))="Ensamble")
      *
      INDEX([3]Personal!$K$9:$K$58,
             MATCH(B22,[3]Personal!$C$9:$C$58,0))
  )
)
/
[3]Personal!$K$3, "")</f>
        <v/>
      </c>
      <c r="E22" s="28"/>
      <c r="F22" s="28"/>
      <c r="G22" s="28"/>
      <c r="H22" s="28"/>
      <c r="I22" s="28"/>
      <c r="J22" s="28"/>
      <c r="K22" s="28"/>
      <c r="L22" s="28"/>
      <c r="M22" s="64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65"/>
      <c r="AV22" t="str">
        <f>IF(OR([3]Personal!D21="Ensamble",[3]Personal!F21="Ensamble",[3]Personal!H21="Ensamble",[3]Personal!J21="Ensamble"),[3]Personal!$C21,"")</f>
        <v/>
      </c>
      <c r="AW22" t="str">
        <f t="array" ref="AW22">IFERROR(INDEX($AV$10:$AV$100, SMALL(IF($AV$10:$AV$100&lt;&gt;"", ROW($AV$10:$AV$100)-ROW($AV$10)+1), ROW(13:13))), "")</f>
        <v/>
      </c>
    </row>
    <row r="23" spans="2:49" ht="30" customHeight="1">
      <c r="B23" s="25" t="s">
        <v>28</v>
      </c>
      <c r="C23" s="26"/>
      <c r="D23" s="27" t="str">
        <f>IFERROR(
(
  INDEX([3]Personal!$L$9:$L$58,
         MATCH(B23,[3]Personal!$C$9:$C$58,0))
  *
  (
    (INDEX([3]Personal!$D$9:$D$58,
            MATCH(B23,[3]Personal!$C$9:$C$58,0))="Ensamble")
      *
      INDEX([3]Personal!$E$9:$E$58,
             MATCH(B23,[3]Personal!$C$9:$C$58,0))
    +
    (INDEX([3]Personal!$F$9:$F$58,
            MATCH(B23,[3]Personal!$C$9:$C$58,0))="Ensamble")
      *
      INDEX([3]Personal!$G$9:$G$58,
             MATCH(B23,[3]Personal!$C$9:$C$58,0))
    +
    (INDEX([3]Personal!$H$9:$H$58,
            MATCH(B23,[3]Personal!$C$9:$C$58,0))="Ensamble")
      *
      INDEX([3]Personal!$I$9:$I$58,
             MATCH(B23,[3]Personal!$C$9:$C$58,0))
    +
    (INDEX([3]Personal!$J$9:$J$58,
            MATCH(B23,[3]Personal!$C$9:$C$58,0))="Ensamble")
      *
      INDEX([3]Personal!$K$9:$K$58,
             MATCH(B23,[3]Personal!$C$9:$C$58,0))
  )
)
/
[3]Personal!$K$3, "")</f>
        <v/>
      </c>
      <c r="E23" s="28"/>
      <c r="F23" s="28"/>
      <c r="G23" s="28"/>
      <c r="H23" s="28"/>
      <c r="I23" s="28"/>
      <c r="J23" s="28"/>
      <c r="K23" s="28"/>
      <c r="L23" s="28"/>
      <c r="M23" s="64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65"/>
      <c r="AV23" t="str">
        <f>IF(OR([3]Personal!D22="Ensamble",[3]Personal!F22="Ensamble",[3]Personal!H22="Ensamble",[3]Personal!J22="Ensamble"),[3]Personal!$C22,"")</f>
        <v/>
      </c>
      <c r="AW23" t="str">
        <f t="array" ref="AW23">IFERROR(INDEX($AV$10:$AV$100, SMALL(IF($AV$10:$AV$100&lt;&gt;"", ROW($AV$10:$AV$100)-ROW($AV$10)+1), ROW(14:14))), "")</f>
        <v/>
      </c>
    </row>
    <row r="24" spans="2:49" ht="43.5" customHeight="1">
      <c r="B24" s="25" t="s">
        <v>28</v>
      </c>
      <c r="C24" s="26"/>
      <c r="D24" s="27" t="str">
        <f>IFERROR(
(
  INDEX([3]Personal!$L$9:$L$58,
         MATCH(B24,[3]Personal!$C$9:$C$58,0))
  *
  (
    (INDEX([3]Personal!$D$9:$D$58,
            MATCH(B24,[3]Personal!$C$9:$C$58,0))="Ensamble")
      *
      INDEX([3]Personal!$E$9:$E$58,
             MATCH(B24,[3]Personal!$C$9:$C$58,0))
    +
    (INDEX([3]Personal!$F$9:$F$58,
            MATCH(B24,[3]Personal!$C$9:$C$58,0))="Ensamble")
      *
      INDEX([3]Personal!$G$9:$G$58,
             MATCH(B24,[3]Personal!$C$9:$C$58,0))
    +
    (INDEX([3]Personal!$H$9:$H$58,
            MATCH(B24,[3]Personal!$C$9:$C$58,0))="Ensamble")
      *
      INDEX([3]Personal!$I$9:$I$58,
             MATCH(B24,[3]Personal!$C$9:$C$58,0))
    +
    (INDEX([3]Personal!$J$9:$J$58,
            MATCH(B24,[3]Personal!$C$9:$C$58,0))="Ensamble")
      *
      INDEX([3]Personal!$K$9:$K$58,
             MATCH(B24,[3]Personal!$C$9:$C$58,0))
  )
)
/
[3]Personal!$K$3, "")</f>
        <v/>
      </c>
      <c r="E24" s="28"/>
      <c r="F24" s="28"/>
      <c r="G24" s="28"/>
      <c r="H24" s="28"/>
      <c r="I24" s="28"/>
      <c r="J24" s="28"/>
      <c r="K24" s="28"/>
      <c r="L24" s="28"/>
      <c r="M24" s="64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65"/>
      <c r="AV24" t="str">
        <f>IF(OR([3]Personal!D23="Ensamble",[3]Personal!F23="Ensamble",[3]Personal!H23="Ensamble",[3]Personal!J23="Ensamble"),[3]Personal!$C23,"")</f>
        <v/>
      </c>
      <c r="AW24" t="str">
        <f t="array" ref="AW24">IFERROR(INDEX($AV$10:$AV$100, SMALL(IF($AV$10:$AV$100&lt;&gt;"", ROW($AV$10:$AV$100)-ROW($AV$10)+1), ROW(15:15))), "")</f>
        <v/>
      </c>
    </row>
    <row r="25" spans="2:49" ht="30" customHeight="1" thickBot="1">
      <c r="B25" s="60" t="s">
        <v>28</v>
      </c>
      <c r="C25" s="69"/>
      <c r="D25" s="163" t="str">
        <f>IFERROR(
(
  INDEX([3]Personal!$L$9:$L$58,
         MATCH(B25,[3]Personal!$C$9:$C$58,0))
  *
  (
    (INDEX([3]Personal!$D$9:$D$58,
            MATCH(B25,[3]Personal!$C$9:$C$58,0))="Ensamble")
      *
      INDEX([3]Personal!$E$9:$E$58,
             MATCH(B25,[3]Personal!$C$9:$C$58,0))
    +
    (INDEX([3]Personal!$F$9:$F$58,
            MATCH(B25,[3]Personal!$C$9:$C$58,0))="Ensamble")
      *
      INDEX([3]Personal!$G$9:$G$58,
             MATCH(B25,[3]Personal!$C$9:$C$58,0))
    +
    (INDEX([3]Personal!$H$9:$H$58,
            MATCH(B25,[3]Personal!$C$9:$C$58,0))="Ensamble")
      *
      INDEX([3]Personal!$I$9:$I$58,
             MATCH(B25,[3]Personal!$C$9:$C$58,0))
    +
    (INDEX([3]Personal!$J$9:$J$58,
            MATCH(B25,[3]Personal!$C$9:$C$58,0))="Ensamble")
      *
      INDEX([3]Personal!$K$9:$K$58,
             MATCH(B25,[3]Personal!$C$9:$C$58,0))
  )
)
/
[3]Personal!$K$3, "")</f>
        <v/>
      </c>
      <c r="E25" s="28"/>
      <c r="F25" s="28"/>
      <c r="G25" s="28"/>
      <c r="H25" s="28"/>
      <c r="I25" s="28"/>
      <c r="J25" s="28"/>
      <c r="K25" s="28"/>
      <c r="L25" s="28"/>
      <c r="M25" s="64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66"/>
      <c r="AG25" s="66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5"/>
      <c r="AV25" t="str">
        <f>IF(OR([3]Personal!D24="Ensamble",[3]Personal!F24="Ensamble",[3]Personal!H24="Ensamble",[3]Personal!J24="Ensamble"),[3]Personal!$C24,"")</f>
        <v>Barrios Ortiz Ignacio</v>
      </c>
      <c r="AW25" t="str">
        <f t="array" ref="AW25">IFERROR(INDEX($AV$10:$AV$100, SMALL(IF($AV$10:$AV$100&lt;&gt;"", ROW($AV$10:$AV$100)-ROW($AV$10)+1), ROW(16:16))), "")</f>
        <v/>
      </c>
    </row>
    <row r="26" spans="2:49" ht="30" customHeight="1" thickBot="1">
      <c r="B26" s="333" t="s">
        <v>15</v>
      </c>
      <c r="C26" s="49" t="s">
        <v>13</v>
      </c>
      <c r="D26" s="325"/>
      <c r="E26" s="50">
        <f t="shared" ref="E26:J26" si="0">SumaCondicionalOperario($C$10:$C$25,$D$10:$D$25,E$10:E$25,$E$10:$AR$25,$C26,$AK$32,$AK$33,$AK$34)</f>
        <v>647.14907205574923</v>
      </c>
      <c r="F26" s="50">
        <f t="shared" si="0"/>
        <v>647.14907205574923</v>
      </c>
      <c r="G26" s="50">
        <f t="shared" si="0"/>
        <v>525.00459233449487</v>
      </c>
      <c r="H26" s="50">
        <f t="shared" si="0"/>
        <v>525.00459233449487</v>
      </c>
      <c r="I26" s="50">
        <f t="shared" si="0"/>
        <v>525.00459233449487</v>
      </c>
      <c r="J26" s="50">
        <f t="shared" si="0"/>
        <v>807.32018257839729</v>
      </c>
      <c r="K26" s="50">
        <f t="shared" ref="K26:AR26" si="1">SumaCondicionalOperario($C$10:$C$25,$D$10:$D$25,K$10:K$25,$E$10:$AR$25,$C26,$AK$32,$AK$33,$AK$34)</f>
        <v>710.55480696864117</v>
      </c>
      <c r="L26" s="50">
        <f t="shared" si="1"/>
        <v>696.32360000000017</v>
      </c>
      <c r="M26" s="50">
        <f t="shared" si="1"/>
        <v>710.55480696864117</v>
      </c>
      <c r="N26" s="50">
        <f t="shared" si="1"/>
        <v>710.55480696864117</v>
      </c>
      <c r="O26" s="50">
        <f t="shared" si="1"/>
        <v>710.55480696864117</v>
      </c>
      <c r="P26" s="50">
        <f t="shared" si="1"/>
        <v>710.55480696864117</v>
      </c>
      <c r="Q26" s="50">
        <f t="shared" si="1"/>
        <v>710.55480696864117</v>
      </c>
      <c r="R26" s="50">
        <f t="shared" si="1"/>
        <v>0</v>
      </c>
      <c r="S26" s="50">
        <f t="shared" si="1"/>
        <v>631.29763832752622</v>
      </c>
      <c r="T26" s="50">
        <f t="shared" si="1"/>
        <v>631.29763832752622</v>
      </c>
      <c r="U26" s="50">
        <f t="shared" si="1"/>
        <v>647.14907205574923</v>
      </c>
      <c r="V26" s="50">
        <f t="shared" si="1"/>
        <v>0</v>
      </c>
      <c r="W26" s="50">
        <f t="shared" si="1"/>
        <v>0</v>
      </c>
      <c r="X26" s="50">
        <f t="shared" si="1"/>
        <v>0</v>
      </c>
      <c r="Y26" s="50">
        <f t="shared" si="1"/>
        <v>0</v>
      </c>
      <c r="Z26" s="50">
        <f t="shared" si="1"/>
        <v>689.2079965156795</v>
      </c>
      <c r="AA26" s="50">
        <f t="shared" si="1"/>
        <v>0</v>
      </c>
      <c r="AB26" s="50">
        <f t="shared" si="1"/>
        <v>631.29763832752622</v>
      </c>
      <c r="AC26" s="50">
        <f t="shared" si="1"/>
        <v>689.2079965156795</v>
      </c>
      <c r="AD26" s="50">
        <f t="shared" si="1"/>
        <v>631.29763832752622</v>
      </c>
      <c r="AE26" s="50">
        <f t="shared" si="1"/>
        <v>0</v>
      </c>
      <c r="AF26" s="50">
        <f t="shared" si="1"/>
        <v>0</v>
      </c>
      <c r="AG26" s="50">
        <f t="shared" si="1"/>
        <v>0</v>
      </c>
      <c r="AH26" s="50">
        <f t="shared" si="1"/>
        <v>0</v>
      </c>
      <c r="AI26" s="50">
        <f t="shared" si="1"/>
        <v>0</v>
      </c>
      <c r="AJ26" s="50">
        <f t="shared" si="1"/>
        <v>0</v>
      </c>
      <c r="AK26" s="50">
        <f t="shared" si="1"/>
        <v>0</v>
      </c>
      <c r="AL26" s="50">
        <f t="shared" si="1"/>
        <v>0</v>
      </c>
      <c r="AM26" s="50">
        <f t="shared" si="1"/>
        <v>0</v>
      </c>
      <c r="AN26" s="50">
        <f t="shared" si="1"/>
        <v>0</v>
      </c>
      <c r="AO26" s="50">
        <f t="shared" si="1"/>
        <v>0</v>
      </c>
      <c r="AP26" s="50">
        <f t="shared" si="1"/>
        <v>0</v>
      </c>
      <c r="AQ26" s="50">
        <f t="shared" si="1"/>
        <v>0</v>
      </c>
      <c r="AR26" s="50">
        <f t="shared" si="1"/>
        <v>0</v>
      </c>
      <c r="AV26" t="str">
        <f>IF(OR([3]Personal!D25="Ensamble",[3]Personal!F25="Ensamble",[3]Personal!H25="Ensamble",[3]Personal!J25="Ensamble"),[3]Personal!$C25,"")</f>
        <v>Deheza Pambosian Fernando</v>
      </c>
      <c r="AW26" t="str">
        <f t="array" ref="AW26">IFERROR(INDEX($AV$10:$AV$100, SMALL(IF($AV$10:$AV$100&lt;&gt;"", ROW($AV$10:$AV$100)-ROW($AV$10)+1), ROW(17:17))), "")</f>
        <v/>
      </c>
    </row>
    <row r="27" spans="2:49" ht="30" customHeight="1" thickBot="1">
      <c r="B27" s="334"/>
      <c r="C27" s="49" t="s">
        <v>16</v>
      </c>
      <c r="D27" s="336"/>
      <c r="E27" s="50">
        <f>SumaCondicionalAvanzada($C$10:$C$25,$D$10:$D$25,E$10:E$25,$E$10:$AR$25,$C27,$AO$32,$AO$33,$AO$34,$AQ$32,$AQ$33,$AQ$34)</f>
        <v>409.43449599755428</v>
      </c>
      <c r="F27" s="50">
        <f t="shared" ref="F27:U27" si="2">SumaCondicionalAvanzada($C$10:$C$25,$D$10:$D$25,F$10:F$25,$E$10:$AR$25,$C27,$AO$32,$AO$33,$AO$34,$AQ$32,$AQ$33,$AQ$34)</f>
        <v>89.232053492110026</v>
      </c>
      <c r="G27" s="50">
        <f t="shared" si="2"/>
        <v>51.241933194853928</v>
      </c>
      <c r="H27" s="50">
        <f t="shared" si="2"/>
        <v>51.241933194853928</v>
      </c>
      <c r="I27" s="50">
        <f t="shared" si="2"/>
        <v>51.241933194853928</v>
      </c>
      <c r="J27" s="50">
        <f t="shared" si="2"/>
        <v>51.241933194853928</v>
      </c>
      <c r="K27" s="50">
        <f t="shared" si="2"/>
        <v>51.241933194853928</v>
      </c>
      <c r="L27" s="50">
        <f t="shared" si="2"/>
        <v>51.241933194853928</v>
      </c>
      <c r="M27" s="50">
        <f t="shared" si="2"/>
        <v>0</v>
      </c>
      <c r="N27" s="50">
        <f t="shared" si="2"/>
        <v>0</v>
      </c>
      <c r="O27" s="50">
        <f t="shared" si="2"/>
        <v>0</v>
      </c>
      <c r="P27" s="50">
        <f t="shared" si="2"/>
        <v>0</v>
      </c>
      <c r="Q27" s="50">
        <f t="shared" si="2"/>
        <v>0</v>
      </c>
      <c r="R27" s="50">
        <f t="shared" si="2"/>
        <v>0</v>
      </c>
      <c r="S27" s="50">
        <f t="shared" si="2"/>
        <v>0</v>
      </c>
      <c r="T27" s="50">
        <f t="shared" si="2"/>
        <v>0</v>
      </c>
      <c r="U27" s="50">
        <f t="shared" si="2"/>
        <v>89.232053492110026</v>
      </c>
      <c r="V27" s="50">
        <f t="shared" ref="F27:AR29" si="3">SumaCondicionalAvanzada($C$10:$C$25,$D$10:$D$25,V$10:V$25,$E$10:$AR$25,$C27,$AO$32,$AO$33,$AO$34,$AQ$32,$AQ$33,$AQ$34)</f>
        <v>0</v>
      </c>
      <c r="W27" s="50">
        <f t="shared" si="3"/>
        <v>0</v>
      </c>
      <c r="X27" s="50">
        <f t="shared" si="3"/>
        <v>0</v>
      </c>
      <c r="Y27" s="50">
        <f t="shared" si="3"/>
        <v>0</v>
      </c>
      <c r="Z27" s="50">
        <f t="shared" si="3"/>
        <v>51.241933194853928</v>
      </c>
      <c r="AA27" s="50">
        <f t="shared" si="3"/>
        <v>0</v>
      </c>
      <c r="AB27" s="50">
        <f t="shared" si="3"/>
        <v>51.241933194853928</v>
      </c>
      <c r="AC27" s="50">
        <f t="shared" si="3"/>
        <v>51.241933194853928</v>
      </c>
      <c r="AD27" s="50">
        <f t="shared" si="3"/>
        <v>51.241933194853928</v>
      </c>
      <c r="AE27" s="50">
        <f t="shared" si="3"/>
        <v>0</v>
      </c>
      <c r="AF27" s="50">
        <f t="shared" si="3"/>
        <v>0</v>
      </c>
      <c r="AG27" s="50">
        <f t="shared" si="3"/>
        <v>0</v>
      </c>
      <c r="AH27" s="50">
        <f t="shared" si="3"/>
        <v>0</v>
      </c>
      <c r="AI27" s="50">
        <f t="shared" si="3"/>
        <v>0</v>
      </c>
      <c r="AJ27" s="50">
        <f t="shared" si="3"/>
        <v>0</v>
      </c>
      <c r="AK27" s="50">
        <f t="shared" si="3"/>
        <v>0</v>
      </c>
      <c r="AL27" s="50">
        <f t="shared" si="3"/>
        <v>0</v>
      </c>
      <c r="AM27" s="50">
        <f t="shared" si="3"/>
        <v>0</v>
      </c>
      <c r="AN27" s="50">
        <f t="shared" si="3"/>
        <v>0</v>
      </c>
      <c r="AO27" s="50">
        <f t="shared" si="3"/>
        <v>0</v>
      </c>
      <c r="AP27" s="50">
        <f t="shared" si="3"/>
        <v>0</v>
      </c>
      <c r="AQ27" s="50">
        <f t="shared" si="3"/>
        <v>0</v>
      </c>
      <c r="AR27" s="50">
        <f t="shared" si="3"/>
        <v>0</v>
      </c>
      <c r="AV27" t="str">
        <f>IF(OR([3]Personal!D26="Ensamble",[3]Personal!F26="Ensamble",[3]Personal!H26="Ensamble",[3]Personal!J26="Ensamble"),[3]Personal!$C26,"")</f>
        <v>Agüero Juan Pablo</v>
      </c>
      <c r="AW27" t="str">
        <f t="array" ref="AW27">IFERROR(INDEX($AV$10:$AV$100, SMALL(IF($AV$10:$AV$100&lt;&gt;"", ROW($AV$10:$AV$100)-ROW($AV$10)+1), ROW(18:18))), "")</f>
        <v/>
      </c>
    </row>
    <row r="28" spans="2:49" ht="30" customHeight="1" thickBot="1">
      <c r="B28" s="334"/>
      <c r="C28" s="49" t="s">
        <v>17</v>
      </c>
      <c r="D28" s="336"/>
      <c r="E28" s="50">
        <f>SumaCondicionalAvanzada($C$10:$C$25,$D$10:$D$25,E$10:E$25,$E$10:$AR$25,$C28,$AO$32,$AO$33,$AO$34,$AQ$32,$AQ$33,$AQ$34)</f>
        <v>3.4161288796569287</v>
      </c>
      <c r="F28" s="50">
        <f>SumaCondicionalAvanzada($C$10:$C$25,$D$10:$D$25,F$10:F$25,$E$10:$AR$25,$C28,$AO$32,$AO$33,$AO$34,$AQ$32,$AQ$33,$AQ$34)</f>
        <v>3.4161288796569287</v>
      </c>
      <c r="G28" s="50">
        <f t="shared" si="3"/>
        <v>3.4161288796569287</v>
      </c>
      <c r="H28" s="50">
        <f t="shared" si="3"/>
        <v>3.4161288796569287</v>
      </c>
      <c r="I28" s="50">
        <f t="shared" si="3"/>
        <v>3.4161288796569287</v>
      </c>
      <c r="J28" s="50">
        <f t="shared" si="3"/>
        <v>3.4161288796569287</v>
      </c>
      <c r="K28" s="50">
        <f t="shared" si="3"/>
        <v>3.4161288796569287</v>
      </c>
      <c r="L28" s="50">
        <f t="shared" si="3"/>
        <v>3.4161288796569287</v>
      </c>
      <c r="M28" s="50">
        <f t="shared" si="3"/>
        <v>0</v>
      </c>
      <c r="N28" s="50">
        <f t="shared" si="3"/>
        <v>0</v>
      </c>
      <c r="O28" s="50">
        <f t="shared" si="3"/>
        <v>0</v>
      </c>
      <c r="P28" s="50">
        <f t="shared" si="3"/>
        <v>0</v>
      </c>
      <c r="Q28" s="50">
        <f t="shared" si="3"/>
        <v>0</v>
      </c>
      <c r="R28" s="50">
        <f t="shared" si="3"/>
        <v>0</v>
      </c>
      <c r="S28" s="50">
        <f t="shared" si="3"/>
        <v>0</v>
      </c>
      <c r="T28" s="50">
        <f t="shared" si="3"/>
        <v>0</v>
      </c>
      <c r="U28" s="50">
        <f t="shared" si="3"/>
        <v>3.4161288796569287</v>
      </c>
      <c r="V28" s="50">
        <f t="shared" si="3"/>
        <v>0</v>
      </c>
      <c r="W28" s="50">
        <f t="shared" si="3"/>
        <v>0</v>
      </c>
      <c r="X28" s="50">
        <f t="shared" si="3"/>
        <v>0</v>
      </c>
      <c r="Y28" s="50">
        <f t="shared" si="3"/>
        <v>0</v>
      </c>
      <c r="Z28" s="50">
        <f t="shared" si="3"/>
        <v>3.4161288796569287</v>
      </c>
      <c r="AA28" s="50">
        <f t="shared" si="3"/>
        <v>0</v>
      </c>
      <c r="AB28" s="50">
        <f t="shared" si="3"/>
        <v>3.4161288796569287</v>
      </c>
      <c r="AC28" s="50">
        <f t="shared" si="3"/>
        <v>3.4161288796569287</v>
      </c>
      <c r="AD28" s="50">
        <f t="shared" si="3"/>
        <v>3.4161288796569287</v>
      </c>
      <c r="AE28" s="50">
        <f t="shared" si="3"/>
        <v>0</v>
      </c>
      <c r="AF28" s="50">
        <f t="shared" si="3"/>
        <v>0</v>
      </c>
      <c r="AG28" s="50">
        <f t="shared" si="3"/>
        <v>0</v>
      </c>
      <c r="AH28" s="50">
        <f t="shared" si="3"/>
        <v>0</v>
      </c>
      <c r="AI28" s="50">
        <f t="shared" si="3"/>
        <v>0</v>
      </c>
      <c r="AJ28" s="50">
        <f t="shared" si="3"/>
        <v>0</v>
      </c>
      <c r="AK28" s="50">
        <f t="shared" si="3"/>
        <v>0</v>
      </c>
      <c r="AL28" s="50">
        <f t="shared" si="3"/>
        <v>0</v>
      </c>
      <c r="AM28" s="50">
        <f t="shared" si="3"/>
        <v>0</v>
      </c>
      <c r="AN28" s="50">
        <f t="shared" si="3"/>
        <v>0</v>
      </c>
      <c r="AO28" s="50">
        <f t="shared" si="3"/>
        <v>0</v>
      </c>
      <c r="AP28" s="50">
        <f t="shared" si="3"/>
        <v>0</v>
      </c>
      <c r="AQ28" s="50">
        <f t="shared" si="3"/>
        <v>0</v>
      </c>
      <c r="AR28" s="50">
        <f t="shared" si="3"/>
        <v>0</v>
      </c>
      <c r="AV28" t="str">
        <f>IF(OR([3]Personal!D27="Ensamble",[3]Personal!F27="Ensamble",[3]Personal!H27="Ensamble",[3]Personal!J27="Ensamble"),[3]Personal!$C27,"")</f>
        <v>Roda Gabriel Cesar</v>
      </c>
      <c r="AW28" t="str">
        <f t="array" ref="AW28">IFERROR(INDEX($AV$10:$AV$100, SMALL(IF($AV$10:$AV$100&lt;&gt;"", ROW($AV$10:$AV$100)-ROW($AV$10)+1), ROW(19:19))), "")</f>
        <v/>
      </c>
    </row>
    <row r="29" spans="2:49" ht="30" customHeight="1" thickBot="1">
      <c r="B29" s="334"/>
      <c r="C29" s="49" t="s">
        <v>18</v>
      </c>
      <c r="D29" s="336"/>
      <c r="E29" s="50">
        <f>SumaCondicionalAvanzada($C$10:$C$25,$D$10:$D$25,E$10:E$25,$E$10:$AR$25,$C29,$AO$32,$AO$33,$AO$34,$AQ$32,$AQ$33,$AQ$34)</f>
        <v>0</v>
      </c>
      <c r="F29" s="50">
        <f t="shared" si="3"/>
        <v>28.930598394182702</v>
      </c>
      <c r="G29" s="50">
        <f t="shared" si="3"/>
        <v>35.233106830593854</v>
      </c>
      <c r="H29" s="50">
        <f t="shared" si="3"/>
        <v>35.233106830593854</v>
      </c>
      <c r="I29" s="50">
        <f t="shared" si="3"/>
        <v>35.233106830593854</v>
      </c>
      <c r="J29" s="50">
        <f t="shared" si="3"/>
        <v>35.233106830593854</v>
      </c>
      <c r="K29" s="50">
        <f t="shared" si="3"/>
        <v>35.233106830593854</v>
      </c>
      <c r="L29" s="50">
        <f t="shared" si="3"/>
        <v>35.233106830593854</v>
      </c>
      <c r="M29" s="50">
        <f t="shared" si="3"/>
        <v>35.233106830593854</v>
      </c>
      <c r="N29" s="50">
        <f t="shared" si="3"/>
        <v>35.233106830593854</v>
      </c>
      <c r="O29" s="50">
        <f t="shared" si="3"/>
        <v>35.233106830593854</v>
      </c>
      <c r="P29" s="50">
        <f t="shared" si="3"/>
        <v>35.233106830593854</v>
      </c>
      <c r="Q29" s="50">
        <f t="shared" si="3"/>
        <v>35.233106830593854</v>
      </c>
      <c r="R29" s="50">
        <f t="shared" si="3"/>
        <v>35.233106830593854</v>
      </c>
      <c r="S29" s="50">
        <f t="shared" si="3"/>
        <v>35.233106830593854</v>
      </c>
      <c r="T29" s="50">
        <f t="shared" si="3"/>
        <v>35.233106830593854</v>
      </c>
      <c r="U29" s="50">
        <f t="shared" si="3"/>
        <v>35.233106830593854</v>
      </c>
      <c r="V29" s="50">
        <f t="shared" si="3"/>
        <v>0</v>
      </c>
      <c r="W29" s="50">
        <f t="shared" si="3"/>
        <v>0</v>
      </c>
      <c r="X29" s="50">
        <f t="shared" si="3"/>
        <v>28.930598394182702</v>
      </c>
      <c r="Y29" s="50">
        <f t="shared" si="3"/>
        <v>28.930598394182702</v>
      </c>
      <c r="Z29" s="50">
        <f t="shared" si="3"/>
        <v>35.233106830593854</v>
      </c>
      <c r="AA29" s="50">
        <f t="shared" si="3"/>
        <v>35.233106830593854</v>
      </c>
      <c r="AB29" s="50">
        <f t="shared" si="3"/>
        <v>35.233106830593854</v>
      </c>
      <c r="AC29" s="50">
        <f t="shared" si="3"/>
        <v>35.233106830593854</v>
      </c>
      <c r="AD29" s="50">
        <f t="shared" si="3"/>
        <v>35.233106830593854</v>
      </c>
      <c r="AE29" s="50">
        <f t="shared" si="3"/>
        <v>0</v>
      </c>
      <c r="AF29" s="50">
        <f t="shared" si="3"/>
        <v>0</v>
      </c>
      <c r="AG29" s="50">
        <f t="shared" si="3"/>
        <v>0</v>
      </c>
      <c r="AH29" s="50">
        <f t="shared" si="3"/>
        <v>0</v>
      </c>
      <c r="AI29" s="50">
        <f t="shared" si="3"/>
        <v>0</v>
      </c>
      <c r="AJ29" s="50">
        <f t="shared" si="3"/>
        <v>0</v>
      </c>
      <c r="AK29" s="50">
        <f t="shared" si="3"/>
        <v>0</v>
      </c>
      <c r="AL29" s="50">
        <f t="shared" si="3"/>
        <v>0</v>
      </c>
      <c r="AM29" s="50">
        <f t="shared" si="3"/>
        <v>0</v>
      </c>
      <c r="AN29" s="50">
        <f t="shared" si="3"/>
        <v>0</v>
      </c>
      <c r="AO29" s="50">
        <f t="shared" si="3"/>
        <v>0</v>
      </c>
      <c r="AP29" s="50">
        <f t="shared" si="3"/>
        <v>0</v>
      </c>
      <c r="AQ29" s="50">
        <f t="shared" si="3"/>
        <v>0</v>
      </c>
      <c r="AR29" s="50">
        <f t="shared" si="3"/>
        <v>0</v>
      </c>
      <c r="AV29" t="str">
        <f>IF(OR([3]Personal!D28="Ensamble",[3]Personal!F28="Ensamble",[3]Personal!H28="Ensamble",[3]Personal!J28="Ensamble"),[3]Personal!$C28,"")</f>
        <v/>
      </c>
      <c r="AW29" t="str">
        <f t="array" ref="AW29">IFERROR(INDEX($AV$10:$AV$100, SMALL(IF($AV$10:$AV$100&lt;&gt;"", ROW($AV$10:$AV$100)-ROW($AV$10)+1), ROW(20:20))), "")</f>
        <v/>
      </c>
    </row>
    <row r="30" spans="2:49" ht="30" customHeight="1" thickBot="1">
      <c r="B30" s="335"/>
      <c r="C30" s="47" t="s">
        <v>19</v>
      </c>
      <c r="D30" s="336"/>
      <c r="E30" s="48">
        <f>SUM(E26:E29)</f>
        <v>1059.9996969329604</v>
      </c>
      <c r="F30" s="48">
        <f t="shared" ref="F30:T30" si="4">SUM(F26:F29)</f>
        <v>768.72785282169889</v>
      </c>
      <c r="G30" s="48">
        <f t="shared" si="4"/>
        <v>614.89576123959966</v>
      </c>
      <c r="H30" s="48">
        <f t="shared" si="4"/>
        <v>614.89576123959966</v>
      </c>
      <c r="I30" s="48">
        <f t="shared" si="4"/>
        <v>614.89576123959966</v>
      </c>
      <c r="J30" s="48">
        <f t="shared" si="4"/>
        <v>897.21135148350209</v>
      </c>
      <c r="K30" s="48">
        <f t="shared" si="4"/>
        <v>800.44597587374597</v>
      </c>
      <c r="L30" s="48">
        <f t="shared" si="4"/>
        <v>786.21476890510496</v>
      </c>
      <c r="M30" s="48">
        <f t="shared" si="4"/>
        <v>745.78791379923507</v>
      </c>
      <c r="N30" s="48">
        <f t="shared" si="4"/>
        <v>745.78791379923507</v>
      </c>
      <c r="O30" s="48">
        <f t="shared" si="4"/>
        <v>745.78791379923507</v>
      </c>
      <c r="P30" s="48">
        <f t="shared" si="4"/>
        <v>745.78791379923507</v>
      </c>
      <c r="Q30" s="48">
        <f t="shared" si="4"/>
        <v>745.78791379923507</v>
      </c>
      <c r="R30" s="48">
        <f t="shared" si="4"/>
        <v>35.233106830593854</v>
      </c>
      <c r="S30" s="48">
        <f t="shared" si="4"/>
        <v>666.53074515812011</v>
      </c>
      <c r="T30" s="48">
        <f t="shared" si="4"/>
        <v>666.53074515812011</v>
      </c>
      <c r="U30" s="48">
        <f t="shared" ref="U30:AR30" si="5">SUM(U26:U29)</f>
        <v>775.03036125811013</v>
      </c>
      <c r="V30" s="48">
        <f t="shared" si="5"/>
        <v>0</v>
      </c>
      <c r="W30" s="48">
        <f t="shared" si="5"/>
        <v>0</v>
      </c>
      <c r="X30" s="48">
        <f t="shared" si="5"/>
        <v>28.930598394182702</v>
      </c>
      <c r="Y30" s="48">
        <f t="shared" si="5"/>
        <v>28.930598394182702</v>
      </c>
      <c r="Z30" s="48">
        <f t="shared" si="5"/>
        <v>779.09916542078429</v>
      </c>
      <c r="AA30" s="48">
        <f t="shared" si="5"/>
        <v>35.233106830593854</v>
      </c>
      <c r="AB30" s="48">
        <f t="shared" si="5"/>
        <v>721.18880723263101</v>
      </c>
      <c r="AC30" s="48">
        <f t="shared" si="5"/>
        <v>779.09916542078429</v>
      </c>
      <c r="AD30" s="48">
        <f t="shared" si="5"/>
        <v>721.18880723263101</v>
      </c>
      <c r="AE30" s="48">
        <f t="shared" si="5"/>
        <v>0</v>
      </c>
      <c r="AF30" s="48">
        <f t="shared" si="5"/>
        <v>0</v>
      </c>
      <c r="AG30" s="48">
        <f t="shared" si="5"/>
        <v>0</v>
      </c>
      <c r="AH30" s="48">
        <f t="shared" si="5"/>
        <v>0</v>
      </c>
      <c r="AI30" s="48">
        <f t="shared" si="5"/>
        <v>0</v>
      </c>
      <c r="AJ30" s="48">
        <f t="shared" si="5"/>
        <v>0</v>
      </c>
      <c r="AK30" s="48">
        <f t="shared" si="5"/>
        <v>0</v>
      </c>
      <c r="AL30" s="48">
        <f t="shared" si="5"/>
        <v>0</v>
      </c>
      <c r="AM30" s="48">
        <f t="shared" si="5"/>
        <v>0</v>
      </c>
      <c r="AN30" s="48">
        <f t="shared" si="5"/>
        <v>0</v>
      </c>
      <c r="AO30" s="48">
        <f t="shared" si="5"/>
        <v>0</v>
      </c>
      <c r="AP30" s="48">
        <f t="shared" si="5"/>
        <v>0</v>
      </c>
      <c r="AQ30" s="48">
        <f t="shared" si="5"/>
        <v>0</v>
      </c>
      <c r="AR30" s="48">
        <f t="shared" si="5"/>
        <v>0</v>
      </c>
      <c r="AV30" t="str">
        <f>IF(OR([3]Personal!D29="Ensamble",[3]Personal!F29="Ensamble",[3]Personal!H29="Ensamble",[3]Personal!J29="Ensamble"),[3]Personal!$C29,"")</f>
        <v/>
      </c>
      <c r="AW30" t="str">
        <f t="array" ref="AW30">IFERROR(INDEX($AV$10:$AV$100, SMALL(IF($AV$10:$AV$100&lt;&gt;"", ROW($AV$10:$AV$100)-ROW($AV$10)+1), ROW(21:21))), "")</f>
        <v/>
      </c>
    </row>
    <row r="31" spans="2:49" ht="48.75" customHeight="1" thickBot="1">
      <c r="B31" s="67"/>
      <c r="C31" s="51"/>
      <c r="D31" s="326"/>
      <c r="E31" s="339"/>
      <c r="F31" s="329"/>
      <c r="G31" s="30"/>
      <c r="H31" s="30"/>
      <c r="I31" s="30"/>
      <c r="J31" s="30"/>
      <c r="K31" s="30"/>
      <c r="L31" s="30"/>
      <c r="M31" s="68"/>
      <c r="N31" s="68"/>
      <c r="O31" s="68"/>
      <c r="P31" s="68"/>
      <c r="Q31" s="68"/>
      <c r="R31" s="68"/>
      <c r="S31" s="68"/>
      <c r="T31" s="68"/>
      <c r="U31" s="164"/>
      <c r="V31" s="164"/>
      <c r="W31" s="164"/>
      <c r="X31" s="164"/>
      <c r="Y31" s="164"/>
      <c r="Z31" s="164"/>
      <c r="AA31" s="164"/>
      <c r="AB31" s="164"/>
      <c r="AC31" s="164"/>
      <c r="AD31" s="164"/>
      <c r="AE31" s="164"/>
      <c r="AF31" s="164"/>
      <c r="AG31" s="164"/>
      <c r="AH31" s="164"/>
      <c r="AI31" s="164"/>
      <c r="AJ31" s="164"/>
      <c r="AK31" s="164"/>
      <c r="AL31" s="164"/>
      <c r="AM31" s="68"/>
      <c r="AN31" s="68"/>
      <c r="AO31" s="68"/>
      <c r="AP31" s="68"/>
      <c r="AQ31" s="68"/>
      <c r="AR31" s="31"/>
      <c r="AV31" t="str">
        <f>IF(OR([3]Personal!D30="Ensamble",[3]Personal!F30="Ensamble",[3]Personal!H30="Ensamble",[3]Personal!J30="Ensamble"),[3]Personal!$C30,"")</f>
        <v/>
      </c>
      <c r="AW31" t="str">
        <f t="array" ref="AW31">IFERROR(INDEX($AV$10:$AV$100, SMALL(IF($AV$10:$AV$100&lt;&gt;"", ROW($AV$10:$AV$100)-ROW($AV$10)+1), ROW(22:22))), "")</f>
        <v/>
      </c>
    </row>
    <row r="32" spans="2:49" ht="30" customHeight="1">
      <c r="B32" s="19"/>
      <c r="C32" s="20"/>
      <c r="D32" s="20"/>
      <c r="G32" s="22"/>
      <c r="H32" s="22"/>
      <c r="I32" s="22"/>
      <c r="J32" s="22"/>
      <c r="K32" s="22"/>
      <c r="L32" s="22"/>
      <c r="M32" s="23"/>
      <c r="N32" s="23"/>
      <c r="O32" s="23"/>
      <c r="P32" s="23"/>
      <c r="Q32" s="23"/>
      <c r="R32" s="23"/>
      <c r="S32" s="32"/>
      <c r="AI32" s="291" t="s">
        <v>209</v>
      </c>
      <c r="AJ32" s="52" t="s">
        <v>21</v>
      </c>
      <c r="AK32" s="54">
        <v>0.8</v>
      </c>
      <c r="AM32" s="56" t="s">
        <v>20</v>
      </c>
      <c r="AN32" s="52" t="s">
        <v>21</v>
      </c>
      <c r="AO32" s="54">
        <v>0.75</v>
      </c>
      <c r="AP32" s="52" t="s">
        <v>22</v>
      </c>
      <c r="AQ32" s="55">
        <v>0.8</v>
      </c>
      <c r="AR32" s="18"/>
      <c r="AV32" t="str">
        <f>IF(OR([3]Personal!D31="Ensamble",[3]Personal!F31="Ensamble",[3]Personal!H31="Ensamble",[3]Personal!J31="Ensamble"),[3]Personal!$C31,"")</f>
        <v/>
      </c>
      <c r="AW32" t="str">
        <f t="array" ref="AW32">IFERROR(INDEX($AV$10:$AV$100, SMALL(IF($AV$10:$AV$100&lt;&gt;"", ROW($AV$10:$AV$100)-ROW($AV$10)+1), ROW(23:23))), "")</f>
        <v/>
      </c>
    </row>
    <row r="33" spans="2:49" ht="30" customHeight="1">
      <c r="B33" s="58" t="s">
        <v>39</v>
      </c>
      <c r="C33" s="340"/>
      <c r="D33" s="340"/>
      <c r="E33" s="340"/>
      <c r="G33" s="57" t="s">
        <v>23</v>
      </c>
      <c r="H33" s="322"/>
      <c r="I33" s="322"/>
      <c r="J33" s="322"/>
      <c r="K33" s="23"/>
      <c r="L33" s="23"/>
      <c r="M33" s="14"/>
      <c r="N33" s="14"/>
      <c r="O33" s="14"/>
      <c r="P33" s="14"/>
      <c r="Q33" s="14"/>
      <c r="R33" s="14"/>
      <c r="S33" s="14"/>
      <c r="AI33" s="292" t="s">
        <v>210</v>
      </c>
      <c r="AJ33" s="53" t="s">
        <v>24</v>
      </c>
      <c r="AK33" s="54">
        <v>0.15</v>
      </c>
      <c r="AM33" s="14"/>
      <c r="AN33" s="53" t="s">
        <v>24</v>
      </c>
      <c r="AO33" s="54">
        <v>0.2</v>
      </c>
      <c r="AP33" s="53" t="s">
        <v>25</v>
      </c>
      <c r="AQ33" s="55">
        <v>0.15</v>
      </c>
      <c r="AR33" s="34"/>
      <c r="AV33" t="str">
        <f>IF(OR([3]Personal!D32="Ensamble",[3]Personal!F32="Ensamble",[3]Personal!H32="Ensamble",[3]Personal!J32="Ensamble"),[3]Personal!$C32,"")</f>
        <v/>
      </c>
      <c r="AW33" t="str">
        <f t="array" ref="AW33">IFERROR(INDEX($AV$10:$AV$100, SMALL(IF($AV$10:$AV$100&lt;&gt;"", ROW($AV$10:$AV$100)-ROW($AV$10)+1), ROW(24:24))), "")</f>
        <v/>
      </c>
    </row>
    <row r="34" spans="2:49" ht="30" customHeight="1">
      <c r="B34" s="33"/>
      <c r="C34" s="23"/>
      <c r="D34" s="23"/>
      <c r="F34" s="32"/>
      <c r="G34" s="23"/>
      <c r="H34" s="23"/>
      <c r="I34" s="23"/>
      <c r="J34" s="23"/>
      <c r="K34" s="23"/>
      <c r="L34" s="23"/>
      <c r="M34" s="14"/>
      <c r="N34" s="14"/>
      <c r="O34" s="14"/>
      <c r="P34" s="14"/>
      <c r="Q34" s="14"/>
      <c r="R34" s="14"/>
      <c r="S34" s="14"/>
      <c r="AI34" s="292" t="s">
        <v>211</v>
      </c>
      <c r="AJ34" s="53" t="s">
        <v>26</v>
      </c>
      <c r="AK34" s="54">
        <v>0.05</v>
      </c>
      <c r="AM34" s="14"/>
      <c r="AN34" s="53" t="s">
        <v>26</v>
      </c>
      <c r="AO34" s="54">
        <v>0.05</v>
      </c>
      <c r="AP34" s="53" t="s">
        <v>27</v>
      </c>
      <c r="AQ34" s="55">
        <v>0.05</v>
      </c>
      <c r="AR34" s="34"/>
      <c r="AV34" t="str">
        <f>IF(OR([3]Personal!D33="Ensamble",[3]Personal!F33="Ensamble",[3]Personal!H33="Ensamble",[3]Personal!J33="Ensamble"),[3]Personal!$C33,"")</f>
        <v/>
      </c>
      <c r="AW34" t="str">
        <f t="array" ref="AW34">IFERROR(INDEX($AV$10:$AV$100, SMALL(IF($AV$10:$AV$100&lt;&gt;"", ROW($AV$10:$AV$100)-ROW($AV$10)+1), ROW(25:25))), "")</f>
        <v/>
      </c>
    </row>
    <row r="35" spans="2:49" ht="30" customHeight="1" thickBot="1">
      <c r="B35" s="35"/>
      <c r="C35" s="36"/>
      <c r="D35" s="37"/>
      <c r="E35" s="37"/>
      <c r="F35" s="37"/>
      <c r="G35" s="37"/>
      <c r="H35" s="37"/>
      <c r="I35" s="37"/>
      <c r="J35" s="37"/>
      <c r="K35" s="37"/>
      <c r="L35" s="37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9"/>
      <c r="AV35" t="str">
        <f>IF(OR([3]Personal!D34="Ensamble",[3]Personal!F34="Ensamble",[3]Personal!H34="Ensamble",[3]Personal!J34="Ensamble"),[3]Personal!$C34,"")</f>
        <v/>
      </c>
      <c r="AW35" t="str">
        <f t="array" ref="AW35">IFERROR(INDEX($AV$10:$AV$100, SMALL(IF($AV$10:$AV$100&lt;&gt;"", ROW($AV$10:$AV$100)-ROW($AV$10)+1), ROW(26:26))), "")</f>
        <v/>
      </c>
    </row>
    <row r="36" spans="2:49" ht="30" customHeight="1">
      <c r="B36" s="40"/>
      <c r="C36" s="40"/>
      <c r="D36" s="40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2"/>
      <c r="AV36" t="str">
        <f>IF(OR([3]Personal!D35="Ensamble",[3]Personal!F35="Ensamble",[3]Personal!H35="Ensamble",[3]Personal!J35="Ensamble"),[3]Personal!$C35,"")</f>
        <v/>
      </c>
      <c r="AW36" t="str">
        <f t="array" ref="AW36">IFERROR(INDEX($AV$10:$AV$100, SMALL(IF($AV$10:$AV$100&lt;&gt;"", ROW($AV$10:$AV$100)-ROW($AV$10)+1), ROW(27:27))), "")</f>
        <v/>
      </c>
    </row>
    <row r="37" spans="2:49" ht="30" customHeight="1">
      <c r="B37" s="40"/>
      <c r="C37" s="40"/>
      <c r="AV37" t="str">
        <f>IF(OR([3]Personal!D36="Ensamble",[3]Personal!F36="Ensamble",[3]Personal!H36="Ensamble",[3]Personal!J36="Ensamble"),[3]Personal!$C36,"")</f>
        <v/>
      </c>
      <c r="AW37" t="str">
        <f t="array" ref="AW37">IFERROR(INDEX($AV$10:$AV$100, SMALL(IF($AV$10:$AV$100&lt;&gt;"", ROW($AV$10:$AV$100)-ROW($AV$10)+1), ROW(28:28))), "")</f>
        <v/>
      </c>
    </row>
    <row r="38" spans="2:49" ht="30" customHeight="1">
      <c r="B38" s="40"/>
      <c r="C38" s="40"/>
      <c r="AQ38" s="43"/>
      <c r="AV38" t="str">
        <f>IF(OR([3]Personal!D37="Ensamble",[3]Personal!F37="Ensamble",[3]Personal!H37="Ensamble",[3]Personal!J37="Ensamble"),[3]Personal!$C37,"")</f>
        <v/>
      </c>
      <c r="AW38" t="str">
        <f t="array" ref="AW38">IFERROR(INDEX($AV$10:$AV$100, SMALL(IF($AV$10:$AV$100&lt;&gt;"", ROW($AV$10:$AV$100)-ROW($AV$10)+1), ROW(29:29))), "")</f>
        <v/>
      </c>
    </row>
    <row r="39" spans="2:49" ht="30" customHeight="1">
      <c r="B39" s="40"/>
      <c r="C39" s="40"/>
      <c r="D39" s="40"/>
      <c r="AV39" t="str">
        <f>IF(OR([3]Personal!D38="Ensamble",[3]Personal!F38="Ensamble",[3]Personal!H38="Ensamble",[3]Personal!J38="Ensamble"),[3]Personal!$C38,"")</f>
        <v/>
      </c>
      <c r="AW39" t="str">
        <f t="array" ref="AW39">IFERROR(INDEX($AV$10:$AV$100, SMALL(IF($AV$10:$AV$100&lt;&gt;"", ROW($AV$10:$AV$100)-ROW($AV$10)+1), ROW(30:30))), "")</f>
        <v/>
      </c>
    </row>
    <row r="40" spans="2:49" ht="30" customHeight="1">
      <c r="B40" s="40"/>
      <c r="C40" s="40"/>
      <c r="D40" s="40"/>
      <c r="AV40" t="str">
        <f>IF(OR([3]Personal!D39="Ensamble",[3]Personal!F39="Ensamble",[3]Personal!H39="Ensamble",[3]Personal!J39="Ensamble"),[3]Personal!$C39,"")</f>
        <v/>
      </c>
      <c r="AW40" t="str">
        <f t="array" ref="AW40">IFERROR(INDEX($AV$10:$AV$100, SMALL(IF($AV$10:$AV$100&lt;&gt;"", ROW($AV$10:$AV$100)-ROW($AV$10)+1), ROW(31:31))), "")</f>
        <v/>
      </c>
    </row>
    <row r="41" spans="2:49" ht="30" customHeight="1">
      <c r="B41" s="40"/>
      <c r="C41" s="40"/>
      <c r="D41" s="40"/>
      <c r="AV41" t="str">
        <f>IF(OR([3]Personal!D40="Ensamble",[3]Personal!F40="Ensamble",[3]Personal!H40="Ensamble",[3]Personal!J40="Ensamble"),[3]Personal!$C40,"")</f>
        <v/>
      </c>
      <c r="AW41" t="str">
        <f t="array" ref="AW41">IFERROR(INDEX($AV$10:$AV$100, SMALL(IF($AV$10:$AV$100&lt;&gt;"", ROW($AV$10:$AV$100)-ROW($AV$10)+1), ROW(32:32))), "")</f>
        <v/>
      </c>
    </row>
    <row r="42" spans="2:49" ht="30" customHeight="1">
      <c r="B42" s="40"/>
      <c r="C42" s="40"/>
      <c r="D42" s="40"/>
      <c r="AV42" t="str">
        <f>IF(OR([3]Personal!D41="Ensamble",[3]Personal!F41="Ensamble",[3]Personal!H41="Ensamble",[3]Personal!J41="Ensamble"),[3]Personal!$C41,"")</f>
        <v/>
      </c>
      <c r="AW42" t="str">
        <f t="array" ref="AW42">IFERROR(INDEX($AV$10:$AV$100, SMALL(IF($AV$10:$AV$100&lt;&gt;"", ROW($AV$10:$AV$100)-ROW($AV$10)+1), ROW(33:33))), "")</f>
        <v/>
      </c>
    </row>
    <row r="43" spans="2:49" ht="30" customHeight="1">
      <c r="B43" s="40"/>
      <c r="C43" s="40"/>
      <c r="D43" s="40"/>
      <c r="AV43" t="str">
        <f>IF(OR([3]Personal!D42="Ensamble",[3]Personal!F42="Ensamble",[3]Personal!H42="Ensamble",[3]Personal!J42="Ensamble"),[3]Personal!$C42,"")</f>
        <v/>
      </c>
      <c r="AW43" t="str">
        <f t="array" ref="AW43">IFERROR(INDEX($AV$10:$AV$100, SMALL(IF($AV$10:$AV$100&lt;&gt;"", ROW($AV$10:$AV$100)-ROW($AV$10)+1), ROW(34:34))), "")</f>
        <v/>
      </c>
    </row>
    <row r="44" spans="2:49" ht="30" customHeight="1">
      <c r="B44" s="40"/>
      <c r="C44" s="40"/>
      <c r="D44" s="40"/>
      <c r="AV44" t="str">
        <f>IF(OR([3]Personal!D43="Ensamble",[3]Personal!F43="Ensamble",[3]Personal!H43="Ensamble",[3]Personal!J43="Ensamble"),[3]Personal!$C43,"")</f>
        <v/>
      </c>
      <c r="AW44" t="str">
        <f t="array" ref="AW44">IFERROR(INDEX($AV$10:$AV$100, SMALL(IF($AV$10:$AV$100&lt;&gt;"", ROW($AV$10:$AV$100)-ROW($AV$10)+1), ROW(35:35))), "")</f>
        <v/>
      </c>
    </row>
    <row r="45" spans="2:49" ht="30" customHeight="1">
      <c r="AV45" t="str">
        <f>IF(OR([3]Personal!D44="Ensamble",[3]Personal!F44="Ensamble",[3]Personal!H44="Ensamble",[3]Personal!J44="Ensamble"),[3]Personal!$C44,"")</f>
        <v/>
      </c>
      <c r="AW45" t="str">
        <f t="array" ref="AW45">IFERROR(INDEX($AV$10:$AV$100, SMALL(IF($AV$10:$AV$100&lt;&gt;"", ROW($AV$10:$AV$100)-ROW($AV$10)+1), ROW(36:36))), "")</f>
        <v/>
      </c>
    </row>
    <row r="46" spans="2:49" ht="30" customHeight="1">
      <c r="AV46" t="str">
        <f>IF(OR([3]Personal!D45="Ensamble",[3]Personal!F45="Ensamble",[3]Personal!H45="Ensamble",[3]Personal!J45="Ensamble"),[3]Personal!$C45,"")</f>
        <v/>
      </c>
      <c r="AW46" t="str">
        <f t="array" ref="AW46">IFERROR(INDEX($AV$10:$AV$100, SMALL(IF($AV$10:$AV$100&lt;&gt;"", ROW($AV$10:$AV$100)-ROW($AV$10)+1), ROW(37:37))), "")</f>
        <v/>
      </c>
    </row>
    <row r="47" spans="2:49" ht="30" customHeight="1">
      <c r="D47" s="44"/>
      <c r="AV47" t="str">
        <f>IF(OR([3]Personal!D46="Ensamble",[3]Personal!F46="Ensamble",[3]Personal!H46="Ensamble",[3]Personal!J46="Ensamble"),[3]Personal!$C46,"")</f>
        <v/>
      </c>
      <c r="AW47" t="str">
        <f t="array" ref="AW47">IFERROR(INDEX($AV$10:$AV$100, SMALL(IF($AV$10:$AV$100&lt;&gt;"", ROW($AV$10:$AV$100)-ROW($AV$10)+1), ROW(38:38))), "")</f>
        <v/>
      </c>
    </row>
    <row r="48" spans="2:49" ht="30" customHeight="1">
      <c r="AV48" t="str">
        <f>IF(OR([3]Personal!D47="Ensamble",[3]Personal!F47="Ensamble",[3]Personal!H47="Ensamble",[3]Personal!J47="Ensamble"),[3]Personal!$C47,"")</f>
        <v/>
      </c>
      <c r="AW48" t="str">
        <f t="array" ref="AW48">IFERROR(INDEX($AV$10:$AV$100, SMALL(IF($AV$10:$AV$100&lt;&gt;"", ROW($AV$10:$AV$100)-ROW($AV$10)+1), ROW(39:39))), "")</f>
        <v/>
      </c>
    </row>
    <row r="49" spans="48:49" ht="30" customHeight="1">
      <c r="AV49" t="str">
        <f>IF(OR([3]Personal!D48="Ensamble",[3]Personal!F48="Ensamble",[3]Personal!H48="Ensamble",[3]Personal!J48="Ensamble"),[3]Personal!$C48,"")</f>
        <v/>
      </c>
      <c r="AW49" t="str">
        <f t="array" ref="AW49">IFERROR(INDEX($AV$10:$AV$100, SMALL(IF($AV$10:$AV$100&lt;&gt;"", ROW($AV$10:$AV$100)-ROW($AV$10)+1), ROW(40:40))), "")</f>
        <v/>
      </c>
    </row>
    <row r="50" spans="48:49" ht="30" customHeight="1">
      <c r="AV50" t="str">
        <f>IF(OR([3]Personal!D49="Ensamble",[3]Personal!F49="Ensamble",[3]Personal!H49="Ensamble",[3]Personal!J49="Ensamble"),[3]Personal!$C49,"")</f>
        <v/>
      </c>
      <c r="AW50" t="str">
        <f t="array" ref="AW50">IFERROR(INDEX($AV$10:$AV$100, SMALL(IF($AV$10:$AV$100&lt;&gt;"", ROW($AV$10:$AV$100)-ROW($AV$10)+1), ROW(41:41))), "")</f>
        <v/>
      </c>
    </row>
    <row r="51" spans="48:49" ht="30" customHeight="1">
      <c r="AV51" t="str">
        <f>IF(OR([3]Personal!D50="Ensamble",[3]Personal!F50="Ensamble",[3]Personal!H50="Ensamble",[3]Personal!J50="Ensamble"),[3]Personal!$C50,"")</f>
        <v/>
      </c>
      <c r="AW51" t="str">
        <f t="array" ref="AW51">IFERROR(INDEX($AV$10:$AV$100, SMALL(IF($AV$10:$AV$100&lt;&gt;"", ROW($AV$10:$AV$100)-ROW($AV$10)+1), ROW(42:42))), "")</f>
        <v/>
      </c>
    </row>
    <row r="52" spans="48:49" ht="30" customHeight="1">
      <c r="AV52" t="str">
        <f>IF(OR([3]Personal!D51="Ensamble",[3]Personal!F51="Ensamble",[3]Personal!H51="Ensamble",[3]Personal!J51="Ensamble"),[3]Personal!$C51,"")</f>
        <v/>
      </c>
      <c r="AW52" t="str">
        <f t="array" ref="AW52">IFERROR(INDEX($AV$10:$AV$100, SMALL(IF($AV$10:$AV$100&lt;&gt;"", ROW($AV$10:$AV$100)-ROW($AV$10)+1), ROW(43:43))), "")</f>
        <v/>
      </c>
    </row>
    <row r="53" spans="48:49" ht="30" customHeight="1">
      <c r="AV53" t="str">
        <f>IF(OR([3]Personal!D52="Ensamble",[3]Personal!F52="Ensamble",[3]Personal!H52="Ensamble",[3]Personal!J52="Ensamble"),[3]Personal!$C52,"")</f>
        <v/>
      </c>
      <c r="AW53" t="str">
        <f t="array" ref="AW53">IFERROR(INDEX($AV$10:$AV$100, SMALL(IF($AV$10:$AV$100&lt;&gt;"", ROW($AV$10:$AV$100)-ROW($AV$10)+1), ROW(44:44))), "")</f>
        <v/>
      </c>
    </row>
    <row r="54" spans="48:49" ht="30" customHeight="1">
      <c r="AV54" t="str">
        <f>IF(OR([3]Personal!D53="Ensamble",[3]Personal!F53="Ensamble",[3]Personal!H53="Ensamble",[3]Personal!J53="Ensamble"),[3]Personal!$C53,"")</f>
        <v/>
      </c>
      <c r="AW54" t="str">
        <f t="array" ref="AW54">IFERROR(INDEX($AV$10:$AV$100, SMALL(IF($AV$10:$AV$100&lt;&gt;"", ROW($AV$10:$AV$100)-ROW($AV$10)+1), ROW(45:45))), "")</f>
        <v/>
      </c>
    </row>
    <row r="55" spans="48:49" ht="30" customHeight="1">
      <c r="AV55" t="str">
        <f>IF(OR([3]Personal!D54="Ensamble",[3]Personal!F54="Ensamble",[3]Personal!H54="Ensamble",[3]Personal!J54="Ensamble"),[3]Personal!$C54,"")</f>
        <v/>
      </c>
      <c r="AW55" t="str">
        <f t="array" ref="AW55">IFERROR(INDEX($AV$10:$AV$100, SMALL(IF($AV$10:$AV$100&lt;&gt;"", ROW($AV$10:$AV$100)-ROW($AV$10)+1), ROW(46:46))), "")</f>
        <v/>
      </c>
    </row>
    <row r="56" spans="48:49" ht="30" customHeight="1">
      <c r="AV56" t="str">
        <f>IF(OR([3]Personal!D55="Ensamble",[3]Personal!F55="Ensamble",[3]Personal!H55="Ensamble",[3]Personal!J55="Ensamble"),[3]Personal!$C55,"")</f>
        <v/>
      </c>
      <c r="AW56" t="str">
        <f t="array" ref="AW56">IFERROR(INDEX($AV$10:$AV$100, SMALL(IF($AV$10:$AV$100&lt;&gt;"", ROW($AV$10:$AV$100)-ROW($AV$10)+1), ROW(47:47))), "")</f>
        <v/>
      </c>
    </row>
    <row r="57" spans="48:49" ht="30" customHeight="1">
      <c r="AV57" t="str">
        <f>IF(OR([3]Personal!D56="Ensamble",[3]Personal!F56="Ensamble",[3]Personal!H56="Ensamble",[3]Personal!J56="Ensamble"),[3]Personal!$C56,"")</f>
        <v/>
      </c>
      <c r="AW57" t="str">
        <f t="array" ref="AW57">IFERROR(INDEX($AV$10:$AV$100, SMALL(IF($AV$10:$AV$100&lt;&gt;"", ROW($AV$10:$AV$100)-ROW($AV$10)+1), ROW(48:48))), "")</f>
        <v/>
      </c>
    </row>
    <row r="58" spans="48:49" ht="30" customHeight="1">
      <c r="AV58" t="str">
        <f>IF(OR([3]Personal!D57="Ensamble",[3]Personal!F57="Ensamble",[3]Personal!H57="Ensamble",[3]Personal!J57="Ensamble"),[3]Personal!$C57,"")</f>
        <v/>
      </c>
      <c r="AW58" t="str">
        <f t="array" ref="AW58">IFERROR(INDEX($AV$10:$AV$100, SMALL(IF($AV$10:$AV$100&lt;&gt;"", ROW($AV$10:$AV$100)-ROW($AV$10)+1), ROW(49:49))), "")</f>
        <v/>
      </c>
    </row>
    <row r="59" spans="48:49" ht="30" customHeight="1">
      <c r="AV59" t="str">
        <f>IF(OR([3]Personal!D58="Ensamble",[3]Personal!F58="Ensamble",[3]Personal!H58="Ensamble",[3]Personal!J58="Ensamble"),[3]Personal!$C58,"")</f>
        <v/>
      </c>
      <c r="AW59" t="str">
        <f t="array" ref="AW59">IFERROR(INDEX($AV$10:$AV$100, SMALL(IF($AV$10:$AV$100&lt;&gt;"", ROW($AV$10:$AV$100)-ROW($AV$10)+1), ROW(50:50))), "")</f>
        <v/>
      </c>
    </row>
    <row r="60" spans="48:49" ht="30" customHeight="1">
      <c r="AV60" t="str">
        <f>IF(OR([3]Personal!D59="Ensamble",[3]Personal!F59="Ensamble",[3]Personal!H59="Ensamble",[3]Personal!J59="Ensamble"),[3]Personal!$C59,"")</f>
        <v/>
      </c>
      <c r="AW60" t="str">
        <f t="array" ref="AW60">IFERROR(INDEX($AV$10:$AV$100, SMALL(IF($AV$10:$AV$100&lt;&gt;"", ROW($AV$10:$AV$100)-ROW($AV$10)+1), ROW(51:51))), "")</f>
        <v/>
      </c>
    </row>
    <row r="61" spans="48:49" ht="30" customHeight="1">
      <c r="AV61" t="str">
        <f>IF(OR([3]Personal!D60="Ensamble",[3]Personal!F60="Ensamble",[3]Personal!H60="Ensamble",[3]Personal!J60="Ensamble"),[3]Personal!$C60,"")</f>
        <v/>
      </c>
      <c r="AW61" t="str">
        <f t="array" ref="AW61">IFERROR(INDEX($AV$10:$AV$100, SMALL(IF($AV$10:$AV$100&lt;&gt;"", ROW($AV$10:$AV$100)-ROW($AV$10)+1), ROW(52:52))), "")</f>
        <v/>
      </c>
    </row>
    <row r="62" spans="48:49" ht="30" customHeight="1">
      <c r="AV62" t="str">
        <f>IF(OR([3]Personal!D61="Ensamble",[3]Personal!F61="Ensamble",[3]Personal!H61="Ensamble",[3]Personal!J61="Ensamble"),[3]Personal!$C61,"")</f>
        <v/>
      </c>
      <c r="AW62" t="str">
        <f t="array" ref="AW62">IFERROR(INDEX($AV$10:$AV$100, SMALL(IF($AV$10:$AV$100&lt;&gt;"", ROW($AV$10:$AV$100)-ROW($AV$10)+1), ROW(53:53))), "")</f>
        <v/>
      </c>
    </row>
    <row r="63" spans="48:49" ht="15">
      <c r="AV63" t="str">
        <f>IF(OR([3]Personal!D62="Ensamble",[3]Personal!F62="Ensamble",[3]Personal!H62="Ensamble",[3]Personal!J62="Ensamble"),[3]Personal!$C62,"")</f>
        <v/>
      </c>
      <c r="AW63" t="str">
        <f t="array" ref="AW63">IFERROR(INDEX($AV$10:$AV$100, SMALL(IF($AV$10:$AV$100&lt;&gt;"", ROW($AV$10:$AV$100)-ROW($AV$10)+1), ROW(54:54))), "")</f>
        <v/>
      </c>
    </row>
    <row r="64" spans="48:49" ht="30" customHeight="1">
      <c r="AV64" t="str">
        <f>IF(OR([3]Personal!D63="Ensamble",[3]Personal!F63="Ensamble",[3]Personal!H63="Ensamble",[3]Personal!J63="Ensamble"),[3]Personal!$C63,"")</f>
        <v/>
      </c>
      <c r="AW64" t="str">
        <f t="array" ref="AW64">IFERROR(INDEX($AV$10:$AV$100, SMALL(IF($AV$10:$AV$100&lt;&gt;"", ROW($AV$10:$AV$100)-ROW($AV$10)+1), ROW(55:55))), "")</f>
        <v/>
      </c>
    </row>
    <row r="65" spans="48:49" ht="30" customHeight="1">
      <c r="AV65" t="str">
        <f>IF(OR([3]Personal!D64="Ensamble",[3]Personal!F64="Ensamble",[3]Personal!H64="Ensamble",[3]Personal!J64="Ensamble"),[3]Personal!$C64,"")</f>
        <v/>
      </c>
      <c r="AW65" t="str">
        <f t="array" ref="AW65">IFERROR(INDEX($AV$10:$AV$100, SMALL(IF($AV$10:$AV$100&lt;&gt;"", ROW($AV$10:$AV$100)-ROW($AV$10)+1), ROW(56:56))), "")</f>
        <v/>
      </c>
    </row>
    <row r="66" spans="48:49" ht="30" customHeight="1">
      <c r="AV66" t="str">
        <f>IF(OR([3]Personal!D65="Ensamble",[3]Personal!F65="Ensamble",[3]Personal!H65="Ensamble",[3]Personal!J65="Ensamble"),[3]Personal!$C65,"")</f>
        <v/>
      </c>
      <c r="AW66" t="str">
        <f t="array" ref="AW66">IFERROR(INDEX($AV$10:$AV$100, SMALL(IF($AV$10:$AV$100&lt;&gt;"", ROW($AV$10:$AV$100)-ROW($AV$10)+1), ROW(57:57))), "")</f>
        <v/>
      </c>
    </row>
    <row r="67" spans="48:49" ht="30" customHeight="1">
      <c r="AV67" t="str">
        <f>IF(OR([3]Personal!D66="Ensamble",[3]Personal!F66="Ensamble",[3]Personal!H66="Ensamble",[3]Personal!J66="Ensamble"),[3]Personal!$C66,"")</f>
        <v/>
      </c>
      <c r="AW67" t="str">
        <f t="array" ref="AW67">IFERROR(INDEX($AV$10:$AV$100, SMALL(IF($AV$10:$AV$100&lt;&gt;"", ROW($AV$10:$AV$100)-ROW($AV$10)+1), ROW(58:58))), "")</f>
        <v/>
      </c>
    </row>
    <row r="68" spans="48:49" ht="30" customHeight="1">
      <c r="AV68" t="str">
        <f>IF(OR([3]Personal!D67="Ensamble",[3]Personal!F67="Ensamble",[3]Personal!H67="Ensamble",[3]Personal!J67="Ensamble"),[3]Personal!$C67,"")</f>
        <v/>
      </c>
      <c r="AW68" t="str">
        <f t="array" ref="AW68">IFERROR(INDEX($AV$10:$AV$100, SMALL(IF($AV$10:$AV$100&lt;&gt;"", ROW($AV$10:$AV$100)-ROW($AV$10)+1), ROW(59:59))), "")</f>
        <v/>
      </c>
    </row>
    <row r="69" spans="48:49" ht="30" customHeight="1">
      <c r="AV69" t="str">
        <f>IF(OR([3]Personal!D68="Ensamble",[3]Personal!F68="Ensamble",[3]Personal!H68="Ensamble",[3]Personal!J68="Ensamble"),[3]Personal!$C68,"")</f>
        <v/>
      </c>
      <c r="AW69" t="str">
        <f t="array" ref="AW69">IFERROR(INDEX($AV$10:$AV$100, SMALL(IF($AV$10:$AV$100&lt;&gt;"", ROW($AV$10:$AV$100)-ROW($AV$10)+1), ROW(60:60))), "")</f>
        <v/>
      </c>
    </row>
    <row r="70" spans="48:49" ht="30" customHeight="1">
      <c r="AV70" t="str">
        <f>IF(OR([3]Personal!D69="Ensamble",[3]Personal!F69="Ensamble",[3]Personal!H69="Ensamble",[3]Personal!J69="Ensamble"),[3]Personal!$C69,"")</f>
        <v/>
      </c>
      <c r="AW70" t="str">
        <f t="array" ref="AW70">IFERROR(INDEX($AV$10:$AV$100, SMALL(IF($AV$10:$AV$100&lt;&gt;"", ROW($AV$10:$AV$100)-ROW($AV$10)+1), ROW(61:61))), "")</f>
        <v/>
      </c>
    </row>
    <row r="71" spans="48:49" ht="30" customHeight="1">
      <c r="AV71" t="str">
        <f>IF(OR([3]Personal!D70="Ensamble",[3]Personal!F70="Ensamble",[3]Personal!H70="Ensamble",[3]Personal!J70="Ensamble"),[3]Personal!$C70,"")</f>
        <v/>
      </c>
      <c r="AW71" t="str">
        <f t="array" ref="AW71">IFERROR(INDEX($AV$10:$AV$100, SMALL(IF($AV$10:$AV$100&lt;&gt;"", ROW($AV$10:$AV$100)-ROW($AV$10)+1), ROW(62:62))), "")</f>
        <v/>
      </c>
    </row>
    <row r="72" spans="48:49" ht="30" customHeight="1">
      <c r="AV72" t="str">
        <f>IF(OR([3]Personal!D71="Ensamble",[3]Personal!F71="Ensamble",[3]Personal!H71="Ensamble",[3]Personal!J71="Ensamble"),[3]Personal!$C71,"")</f>
        <v/>
      </c>
      <c r="AW72" t="str">
        <f t="array" ref="AW72">IFERROR(INDEX($AV$10:$AV$100, SMALL(IF($AV$10:$AV$100&lt;&gt;"", ROW($AV$10:$AV$100)-ROW($AV$10)+1), ROW(63:63))), "")</f>
        <v/>
      </c>
    </row>
    <row r="73" spans="48:49" ht="30" customHeight="1">
      <c r="AV73" t="str">
        <f>IF(OR([3]Personal!D72="Ensamble",[3]Personal!F72="Ensamble",[3]Personal!H72="Ensamble",[3]Personal!J72="Ensamble"),[3]Personal!$C72,"")</f>
        <v/>
      </c>
      <c r="AW73" t="str">
        <f t="array" ref="AW73">IFERROR(INDEX($AV$10:$AV$100, SMALL(IF($AV$10:$AV$100&lt;&gt;"", ROW($AV$10:$AV$100)-ROW($AV$10)+1), ROW(64:64))), "")</f>
        <v/>
      </c>
    </row>
    <row r="74" spans="48:49" ht="30" customHeight="1">
      <c r="AV74" t="str">
        <f>IF(OR([3]Personal!D73="Ensamble",[3]Personal!F73="Ensamble",[3]Personal!H73="Ensamble",[3]Personal!J73="Ensamble"),[3]Personal!$C73,"")</f>
        <v/>
      </c>
      <c r="AW74" t="str">
        <f t="array" ref="AW74">IFERROR(INDEX($AV$10:$AV$100, SMALL(IF($AV$10:$AV$100&lt;&gt;"", ROW($AV$10:$AV$100)-ROW($AV$10)+1), ROW(65:65))), "")</f>
        <v/>
      </c>
    </row>
    <row r="75" spans="48:49" ht="30" customHeight="1">
      <c r="AV75" t="str">
        <f>IF(OR([3]Personal!D74="Ensamble",[3]Personal!F74="Ensamble",[3]Personal!H74="Ensamble",[3]Personal!J74="Ensamble"),[3]Personal!$C74,"")</f>
        <v/>
      </c>
      <c r="AW75" t="str">
        <f t="array" ref="AW75">IFERROR(INDEX($AV$10:$AV$100, SMALL(IF($AV$10:$AV$100&lt;&gt;"", ROW($AV$10:$AV$100)-ROW($AV$10)+1), ROW(66:66))), "")</f>
        <v/>
      </c>
    </row>
    <row r="76" spans="48:49" ht="30" customHeight="1">
      <c r="AV76" t="str">
        <f>IF(OR([3]Personal!D75="Ensamble",[3]Personal!F75="Ensamble",[3]Personal!H75="Ensamble",[3]Personal!J75="Ensamble"),[3]Personal!$C75,"")</f>
        <v/>
      </c>
      <c r="AW76" t="str">
        <f t="array" ref="AW76">IFERROR(INDEX($AV$10:$AV$100, SMALL(IF($AV$10:$AV$100&lt;&gt;"", ROW($AV$10:$AV$100)-ROW($AV$10)+1), ROW(67:67))), "")</f>
        <v/>
      </c>
    </row>
    <row r="77" spans="48:49" ht="30" customHeight="1">
      <c r="AV77" t="str">
        <f>IF(OR([3]Personal!D76="Ensamble",[3]Personal!F76="Ensamble",[3]Personal!H76="Ensamble",[3]Personal!J76="Ensamble"),[3]Personal!$C76,"")</f>
        <v/>
      </c>
      <c r="AW77" t="str">
        <f t="array" ref="AW77">IFERROR(INDEX($AV$10:$AV$100, SMALL(IF($AV$10:$AV$100&lt;&gt;"", ROW($AV$10:$AV$100)-ROW($AV$10)+1), ROW(68:68))), "")</f>
        <v/>
      </c>
    </row>
    <row r="78" spans="48:49" ht="30" customHeight="1">
      <c r="AV78" t="str">
        <f>IF(OR([3]Personal!D77="Ensamble",[3]Personal!F77="Ensamble",[3]Personal!H77="Ensamble",[3]Personal!J77="Ensamble"),[3]Personal!$C77,"")</f>
        <v/>
      </c>
      <c r="AW78" t="str">
        <f t="array" ref="AW78">IFERROR(INDEX($AV$10:$AV$100, SMALL(IF($AV$10:$AV$100&lt;&gt;"", ROW($AV$10:$AV$100)-ROW($AV$10)+1), ROW(69:69))), "")</f>
        <v/>
      </c>
    </row>
    <row r="79" spans="48:49" ht="30" customHeight="1">
      <c r="AV79" t="str">
        <f>IF(OR([3]Personal!D78="Ensamble",[3]Personal!F78="Ensamble",[3]Personal!H78="Ensamble",[3]Personal!J78="Ensamble"),[3]Personal!$C78,"")</f>
        <v/>
      </c>
      <c r="AW79" t="str">
        <f t="array" ref="AW79">IFERROR(INDEX($AV$10:$AV$100, SMALL(IF($AV$10:$AV$100&lt;&gt;"", ROW($AV$10:$AV$100)-ROW($AV$10)+1), ROW(70:70))), "")</f>
        <v/>
      </c>
    </row>
    <row r="80" spans="48:49" ht="30" customHeight="1">
      <c r="AV80" t="str">
        <f>IF(OR([3]Personal!D79="Ensamble",[3]Personal!F79="Ensamble",[3]Personal!H79="Ensamble",[3]Personal!J79="Ensamble"),[3]Personal!$C79,"")</f>
        <v/>
      </c>
      <c r="AW80" t="str">
        <f t="array" ref="AW80">IFERROR(INDEX($AV$10:$AV$100, SMALL(IF($AV$10:$AV$100&lt;&gt;"", ROW($AV$10:$AV$100)-ROW($AV$10)+1), ROW(71:71))), "")</f>
        <v/>
      </c>
    </row>
    <row r="81" spans="48:49" ht="30" customHeight="1">
      <c r="AV81" t="str">
        <f>IF(OR([3]Personal!D80="Ensamble",[3]Personal!F80="Ensamble",[3]Personal!H80="Ensamble",[3]Personal!J80="Ensamble"),[3]Personal!$C80,"")</f>
        <v/>
      </c>
      <c r="AW81" t="str">
        <f t="array" ref="AW81">IFERROR(INDEX($AV$10:$AV$100, SMALL(IF($AV$10:$AV$100&lt;&gt;"", ROW($AV$10:$AV$100)-ROW($AV$10)+1), ROW(72:72))), "")</f>
        <v/>
      </c>
    </row>
    <row r="82" spans="48:49" ht="30" customHeight="1">
      <c r="AV82" t="str">
        <f>IF(OR([3]Personal!D81="Ensamble",[3]Personal!F81="Ensamble",[3]Personal!H81="Ensamble",[3]Personal!J81="Ensamble"),[3]Personal!$C81,"")</f>
        <v/>
      </c>
      <c r="AW82" t="str">
        <f t="array" ref="AW82">IFERROR(INDEX($AV$10:$AV$100, SMALL(IF($AV$10:$AV$100&lt;&gt;"", ROW($AV$10:$AV$100)-ROW($AV$10)+1), ROW(73:73))), "")</f>
        <v/>
      </c>
    </row>
    <row r="83" spans="48:49" ht="30" customHeight="1">
      <c r="AV83" t="str">
        <f>IF(OR([3]Personal!D82="Ensamble",[3]Personal!F82="Ensamble",[3]Personal!H82="Ensamble",[3]Personal!J82="Ensamble"),[3]Personal!$C82,"")</f>
        <v/>
      </c>
      <c r="AW83" t="str">
        <f t="array" ref="AW83">IFERROR(INDEX($AV$10:$AV$100, SMALL(IF($AV$10:$AV$100&lt;&gt;"", ROW($AV$10:$AV$100)-ROW($AV$10)+1), ROW(74:74))), "")</f>
        <v/>
      </c>
    </row>
    <row r="84" spans="48:49" ht="30" customHeight="1">
      <c r="AV84" t="str">
        <f>IF(OR([3]Personal!D83="Ensamble",[3]Personal!F83="Ensamble",[3]Personal!H83="Ensamble",[3]Personal!J83="Ensamble"),[3]Personal!$C83,"")</f>
        <v/>
      </c>
      <c r="AW84" t="str">
        <f t="array" ref="AW84">IFERROR(INDEX($AV$10:$AV$100, SMALL(IF($AV$10:$AV$100&lt;&gt;"", ROW($AV$10:$AV$100)-ROW($AV$10)+1), ROW(75:75))), "")</f>
        <v/>
      </c>
    </row>
    <row r="85" spans="48:49" ht="30" customHeight="1">
      <c r="AV85" t="str">
        <f>IF(OR([3]Personal!D84="Ensamble",[3]Personal!F84="Ensamble",[3]Personal!H84="Ensamble",[3]Personal!J84="Ensamble"),[3]Personal!$C84,"")</f>
        <v/>
      </c>
      <c r="AW85" t="str">
        <f t="array" ref="AW85">IFERROR(INDEX($AV$10:$AV$100, SMALL(IF($AV$10:$AV$100&lt;&gt;"", ROW($AV$10:$AV$100)-ROW($AV$10)+1), ROW(76:76))), "")</f>
        <v/>
      </c>
    </row>
    <row r="86" spans="48:49" ht="30" customHeight="1">
      <c r="AV86" t="str">
        <f>IF(OR([3]Personal!D85="Ensamble",[3]Personal!F85="Ensamble",[3]Personal!H85="Ensamble",[3]Personal!J85="Ensamble"),[3]Personal!$C85,"")</f>
        <v/>
      </c>
      <c r="AW86" t="str">
        <f t="array" ref="AW86">IFERROR(INDEX($AV$10:$AV$100, SMALL(IF($AV$10:$AV$100&lt;&gt;"", ROW($AV$10:$AV$100)-ROW($AV$10)+1), ROW(77:77))), "")</f>
        <v/>
      </c>
    </row>
    <row r="87" spans="48:49" ht="30" customHeight="1">
      <c r="AV87" t="str">
        <f>IF(OR([3]Personal!D86="Ensamble",[3]Personal!F86="Ensamble",[3]Personal!H86="Ensamble",[3]Personal!J86="Ensamble"),[3]Personal!$C86,"")</f>
        <v/>
      </c>
      <c r="AW87" t="str">
        <f t="array" ref="AW87">IFERROR(INDEX($AV$10:$AV$100, SMALL(IF($AV$10:$AV$100&lt;&gt;"", ROW($AV$10:$AV$100)-ROW($AV$10)+1), ROW(78:78))), "")</f>
        <v/>
      </c>
    </row>
    <row r="88" spans="48:49" ht="30" customHeight="1">
      <c r="AV88" t="str">
        <f>IF(OR([3]Personal!D87="Ensamble",[3]Personal!F87="Ensamble",[3]Personal!H87="Ensamble",[3]Personal!J87="Ensamble"),[3]Personal!$C87,"")</f>
        <v/>
      </c>
      <c r="AW88" t="str">
        <f t="array" ref="AW88">IFERROR(INDEX($AV$10:$AV$100, SMALL(IF($AV$10:$AV$100&lt;&gt;"", ROW($AV$10:$AV$100)-ROW($AV$10)+1), ROW(79:79))), "")</f>
        <v/>
      </c>
    </row>
    <row r="89" spans="48:49" ht="30" customHeight="1">
      <c r="AV89" t="str">
        <f>IF(OR([3]Personal!D88="Ensamble",[3]Personal!F88="Ensamble",[3]Personal!H88="Ensamble",[3]Personal!J88="Ensamble"),[3]Personal!$C88,"")</f>
        <v/>
      </c>
      <c r="AW89" t="str">
        <f t="array" ref="AW89">IFERROR(INDEX($AV$10:$AV$100, SMALL(IF($AV$10:$AV$100&lt;&gt;"", ROW($AV$10:$AV$100)-ROW($AV$10)+1), ROW(80:80))), "")</f>
        <v/>
      </c>
    </row>
    <row r="90" spans="48:49" ht="30" customHeight="1">
      <c r="AV90" t="str">
        <f>IF(OR([3]Personal!D89="Ensamble",[3]Personal!F89="Ensamble",[3]Personal!H89="Ensamble",[3]Personal!J89="Ensamble"),[3]Personal!$C89,"")</f>
        <v/>
      </c>
      <c r="AW90" t="str">
        <f t="array" ref="AW90">IFERROR(INDEX($AV$10:$AV$100, SMALL(IF($AV$10:$AV$100&lt;&gt;"", ROW($AV$10:$AV$100)-ROW($AV$10)+1), ROW(81:81))), "")</f>
        <v/>
      </c>
    </row>
    <row r="91" spans="48:49" ht="30" customHeight="1">
      <c r="AV91" t="str">
        <f>IF(OR([3]Personal!D90="Ensamble",[3]Personal!F90="Ensamble",[3]Personal!H90="Ensamble",[3]Personal!J90="Ensamble"),[3]Personal!$C90,"")</f>
        <v/>
      </c>
      <c r="AW91" t="str">
        <f t="array" ref="AW91">IFERROR(INDEX($AV$10:$AV$100, SMALL(IF($AV$10:$AV$100&lt;&gt;"", ROW($AV$10:$AV$100)-ROW($AV$10)+1), ROW(82:82))), "")</f>
        <v/>
      </c>
    </row>
    <row r="92" spans="48:49" ht="30" customHeight="1">
      <c r="AV92" t="str">
        <f>IF(OR([3]Personal!D91="Ensamble",[3]Personal!F91="Ensamble",[3]Personal!H91="Ensamble",[3]Personal!J91="Ensamble"),[3]Personal!$C91,"")</f>
        <v/>
      </c>
      <c r="AW92" t="str">
        <f t="array" ref="AW92">IFERROR(INDEX($AV$10:$AV$100, SMALL(IF($AV$10:$AV$100&lt;&gt;"", ROW($AV$10:$AV$100)-ROW($AV$10)+1), ROW(83:83))), "")</f>
        <v/>
      </c>
    </row>
    <row r="93" spans="48:49" ht="30" customHeight="1">
      <c r="AV93" t="str">
        <f>IF(OR([3]Personal!D92="Ensamble",[3]Personal!F92="Ensamble",[3]Personal!H92="Ensamble",[3]Personal!J92="Ensamble"),[3]Personal!$C92,"")</f>
        <v/>
      </c>
      <c r="AW93" t="str">
        <f t="array" ref="AW93">IFERROR(INDEX($AV$10:$AV$100, SMALL(IF($AV$10:$AV$100&lt;&gt;"", ROW($AV$10:$AV$100)-ROW($AV$10)+1), ROW(84:84))), "")</f>
        <v/>
      </c>
    </row>
    <row r="94" spans="48:49" ht="30" customHeight="1">
      <c r="AV94" t="str">
        <f>IF(OR([3]Personal!D93="Ensamble",[3]Personal!F93="Ensamble",[3]Personal!H93="Ensamble",[3]Personal!J93="Ensamble"),[3]Personal!$C93,"")</f>
        <v/>
      </c>
      <c r="AW94" t="str">
        <f t="array" ref="AW94">IFERROR(INDEX($AV$10:$AV$100, SMALL(IF($AV$10:$AV$100&lt;&gt;"", ROW($AV$10:$AV$100)-ROW($AV$10)+1), ROW(85:85))), "")</f>
        <v/>
      </c>
    </row>
    <row r="95" spans="48:49" ht="30" customHeight="1">
      <c r="AV95" t="str">
        <f>IF(OR([3]Personal!D94="Ensamble",[3]Personal!F94="Ensamble",[3]Personal!H94="Ensamble",[3]Personal!J94="Ensamble"),[3]Personal!$C94,"")</f>
        <v/>
      </c>
      <c r="AW95" t="str">
        <f t="array" ref="AW95">IFERROR(INDEX($AV$10:$AV$100, SMALL(IF($AV$10:$AV$100&lt;&gt;"", ROW($AV$10:$AV$100)-ROW($AV$10)+1), ROW(86:86))), "")</f>
        <v/>
      </c>
    </row>
    <row r="96" spans="48:49" ht="30" customHeight="1">
      <c r="AV96" t="str">
        <f>IF(OR([3]Personal!D95="Ensamble",[3]Personal!F95="Ensamble",[3]Personal!H95="Ensamble",[3]Personal!J95="Ensamble"),[3]Personal!$C95,"")</f>
        <v/>
      </c>
      <c r="AW96" t="str">
        <f t="array" ref="AW96">IFERROR(INDEX($AV$10:$AV$100, SMALL(IF($AV$10:$AV$100&lt;&gt;"", ROW($AV$10:$AV$100)-ROW($AV$10)+1), ROW(87:87))), "")</f>
        <v/>
      </c>
    </row>
    <row r="97" spans="48:49" ht="30" customHeight="1">
      <c r="AV97" t="str">
        <f>IF(OR([3]Personal!D96="Ensamble",[3]Personal!F96="Ensamble",[3]Personal!H96="Ensamble",[3]Personal!J96="Ensamble"),[3]Personal!$C96,"")</f>
        <v/>
      </c>
      <c r="AW97" t="str">
        <f t="array" ref="AW97">IFERROR(INDEX($AV$10:$AV$100, SMALL(IF($AV$10:$AV$100&lt;&gt;"", ROW($AV$10:$AV$100)-ROW($AV$10)+1), ROW(88:88))), "")</f>
        <v/>
      </c>
    </row>
    <row r="98" spans="48:49" ht="30" customHeight="1">
      <c r="AV98" t="str">
        <f>IF(OR([3]Personal!D97="Ensamble",[3]Personal!F97="Ensamble",[3]Personal!H97="Ensamble",[3]Personal!J97="Ensamble"),[3]Personal!$C97,"")</f>
        <v/>
      </c>
      <c r="AW98" t="str">
        <f t="array" ref="AW98">IFERROR(INDEX($AV$10:$AV$100, SMALL(IF($AV$10:$AV$100&lt;&gt;"", ROW($AV$10:$AV$100)-ROW($AV$10)+1), ROW(89:89))), "")</f>
        <v/>
      </c>
    </row>
    <row r="99" spans="48:49" ht="30" customHeight="1">
      <c r="AV99" t="str">
        <f>IF(OR([3]Personal!D98="Ensamble",[3]Personal!F98="Ensamble",[3]Personal!H98="Ensamble",[3]Personal!J98="Ensamble"),[3]Personal!$C98,"")</f>
        <v/>
      </c>
      <c r="AW99" t="str">
        <f t="array" ref="AW99">IFERROR(INDEX($AV$10:$AV$100, SMALL(IF($AV$10:$AV$100&lt;&gt;"", ROW($AV$10:$AV$100)-ROW($AV$10)+1), ROW(90:90))), "")</f>
        <v/>
      </c>
    </row>
    <row r="100" spans="48:49" ht="30" customHeight="1">
      <c r="AV100" t="str">
        <f>IF(OR([3]Personal!D99="Ensamble",[3]Personal!F99="Ensamble",[3]Personal!H99="Ensamble",[3]Personal!J99="Ensamble"),[3]Personal!$C99,"")</f>
        <v/>
      </c>
      <c r="AW100" t="str">
        <f t="array" ref="AW100">IFERROR(INDEX($AV$10:$AV$100, SMALL(IF($AV$10:$AV$100&lt;&gt;"", ROW($AV$10:$AV$100)-ROW($AV$10)+1), ROW(91:91))), "")</f>
        <v/>
      </c>
    </row>
  </sheetData>
  <sheetProtection selectLockedCells="1"/>
  <mergeCells count="12">
    <mergeCell ref="F3:G3"/>
    <mergeCell ref="F5:G5"/>
    <mergeCell ref="F6:G6"/>
    <mergeCell ref="E31:F31"/>
    <mergeCell ref="H33:J33"/>
    <mergeCell ref="C33:E33"/>
    <mergeCell ref="B8:B9"/>
    <mergeCell ref="C8:C9"/>
    <mergeCell ref="D8:D9"/>
    <mergeCell ref="E8:AR8"/>
    <mergeCell ref="B26:B30"/>
    <mergeCell ref="D26:D31"/>
  </mergeCells>
  <dataValidations count="4">
    <dataValidation allowBlank="1" showInputMessage="1" showErrorMessage="1" prompt="Escriba el departamento del empleado en la celda de la derecha." sqref="B44:D44"/>
    <dataValidation type="list" allowBlank="1" showInputMessage="1" showErrorMessage="1" sqref="C10:C25">
      <formula1>Personal</formula1>
    </dataValidation>
    <dataValidation allowBlank="1" showInputMessage="1" showErrorMessage="1" prompt="Escriba comentarios en las celdas de la derecha." sqref="D47"/>
    <dataValidation type="list" allowBlank="1" showInputMessage="1" showErrorMessage="1" sqref="B10:B25">
      <formula1>Lista_Ensamble</formula1>
    </dataValidation>
  </dataValidations>
  <printOptions horizontalCentered="1" verticalCentered="1"/>
  <pageMargins left="0.4" right="0.4" top="0.4" bottom="0.4" header="0.3" footer="0.3"/>
  <pageSetup paperSize="9" scale="15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irmarHojaActual">
                <anchor moveWithCells="1" sizeWithCells="1">
                  <from>
                    <xdr:col>1</xdr:col>
                    <xdr:colOff>847725</xdr:colOff>
                    <xdr:row>31</xdr:row>
                    <xdr:rowOff>352425</xdr:rowOff>
                  </from>
                  <to>
                    <xdr:col>1</xdr:col>
                    <xdr:colOff>2085975</xdr:colOff>
                    <xdr:row>33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002060"/>
    <pageSetUpPr autoPageBreaks="0" fitToPage="1"/>
  </sheetPr>
  <dimension ref="B1:J42"/>
  <sheetViews>
    <sheetView showGridLines="0" zoomScale="112" zoomScaleNormal="112" workbookViewId="0">
      <selection activeCell="E10" sqref="E10"/>
    </sheetView>
  </sheetViews>
  <sheetFormatPr baseColWidth="10" defaultColWidth="9.140625" defaultRowHeight="30" customHeight="1"/>
  <cols>
    <col min="1" max="1" width="2.7109375" customWidth="1"/>
    <col min="2" max="2" width="26.7109375" customWidth="1"/>
    <col min="3" max="3" width="33.28515625" bestFit="1" customWidth="1"/>
    <col min="4" max="4" width="40.140625" bestFit="1" customWidth="1"/>
    <col min="5" max="5" width="21" customWidth="1"/>
    <col min="6" max="6" width="16.5703125" bestFit="1" customWidth="1"/>
    <col min="7" max="7" width="19.7109375" customWidth="1"/>
    <col min="8" max="8" width="17" customWidth="1"/>
    <col min="9" max="9" width="52.85546875" customWidth="1"/>
    <col min="10" max="10" width="2.7109375" customWidth="1"/>
    <col min="11" max="11" width="3" customWidth="1"/>
    <col min="12" max="12" width="21.5703125" customWidth="1"/>
    <col min="13" max="13" width="32.7109375" customWidth="1"/>
    <col min="14" max="14" width="36.5703125" customWidth="1"/>
    <col min="15" max="15" width="22.5703125" customWidth="1"/>
    <col min="16" max="16" width="12.85546875" customWidth="1"/>
    <col min="17" max="17" width="17.42578125" customWidth="1"/>
    <col min="18" max="18" width="13.140625" customWidth="1"/>
    <col min="19" max="19" width="29.85546875" customWidth="1"/>
  </cols>
  <sheetData>
    <row r="1" spans="2:10" ht="12" customHeight="1" thickBot="1"/>
    <row r="2" spans="2:10" ht="30" customHeight="1">
      <c r="B2" s="1" t="s">
        <v>0</v>
      </c>
      <c r="C2" s="3"/>
      <c r="D2" s="4"/>
      <c r="E2" s="4"/>
      <c r="F2" s="4"/>
      <c r="G2" s="4"/>
      <c r="H2" s="4"/>
      <c r="I2" s="5"/>
    </row>
    <row r="3" spans="2:10" ht="30" customHeight="1">
      <c r="B3" s="6" t="s">
        <v>1</v>
      </c>
      <c r="C3" s="7" t="s">
        <v>87</v>
      </c>
      <c r="D3" s="125" t="s">
        <v>3</v>
      </c>
      <c r="E3" s="356">
        <f ca="1">TODAY()</f>
        <v>46020</v>
      </c>
      <c r="F3" s="356"/>
      <c r="G3" s="125" t="s">
        <v>61</v>
      </c>
      <c r="H3" s="162">
        <f>DolarBlueVenta()</f>
        <v>1445</v>
      </c>
      <c r="I3" s="10"/>
      <c r="J3" s="11"/>
    </row>
    <row r="4" spans="2:10" ht="30" customHeight="1">
      <c r="B4" s="12" t="s">
        <v>4</v>
      </c>
      <c r="C4" s="13"/>
      <c r="D4" s="14"/>
      <c r="E4" s="14"/>
      <c r="F4" s="14"/>
      <c r="H4" s="14"/>
      <c r="I4" s="15"/>
    </row>
    <row r="5" spans="2:10" ht="30" customHeight="1">
      <c r="B5" s="16" t="s">
        <v>5</v>
      </c>
      <c r="C5" s="72"/>
      <c r="D5" s="17" t="s">
        <v>6</v>
      </c>
      <c r="E5" s="72"/>
      <c r="F5" s="72"/>
      <c r="H5" s="14"/>
      <c r="I5" s="18"/>
    </row>
    <row r="6" spans="2:10" ht="30" customHeight="1">
      <c r="B6" s="16" t="s">
        <v>7</v>
      </c>
      <c r="C6" s="72"/>
      <c r="D6" s="17" t="s">
        <v>62</v>
      </c>
      <c r="E6" s="73"/>
      <c r="F6" s="73"/>
      <c r="H6" s="14"/>
      <c r="I6" s="18"/>
    </row>
    <row r="7" spans="2:10" ht="30" customHeight="1" thickBot="1">
      <c r="B7" s="19"/>
      <c r="C7" s="20"/>
      <c r="D7" s="21"/>
      <c r="E7" s="21"/>
      <c r="F7" s="22"/>
      <c r="G7" s="22"/>
      <c r="H7" s="23"/>
      <c r="I7" s="18"/>
    </row>
    <row r="8" spans="2:10" ht="30" customHeight="1" thickBot="1">
      <c r="B8" s="118" t="s">
        <v>9</v>
      </c>
      <c r="C8" s="119" t="s">
        <v>63</v>
      </c>
      <c r="D8" s="119" t="s">
        <v>64</v>
      </c>
      <c r="E8" s="119" t="s">
        <v>65</v>
      </c>
      <c r="F8" s="119" t="s">
        <v>66</v>
      </c>
      <c r="G8" s="119" t="s">
        <v>67</v>
      </c>
      <c r="H8" s="357" t="s">
        <v>68</v>
      </c>
      <c r="I8" s="358"/>
    </row>
    <row r="9" spans="2:10" ht="30" customHeight="1">
      <c r="B9" s="354" t="s">
        <v>88</v>
      </c>
      <c r="C9" s="355" t="s">
        <v>89</v>
      </c>
      <c r="D9" s="186" t="s">
        <v>195</v>
      </c>
      <c r="E9" s="186"/>
      <c r="F9" s="201" t="s">
        <v>99</v>
      </c>
      <c r="G9" s="202">
        <f>(
  INDEX('[4]INFO-Factura'!$L$10:$L$96,MATCH(MAX('[4]INFO-Factura'!$B$10:$B$96),'[4]INFO-Factura'!$B$10:$B$96,0))
  * INDEX('[4]INFO-Factura'!$K$10:$K$96,MATCH(MAX('[4]INFO-Factura'!$B$10:$B$96),'[4]INFO-Factura'!$B$10:$B$96,0))
  + INDEX('[4]INFO-Factura'!$N$10:$N$96,MATCH(MAX('[4]INFO-Factura'!$B$10:$B$96),'[4]INFO-Factura'!$B$10:$B$96,0))
    * INDEX('[4]INFO-Factura'!$M$10:$M$96,MATCH(MAX('[4]INFO-Factura'!$B$10:$B$96),'[4]INFO-Factura'!$B$10:$B$96,0))
  + INDEX('[4]INFO-Factura'!$P$10:$P$96,MATCH(MAX('[4]INFO-Factura'!$B$10:$B$96),'[4]INFO-Factura'!$B$10:$B$96,0))
    * INDEX('[4]INFO-Factura'!$O$10:$O$96,MATCH(MAX('[4]INFO-Factura'!$B$10:$B$96),'[4]INFO-Factura'!$B$10:$B$96,0))
)
/
(
  INDEX('[4]INFO-Factura'!$K$10:$K$96,MATCH(MAX('[4]INFO-Factura'!$B$10:$B$96),'[4]INFO-Factura'!$B$10:$B$96,0))
  + INDEX('[4]INFO-Factura'!$M$10:$M$96,MATCH(MAX('[4]INFO-Factura'!$B$10:$B$96),'[4]INFO-Factura'!$B$10:$B$96,0))
  + INDEX('[4]INFO-Factura'!$O$10:$O$96,MATCH(MAX('[4]INFO-Factura'!$B$10:$B$96),'[4]INFO-Factura'!$B$10:$B$96,0))
)
/
INDEX('[4]INFO-Factura'!$AB$10:$AB$96,MATCH(MAX('[4]INFO-Factura'!$B$10:$B$96),'[4]INFO-Factura'!$B$10:$B$96,0))</f>
        <v>5.2613958629577628E-2</v>
      </c>
      <c r="H9" s="359" t="str">
        <f>"Factura del " &amp; TEXT(MAX('[4]INFO-Factura'!$B$10:$B$96),"dd/mm/yyyy")</f>
        <v>Factura del 01/09/2025</v>
      </c>
      <c r="I9" s="360"/>
    </row>
    <row r="10" spans="2:10" ht="30" customHeight="1">
      <c r="B10" s="343"/>
      <c r="C10" s="353"/>
      <c r="D10" s="186" t="s">
        <v>194</v>
      </c>
      <c r="E10" s="186"/>
      <c r="F10" s="201" t="s">
        <v>196</v>
      </c>
      <c r="G10" s="202">
        <f>(
  INDEX('[4]INFO-Factura'!$E$10:$E$96,MATCH(MAX('[4]INFO-Factura'!$B$10:$B$96),'[4]INFO-Factura'!$B$10:$B$96,0))
  * INDEX('[4]INFO-Factura'!$D$10:$D$96,MATCH(MAX('[4]INFO-Factura'!$B$10:$B$96),'[4]INFO-Factura'!$B$10:$B$96,0))
  + INDEX('[4]INFO-Factura'!$G$10:$G$96,MATCH(MAX('[4]INFO-Factura'!$B$10:$B$96),'[4]INFO-Factura'!$B$10:$B$96,0))
    * INDEX('[4]INFO-Factura'!$F$10:$F$96,MATCH(MAX('[4]INFO-Factura'!$B$10:$B$96),'[4]INFO-Factura'!$B$10:$B$96,0))
  + INDEX('[4]INFO-Factura'!$I$10:$I$96,MATCH(MAX('[4]INFO-Factura'!$B$10:$B$96),'[4]INFO-Factura'!$B$10:$B$96,0))
    * INDEX('[4]INFO-Factura'!$H$10:$H$96,MATCH(MAX('[4]INFO-Factura'!$B$10:$B$96),'[4]INFO-Factura'!$B$10:$B$96,0))
)
/
(
  INDEX('[4]INFO-Factura'!$D$10:$D$96,MATCH(MAX('[4]INFO-Factura'!$B$10:$B$96),'[4]INFO-Factura'!$B$10:$B$96,0))
  + INDEX('[4]INFO-Factura'!$F$10:$F$96,MATCH(MAX('[4]INFO-Factura'!$B$10:$B$96),'[4]INFO-Factura'!$B$10:$B$96,0))
  + INDEX('[4]INFO-Factura'!$H$10:$H$96,MATCH(MAX('[4]INFO-Factura'!$B$10:$B$96),'[4]INFO-Factura'!$B$10:$B$96,0))
)
/
INDEX('[4]INFO-Factura'!$AB$10:$AB$96,MATCH(MAX('[4]INFO-Factura'!$B$10:$B$96),'[4]INFO-Factura'!$B$10:$B$96,0))</f>
        <v>6.7752496763701409</v>
      </c>
      <c r="H10" s="361" t="str">
        <f>"Factura del " &amp; TEXT(MAX('[4]INFO-Factura'!$B$10:$B$96),"dd/mm/yyyy")</f>
        <v>Factura del 01/09/2025</v>
      </c>
      <c r="I10" s="362"/>
    </row>
    <row r="11" spans="2:10" ht="30" customHeight="1">
      <c r="B11" s="341" t="s">
        <v>92</v>
      </c>
      <c r="C11" s="351" t="s">
        <v>89</v>
      </c>
      <c r="D11" s="186" t="s">
        <v>138</v>
      </c>
      <c r="E11" s="186"/>
      <c r="F11" s="201" t="s">
        <v>93</v>
      </c>
      <c r="G11" s="268">
        <f>'[4]INFO-Consumo'!$F$28</f>
        <v>56</v>
      </c>
      <c r="H11" s="203"/>
      <c r="I11" s="204"/>
    </row>
    <row r="12" spans="2:10" ht="30" customHeight="1">
      <c r="B12" s="343"/>
      <c r="C12" s="353"/>
      <c r="D12" s="186"/>
      <c r="E12" s="186"/>
      <c r="F12" s="201" t="s">
        <v>93</v>
      </c>
      <c r="G12" s="268"/>
      <c r="H12" s="203"/>
      <c r="I12" s="204"/>
    </row>
    <row r="13" spans="2:10" ht="30" customHeight="1">
      <c r="B13" s="341" t="s">
        <v>90</v>
      </c>
      <c r="C13" s="348" t="s">
        <v>89</v>
      </c>
      <c r="D13" s="186" t="s">
        <v>139</v>
      </c>
      <c r="E13" s="186" t="s">
        <v>140</v>
      </c>
      <c r="F13" s="121" t="s">
        <v>91</v>
      </c>
      <c r="G13" s="205">
        <f>80693.38/(20*1455)</f>
        <v>2.7729683848797251</v>
      </c>
      <c r="H13" s="293" t="s">
        <v>141</v>
      </c>
      <c r="I13" s="295"/>
    </row>
    <row r="14" spans="2:10" ht="30" customHeight="1">
      <c r="B14" s="342"/>
      <c r="C14" s="349"/>
      <c r="D14" s="186" t="s">
        <v>142</v>
      </c>
      <c r="E14" s="186" t="s">
        <v>140</v>
      </c>
      <c r="F14" s="121" t="s">
        <v>91</v>
      </c>
      <c r="G14" s="205">
        <f>30018/(20*1450)</f>
        <v>1.0351034482758621</v>
      </c>
      <c r="H14" s="293" t="s">
        <v>143</v>
      </c>
      <c r="I14" s="295"/>
    </row>
    <row r="15" spans="2:10" ht="30" customHeight="1">
      <c r="B15" s="342"/>
      <c r="C15" s="349"/>
      <c r="D15" s="186"/>
      <c r="E15" s="186"/>
      <c r="F15" s="121" t="s">
        <v>91</v>
      </c>
      <c r="G15" s="205"/>
      <c r="H15" s="183"/>
      <c r="I15" s="184"/>
    </row>
    <row r="16" spans="2:10" ht="30" customHeight="1">
      <c r="B16" s="343"/>
      <c r="C16" s="350"/>
      <c r="D16" s="186"/>
      <c r="E16" s="186"/>
      <c r="F16" s="121" t="s">
        <v>91</v>
      </c>
      <c r="G16" s="206"/>
      <c r="H16" s="183"/>
      <c r="I16" s="184"/>
    </row>
    <row r="17" spans="2:9" ht="30" customHeight="1">
      <c r="B17" s="341" t="s">
        <v>144</v>
      </c>
      <c r="C17" s="348" t="s">
        <v>89</v>
      </c>
      <c r="D17" s="186" t="s">
        <v>215</v>
      </c>
      <c r="E17" s="186" t="s">
        <v>216</v>
      </c>
      <c r="F17" s="121" t="s">
        <v>147</v>
      </c>
      <c r="G17" s="206">
        <f>705394/(16*1474.51)</f>
        <v>29.899508989426995</v>
      </c>
      <c r="H17" s="293" t="s">
        <v>217</v>
      </c>
      <c r="I17" s="295"/>
    </row>
    <row r="18" spans="2:9" ht="30" customHeight="1">
      <c r="B18" s="342"/>
      <c r="C18" s="349"/>
      <c r="D18" s="186"/>
      <c r="E18" s="186"/>
      <c r="F18" s="121" t="s">
        <v>147</v>
      </c>
      <c r="G18" s="206"/>
      <c r="H18" s="183"/>
      <c r="I18" s="184"/>
    </row>
    <row r="19" spans="2:9" ht="30" customHeight="1">
      <c r="B19" s="343"/>
      <c r="C19" s="350"/>
      <c r="D19" s="186"/>
      <c r="E19" s="186"/>
      <c r="F19" s="121" t="s">
        <v>147</v>
      </c>
      <c r="G19" s="206"/>
      <c r="H19" s="293"/>
      <c r="I19" s="295"/>
    </row>
    <row r="20" spans="2:9" ht="30" customHeight="1">
      <c r="B20" s="341" t="s">
        <v>94</v>
      </c>
      <c r="C20" s="351" t="s">
        <v>89</v>
      </c>
      <c r="D20" s="186" t="s">
        <v>149</v>
      </c>
      <c r="E20" s="186" t="s">
        <v>150</v>
      </c>
      <c r="F20" s="121" t="s">
        <v>91</v>
      </c>
      <c r="G20" s="206">
        <f>7358/(1475*20)</f>
        <v>0.24942372881355931</v>
      </c>
      <c r="H20" s="293" t="s">
        <v>151</v>
      </c>
      <c r="I20" s="295"/>
    </row>
    <row r="21" spans="2:9" ht="30" customHeight="1">
      <c r="B21" s="342"/>
      <c r="C21" s="352"/>
      <c r="D21" s="186"/>
      <c r="E21" s="186"/>
      <c r="F21" s="121" t="s">
        <v>91</v>
      </c>
      <c r="G21" s="206"/>
      <c r="H21" s="183"/>
      <c r="I21" s="184"/>
    </row>
    <row r="22" spans="2:9" ht="30" customHeight="1">
      <c r="B22" s="343"/>
      <c r="C22" s="353"/>
      <c r="D22" s="186"/>
      <c r="E22" s="186"/>
      <c r="F22" s="121" t="s">
        <v>91</v>
      </c>
      <c r="G22" s="207"/>
      <c r="H22" s="363"/>
      <c r="I22" s="364"/>
    </row>
    <row r="23" spans="2:9" ht="30" customHeight="1">
      <c r="B23" s="341" t="s">
        <v>152</v>
      </c>
      <c r="C23" s="351" t="s">
        <v>89</v>
      </c>
      <c r="D23" s="186" t="s">
        <v>155</v>
      </c>
      <c r="E23" s="186" t="s">
        <v>154</v>
      </c>
      <c r="F23" s="121" t="s">
        <v>91</v>
      </c>
      <c r="G23" s="206">
        <f>1894.4/1520</f>
        <v>1.2463157894736843</v>
      </c>
      <c r="H23" s="293" t="s">
        <v>157</v>
      </c>
      <c r="I23" s="295"/>
    </row>
    <row r="24" spans="2:9" ht="30" customHeight="1">
      <c r="B24" s="342"/>
      <c r="C24" s="352"/>
      <c r="D24" s="186"/>
      <c r="E24" s="186"/>
      <c r="F24" s="121" t="s">
        <v>91</v>
      </c>
      <c r="G24" s="206"/>
      <c r="H24" s="183"/>
      <c r="I24" s="184"/>
    </row>
    <row r="25" spans="2:9" ht="30" customHeight="1">
      <c r="B25" s="343"/>
      <c r="C25" s="353"/>
      <c r="D25" s="186"/>
      <c r="E25" s="186"/>
      <c r="F25" s="121" t="s">
        <v>91</v>
      </c>
      <c r="G25" s="207"/>
      <c r="H25" s="293"/>
      <c r="I25" s="295"/>
    </row>
    <row r="26" spans="2:9" ht="30" customHeight="1">
      <c r="B26" s="104"/>
      <c r="C26" s="208"/>
      <c r="D26" s="188"/>
      <c r="E26" s="188"/>
      <c r="F26" s="99"/>
      <c r="G26" s="209"/>
      <c r="H26" s="188"/>
      <c r="I26" s="106"/>
    </row>
    <row r="27" spans="2:9" ht="30" customHeight="1">
      <c r="B27" s="122"/>
      <c r="C27" s="123"/>
      <c r="D27" s="123"/>
      <c r="E27" s="123"/>
      <c r="F27" s="20"/>
      <c r="G27" s="22"/>
      <c r="H27" s="123"/>
      <c r="I27" s="124"/>
    </row>
    <row r="28" spans="2:9" ht="30" customHeight="1">
      <c r="B28" s="19"/>
      <c r="C28" s="20"/>
      <c r="D28" s="347"/>
      <c r="E28" s="347"/>
      <c r="F28" s="22"/>
      <c r="G28" s="22"/>
      <c r="H28" s="23"/>
      <c r="I28" s="18"/>
    </row>
    <row r="29" spans="2:9" ht="30" customHeight="1">
      <c r="B29" s="75" t="s">
        <v>39</v>
      </c>
      <c r="C29" s="344" t="s">
        <v>176</v>
      </c>
      <c r="D29" s="344"/>
      <c r="E29" s="76" t="s">
        <v>23</v>
      </c>
      <c r="F29" s="345"/>
      <c r="G29" s="345"/>
      <c r="H29" s="14"/>
      <c r="I29" s="34"/>
    </row>
    <row r="30" spans="2:9" ht="30" customHeight="1" thickBot="1">
      <c r="B30" s="35"/>
      <c r="C30" s="37"/>
      <c r="D30" s="37"/>
      <c r="E30" s="37"/>
      <c r="F30" s="346"/>
      <c r="G30" s="346"/>
      <c r="H30" s="38"/>
      <c r="I30" s="39"/>
    </row>
    <row r="31" spans="2:9" ht="30" customHeight="1">
      <c r="B31" s="40"/>
      <c r="C31" s="40"/>
      <c r="D31" s="41"/>
      <c r="E31" s="41"/>
      <c r="F31" s="41"/>
      <c r="G31" s="41"/>
      <c r="H31" s="41"/>
      <c r="I31" s="42"/>
    </row>
    <row r="32" spans="2:9" ht="30" customHeight="1">
      <c r="B32" s="40"/>
    </row>
    <row r="33" spans="2:3" ht="30" customHeight="1">
      <c r="B33" s="40"/>
    </row>
    <row r="34" spans="2:3" ht="30" customHeight="1">
      <c r="B34" s="40"/>
      <c r="C34" s="40"/>
    </row>
    <row r="35" spans="2:3" ht="30" customHeight="1">
      <c r="B35" s="40"/>
      <c r="C35" s="40"/>
    </row>
    <row r="36" spans="2:3" ht="30" customHeight="1">
      <c r="B36" s="40"/>
      <c r="C36" s="40"/>
    </row>
    <row r="37" spans="2:3" ht="30" customHeight="1">
      <c r="B37" s="40"/>
      <c r="C37" s="40"/>
    </row>
    <row r="38" spans="2:3" ht="30" customHeight="1">
      <c r="B38" s="40"/>
      <c r="C38" s="40"/>
    </row>
    <row r="39" spans="2:3" ht="30" customHeight="1">
      <c r="B39" s="40"/>
      <c r="C39" s="40"/>
    </row>
    <row r="40" spans="2:3" ht="15"/>
    <row r="42" spans="2:3" ht="30" customHeight="1">
      <c r="C42" s="44"/>
    </row>
  </sheetData>
  <sheetProtection algorithmName="SHA-512" hashValue="OrmUVpb0Q8TvDGdPRuIb5CszST93YWA7Rrl3OuXI1RetrIdlkJ7PEZAlxI5TE7NDWN7Wt1wczASCc34v6CYdEg==" saltValue="ecZPZsXZ1SxfLCstwGb+ww==" spinCount="100000" sheet="1" objects="1" scenarios="1" selectLockedCells="1"/>
  <mergeCells count="28">
    <mergeCell ref="H23:I23"/>
    <mergeCell ref="H25:I25"/>
    <mergeCell ref="E3:F3"/>
    <mergeCell ref="H8:I8"/>
    <mergeCell ref="H9:I9"/>
    <mergeCell ref="H10:I10"/>
    <mergeCell ref="H13:I13"/>
    <mergeCell ref="H14:I14"/>
    <mergeCell ref="H19:I19"/>
    <mergeCell ref="H17:I17"/>
    <mergeCell ref="H20:I20"/>
    <mergeCell ref="H22:I22"/>
    <mergeCell ref="B9:B10"/>
    <mergeCell ref="C9:C10"/>
    <mergeCell ref="B11:B12"/>
    <mergeCell ref="C11:C12"/>
    <mergeCell ref="B13:B16"/>
    <mergeCell ref="C13:C16"/>
    <mergeCell ref="B17:B19"/>
    <mergeCell ref="C29:D29"/>
    <mergeCell ref="F29:G29"/>
    <mergeCell ref="F30:G30"/>
    <mergeCell ref="D28:E28"/>
    <mergeCell ref="C17:C19"/>
    <mergeCell ref="B23:B25"/>
    <mergeCell ref="C23:C25"/>
    <mergeCell ref="B20:B22"/>
    <mergeCell ref="C20:C22"/>
  </mergeCells>
  <dataValidations disablePrompts="1" count="2">
    <dataValidation allowBlank="1" showInputMessage="1" showErrorMessage="1" prompt="Escriba comentarios en las celdas de la derecha." sqref="C42"/>
    <dataValidation allowBlank="1" showInputMessage="1" showErrorMessage="1" prompt="Escriba el departamento del empleado en la celda de la derecha." sqref="B37:C39"/>
  </dataValidations>
  <printOptions horizontalCentered="1"/>
  <pageMargins left="0.4" right="0.4" top="0.4" bottom="0.4" header="0.3" footer="0.3"/>
  <pageSetup paperSize="9" fitToHeight="0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27</xdr:row>
                    <xdr:rowOff>314325</xdr:rowOff>
                  </from>
                  <to>
                    <xdr:col>1</xdr:col>
                    <xdr:colOff>1762125</xdr:colOff>
                    <xdr:row>28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0">
    <tabColor rgb="FF002060"/>
    <pageSetUpPr autoPageBreaks="0" fitToPage="1"/>
  </sheetPr>
  <dimension ref="B1:L67"/>
  <sheetViews>
    <sheetView showGridLines="0" topLeftCell="A4" zoomScaleNormal="100" workbookViewId="0">
      <selection activeCell="G9" sqref="G9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2" style="80" customWidth="1"/>
    <col min="5" max="5" width="21.7109375" style="80" customWidth="1"/>
    <col min="6" max="6" width="16.5703125" style="80" bestFit="1" customWidth="1"/>
    <col min="7" max="7" width="19.7109375" style="80" bestFit="1" customWidth="1"/>
    <col min="8" max="8" width="19.7109375" style="80" customWidth="1"/>
    <col min="9" max="10" width="17" style="80" customWidth="1"/>
    <col min="11" max="11" width="27.85546875" style="80" bestFit="1" customWidth="1"/>
    <col min="12" max="12" width="2.7109375" style="80" customWidth="1"/>
    <col min="13" max="13" width="3" style="80" customWidth="1"/>
    <col min="14" max="14" width="21.5703125" style="80" customWidth="1"/>
    <col min="15" max="15" width="32.7109375" style="80" customWidth="1"/>
    <col min="16" max="16" width="36.5703125" style="80" customWidth="1"/>
    <col min="17" max="17" width="22.5703125" style="80" customWidth="1"/>
    <col min="18" max="18" width="12.85546875" style="80" customWidth="1"/>
    <col min="19" max="19" width="17.42578125" style="80" customWidth="1"/>
    <col min="20" max="20" width="13.140625" style="80" customWidth="1"/>
    <col min="21" max="21" width="29.85546875" style="80" customWidth="1"/>
    <col min="22" max="16384" width="9.140625" style="80"/>
  </cols>
  <sheetData>
    <row r="1" spans="2:12" ht="12" customHeight="1" thickBot="1"/>
    <row r="2" spans="2:12" ht="30" customHeight="1">
      <c r="B2" s="81" t="s">
        <v>0</v>
      </c>
      <c r="C2" s="82"/>
      <c r="D2" s="83"/>
      <c r="E2" s="83"/>
      <c r="F2" s="83"/>
      <c r="G2" s="83"/>
      <c r="H2" s="83"/>
      <c r="I2" s="83"/>
      <c r="J2" s="83"/>
      <c r="K2" s="84"/>
    </row>
    <row r="3" spans="2:12" ht="30" customHeight="1">
      <c r="B3" s="85" t="s">
        <v>1</v>
      </c>
      <c r="C3" s="86" t="s">
        <v>60</v>
      </c>
      <c r="D3" s="125" t="s">
        <v>3</v>
      </c>
      <c r="E3" s="356">
        <f ca="1">TODAY()</f>
        <v>46020</v>
      </c>
      <c r="F3" s="356"/>
      <c r="G3" s="125" t="s">
        <v>61</v>
      </c>
      <c r="H3" s="162">
        <f>'INFO-Direc'!H3</f>
        <v>1445</v>
      </c>
      <c r="J3" s="87"/>
      <c r="K3" s="88"/>
      <c r="L3" s="89"/>
    </row>
    <row r="4" spans="2:12" ht="30" customHeight="1">
      <c r="B4" s="90" t="s">
        <v>4</v>
      </c>
      <c r="C4" s="91"/>
      <c r="D4" s="92"/>
      <c r="E4" s="92"/>
      <c r="F4" s="92"/>
      <c r="I4" s="92"/>
      <c r="J4" s="92"/>
      <c r="K4" s="93"/>
    </row>
    <row r="5" spans="2:12" ht="30" customHeight="1">
      <c r="B5" s="94" t="s">
        <v>5</v>
      </c>
      <c r="C5" s="70"/>
      <c r="D5" s="95" t="s">
        <v>6</v>
      </c>
      <c r="E5" s="70"/>
      <c r="F5" s="70"/>
      <c r="I5" s="92"/>
      <c r="J5" s="92"/>
      <c r="K5" s="96"/>
    </row>
    <row r="6" spans="2:12" ht="30" customHeight="1">
      <c r="B6" s="94" t="s">
        <v>7</v>
      </c>
      <c r="C6" s="70"/>
      <c r="D6" s="95" t="s">
        <v>62</v>
      </c>
      <c r="E6" s="97"/>
      <c r="F6" s="97"/>
      <c r="I6" s="92"/>
      <c r="J6" s="92"/>
      <c r="K6" s="96"/>
    </row>
    <row r="7" spans="2:12" ht="30" customHeight="1" thickBot="1">
      <c r="B7" s="98"/>
      <c r="C7" s="99"/>
      <c r="D7" s="100"/>
      <c r="E7" s="100"/>
      <c r="F7" s="101"/>
      <c r="G7" s="101"/>
      <c r="H7" s="101"/>
      <c r="I7" s="102"/>
      <c r="J7" s="102"/>
      <c r="K7" s="96"/>
    </row>
    <row r="8" spans="2:12" ht="30" customHeight="1" thickBot="1">
      <c r="B8" s="118" t="s">
        <v>9</v>
      </c>
      <c r="C8" s="119" t="s">
        <v>63</v>
      </c>
      <c r="D8" s="119" t="s">
        <v>64</v>
      </c>
      <c r="E8" s="119" t="s">
        <v>65</v>
      </c>
      <c r="F8" s="119" t="s">
        <v>66</v>
      </c>
      <c r="G8" s="119" t="s">
        <v>67</v>
      </c>
      <c r="H8" s="210" t="s">
        <v>165</v>
      </c>
      <c r="I8" s="357" t="s">
        <v>68</v>
      </c>
      <c r="J8" s="357"/>
      <c r="K8" s="358"/>
    </row>
    <row r="9" spans="2:12" ht="30" customHeight="1">
      <c r="B9" s="354" t="s">
        <v>60</v>
      </c>
      <c r="C9" s="355" t="s">
        <v>69</v>
      </c>
      <c r="D9" s="26" t="s">
        <v>158</v>
      </c>
      <c r="E9" s="74"/>
      <c r="F9" s="103" t="s">
        <v>70</v>
      </c>
      <c r="G9" s="120"/>
      <c r="H9" s="211"/>
      <c r="I9" s="306"/>
      <c r="J9" s="307"/>
      <c r="K9" s="308"/>
    </row>
    <row r="10" spans="2:12" ht="30" customHeight="1">
      <c r="B10" s="342"/>
      <c r="C10" s="352"/>
      <c r="D10" s="26" t="s">
        <v>159</v>
      </c>
      <c r="E10" s="74"/>
      <c r="F10" s="103" t="s">
        <v>70</v>
      </c>
      <c r="G10" s="120"/>
      <c r="H10" s="212"/>
      <c r="I10" s="293"/>
      <c r="J10" s="294"/>
      <c r="K10" s="295"/>
    </row>
    <row r="11" spans="2:12" ht="30" customHeight="1">
      <c r="B11" s="342"/>
      <c r="C11" s="352"/>
      <c r="D11" s="26" t="s">
        <v>71</v>
      </c>
      <c r="E11" s="74"/>
      <c r="F11" s="103" t="s">
        <v>70</v>
      </c>
      <c r="G11" s="120"/>
      <c r="H11" s="212"/>
      <c r="I11" s="293"/>
      <c r="J11" s="294"/>
      <c r="K11" s="295"/>
    </row>
    <row r="12" spans="2:12" ht="30" customHeight="1">
      <c r="B12" s="342"/>
      <c r="C12" s="352"/>
      <c r="D12" s="26" t="s">
        <v>72</v>
      </c>
      <c r="E12" s="74"/>
      <c r="F12" s="103" t="s">
        <v>70</v>
      </c>
      <c r="G12" s="120"/>
      <c r="H12" s="212"/>
      <c r="I12" s="293"/>
      <c r="J12" s="294"/>
      <c r="K12" s="295"/>
    </row>
    <row r="13" spans="2:12" ht="30" customHeight="1">
      <c r="B13" s="342"/>
      <c r="C13" s="352"/>
      <c r="D13" s="26" t="s">
        <v>73</v>
      </c>
      <c r="E13" s="74"/>
      <c r="F13" s="103" t="s">
        <v>70</v>
      </c>
      <c r="G13" s="120"/>
      <c r="H13" s="212"/>
      <c r="I13" s="293"/>
      <c r="J13" s="294"/>
      <c r="K13" s="295"/>
    </row>
    <row r="14" spans="2:12" ht="30" customHeight="1">
      <c r="B14" s="342"/>
      <c r="C14" s="352"/>
      <c r="D14" s="26" t="s">
        <v>74</v>
      </c>
      <c r="E14" s="74"/>
      <c r="F14" s="103" t="s">
        <v>70</v>
      </c>
      <c r="G14" s="120"/>
      <c r="H14" s="212"/>
      <c r="I14" s="293"/>
      <c r="J14" s="294"/>
      <c r="K14" s="295"/>
    </row>
    <row r="15" spans="2:12" ht="30" customHeight="1">
      <c r="B15" s="342"/>
      <c r="C15" s="352"/>
      <c r="D15" s="26" t="s">
        <v>75</v>
      </c>
      <c r="E15" s="74"/>
      <c r="F15" s="103" t="s">
        <v>70</v>
      </c>
      <c r="G15" s="120"/>
      <c r="H15" s="212"/>
      <c r="I15" s="293"/>
      <c r="J15" s="294"/>
      <c r="K15" s="295"/>
    </row>
    <row r="16" spans="2:12" ht="30" customHeight="1">
      <c r="B16" s="342"/>
      <c r="C16" s="352"/>
      <c r="D16" s="26"/>
      <c r="E16" s="74"/>
      <c r="F16" s="103" t="s">
        <v>70</v>
      </c>
      <c r="G16" s="120"/>
      <c r="H16" s="212"/>
      <c r="I16" s="293"/>
      <c r="J16" s="294"/>
      <c r="K16" s="295"/>
    </row>
    <row r="17" spans="2:11" ht="30" customHeight="1">
      <c r="B17" s="342"/>
      <c r="C17" s="352"/>
      <c r="D17" s="26"/>
      <c r="E17" s="74"/>
      <c r="F17" s="103" t="s">
        <v>70</v>
      </c>
      <c r="G17" s="120"/>
      <c r="H17" s="212"/>
      <c r="I17" s="293"/>
      <c r="J17" s="294"/>
      <c r="K17" s="295"/>
    </row>
    <row r="18" spans="2:11" ht="30" customHeight="1">
      <c r="B18" s="342"/>
      <c r="C18" s="352"/>
      <c r="D18" s="26"/>
      <c r="E18" s="74"/>
      <c r="F18" s="103" t="s">
        <v>70</v>
      </c>
      <c r="G18" s="120"/>
      <c r="H18" s="212"/>
      <c r="I18" s="293"/>
      <c r="J18" s="294"/>
      <c r="K18" s="295"/>
    </row>
    <row r="19" spans="2:11" ht="30" customHeight="1">
      <c r="B19" s="342"/>
      <c r="C19" s="352"/>
      <c r="D19" s="26"/>
      <c r="E19" s="74"/>
      <c r="F19" s="103" t="s">
        <v>70</v>
      </c>
      <c r="G19" s="120"/>
      <c r="H19" s="212"/>
      <c r="I19" s="293"/>
      <c r="J19" s="294"/>
      <c r="K19" s="295"/>
    </row>
    <row r="20" spans="2:11" ht="30" customHeight="1">
      <c r="B20" s="342"/>
      <c r="C20" s="352"/>
      <c r="D20" s="26"/>
      <c r="E20" s="74"/>
      <c r="F20" s="103" t="s">
        <v>70</v>
      </c>
      <c r="G20" s="120"/>
      <c r="H20" s="212"/>
      <c r="I20" s="293"/>
      <c r="J20" s="294"/>
      <c r="K20" s="295"/>
    </row>
    <row r="21" spans="2:11" ht="30" customHeight="1">
      <c r="B21" s="342"/>
      <c r="C21" s="352"/>
      <c r="D21" s="26"/>
      <c r="E21" s="74"/>
      <c r="F21" s="103" t="s">
        <v>70</v>
      </c>
      <c r="G21" s="120"/>
      <c r="H21" s="212"/>
      <c r="I21" s="293"/>
      <c r="J21" s="294"/>
      <c r="K21" s="295"/>
    </row>
    <row r="22" spans="2:11" ht="30" customHeight="1">
      <c r="B22" s="342"/>
      <c r="C22" s="352"/>
      <c r="D22" s="26"/>
      <c r="E22" s="74"/>
      <c r="F22" s="103" t="s">
        <v>70</v>
      </c>
      <c r="G22" s="120"/>
      <c r="H22" s="212"/>
      <c r="I22" s="293"/>
      <c r="J22" s="294"/>
      <c r="K22" s="295"/>
    </row>
    <row r="23" spans="2:11" ht="30" customHeight="1">
      <c r="B23" s="342"/>
      <c r="C23" s="352"/>
      <c r="D23" s="26" t="s">
        <v>160</v>
      </c>
      <c r="E23" s="186">
        <v>1613610590</v>
      </c>
      <c r="F23" s="103" t="s">
        <v>70</v>
      </c>
      <c r="G23" s="207">
        <v>125.01</v>
      </c>
      <c r="H23" s="212">
        <v>2000</v>
      </c>
      <c r="I23" s="293" t="s">
        <v>161</v>
      </c>
      <c r="J23" s="294"/>
      <c r="K23" s="295"/>
    </row>
    <row r="24" spans="2:11" ht="30" customHeight="1">
      <c r="B24" s="342"/>
      <c r="C24" s="352"/>
      <c r="D24" s="26" t="s">
        <v>162</v>
      </c>
      <c r="E24" s="186">
        <v>1613950100</v>
      </c>
      <c r="F24" s="103" t="s">
        <v>70</v>
      </c>
      <c r="G24" s="207"/>
      <c r="H24" s="212">
        <v>4000</v>
      </c>
      <c r="I24" s="293"/>
      <c r="J24" s="294"/>
      <c r="K24" s="295"/>
    </row>
    <row r="25" spans="2:11" ht="30" customHeight="1">
      <c r="B25" s="342"/>
      <c r="C25" s="352"/>
      <c r="D25" s="26" t="s">
        <v>163</v>
      </c>
      <c r="E25" s="186" t="s">
        <v>166</v>
      </c>
      <c r="F25" s="103" t="s">
        <v>70</v>
      </c>
      <c r="G25" s="207">
        <f>380.28+95.02</f>
        <v>475.29999999999995</v>
      </c>
      <c r="H25" s="212">
        <v>4000</v>
      </c>
      <c r="I25" s="293" t="s">
        <v>161</v>
      </c>
      <c r="J25" s="294"/>
      <c r="K25" s="295"/>
    </row>
    <row r="26" spans="2:11" ht="30" customHeight="1">
      <c r="B26" s="343"/>
      <c r="C26" s="353"/>
      <c r="D26" s="26" t="s">
        <v>164</v>
      </c>
      <c r="E26" s="186">
        <v>290108580</v>
      </c>
      <c r="F26" s="103" t="s">
        <v>70</v>
      </c>
      <c r="G26" s="207"/>
      <c r="H26" s="212">
        <v>8000</v>
      </c>
      <c r="I26" s="293"/>
      <c r="J26" s="294"/>
      <c r="K26" s="295"/>
    </row>
    <row r="27" spans="2:11" ht="30" customHeight="1">
      <c r="B27" s="104"/>
      <c r="C27" s="105"/>
      <c r="D27" s="105"/>
      <c r="E27" s="105"/>
      <c r="F27" s="99"/>
      <c r="G27" s="101"/>
      <c r="H27" s="101"/>
      <c r="I27" s="105"/>
      <c r="J27" s="105"/>
      <c r="K27" s="106"/>
    </row>
    <row r="28" spans="2:11" ht="30" customHeight="1">
      <c r="B28" s="98"/>
      <c r="C28" s="99"/>
      <c r="D28" s="366"/>
      <c r="E28" s="366"/>
      <c r="F28" s="101"/>
      <c r="G28" s="101"/>
      <c r="H28" s="101"/>
      <c r="I28" s="102"/>
      <c r="J28" s="102"/>
      <c r="K28" s="96"/>
    </row>
    <row r="29" spans="2:11" ht="30" customHeight="1">
      <c r="B29" s="107" t="s">
        <v>39</v>
      </c>
      <c r="C29" s="367"/>
      <c r="D29" s="367"/>
      <c r="E29" s="108" t="s">
        <v>23</v>
      </c>
      <c r="F29" s="368"/>
      <c r="G29" s="368"/>
      <c r="H29" s="102"/>
      <c r="I29" s="92"/>
      <c r="J29" s="92"/>
      <c r="K29" s="109"/>
    </row>
    <row r="30" spans="2:11" ht="30" customHeight="1" thickBot="1">
      <c r="B30" s="110"/>
      <c r="C30" s="111"/>
      <c r="D30" s="111"/>
      <c r="E30" s="111"/>
      <c r="F30" s="365"/>
      <c r="G30" s="365"/>
      <c r="H30" s="111"/>
      <c r="I30" s="112"/>
      <c r="J30" s="112"/>
      <c r="K30" s="113"/>
    </row>
    <row r="31" spans="2:11" ht="30" customHeight="1">
      <c r="B31" s="114"/>
      <c r="C31" s="114"/>
      <c r="D31" s="115"/>
      <c r="E31" s="115"/>
      <c r="F31" s="115"/>
      <c r="G31" s="115"/>
      <c r="H31" s="115"/>
      <c r="I31" s="115"/>
      <c r="J31" s="115"/>
      <c r="K31" s="116"/>
    </row>
    <row r="32" spans="2:11" ht="30" customHeight="1">
      <c r="B32" s="114"/>
    </row>
    <row r="33" spans="2:3" ht="30" customHeight="1">
      <c r="B33" s="114"/>
    </row>
    <row r="34" spans="2:3" ht="30" customHeight="1">
      <c r="B34" s="114"/>
      <c r="C34" s="114"/>
    </row>
    <row r="35" spans="2:3" ht="30" customHeight="1">
      <c r="B35" s="114"/>
      <c r="C35" s="114"/>
    </row>
    <row r="36" spans="2:3" ht="30" customHeight="1">
      <c r="B36" s="114"/>
      <c r="C36" s="114"/>
    </row>
    <row r="37" spans="2:3" ht="30" customHeight="1">
      <c r="B37" s="114"/>
      <c r="C37" s="114"/>
    </row>
    <row r="38" spans="2:3" ht="30" customHeight="1">
      <c r="B38" s="114"/>
      <c r="C38" s="114"/>
    </row>
    <row r="39" spans="2:3" ht="30" customHeight="1">
      <c r="B39" s="114"/>
      <c r="C39" s="114"/>
    </row>
    <row r="42" spans="2:3" ht="30" customHeight="1">
      <c r="C42" s="117"/>
    </row>
    <row r="67" ht="15"/>
  </sheetData>
  <sheetProtection selectLockedCells="1"/>
  <mergeCells count="26">
    <mergeCell ref="I19:K19"/>
    <mergeCell ref="I20:K20"/>
    <mergeCell ref="F30:G30"/>
    <mergeCell ref="I25:K25"/>
    <mergeCell ref="E3:F3"/>
    <mergeCell ref="I8:K8"/>
    <mergeCell ref="D28:E28"/>
    <mergeCell ref="C29:D29"/>
    <mergeCell ref="F29:G29"/>
    <mergeCell ref="I24:K24"/>
    <mergeCell ref="B9:B26"/>
    <mergeCell ref="C9:C26"/>
    <mergeCell ref="I9:K9"/>
    <mergeCell ref="I10:K10"/>
    <mergeCell ref="I11:K11"/>
    <mergeCell ref="I12:K12"/>
    <mergeCell ref="I13:K13"/>
    <mergeCell ref="I14:K14"/>
    <mergeCell ref="I15:K15"/>
    <mergeCell ref="I16:K16"/>
    <mergeCell ref="I17:K17"/>
    <mergeCell ref="I18:K18"/>
    <mergeCell ref="I26:K26"/>
    <mergeCell ref="I21:K21"/>
    <mergeCell ref="I22:K22"/>
    <mergeCell ref="I23:K23"/>
  </mergeCells>
  <printOptions horizontalCentered="1" verticalCentered="1"/>
  <pageMargins left="0.4" right="0.4" top="0.4" bottom="0.4" header="0.3" footer="0.3"/>
  <pageSetup paperSize="9" scale="55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533400</xdr:colOff>
                    <xdr:row>27</xdr:row>
                    <xdr:rowOff>342900</xdr:rowOff>
                  </from>
                  <to>
                    <xdr:col>1</xdr:col>
                    <xdr:colOff>1771650</xdr:colOff>
                    <xdr:row>29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rgb="FF002060"/>
    <pageSetUpPr autoPageBreaks="0" fitToPage="1"/>
  </sheetPr>
  <dimension ref="B1:J39"/>
  <sheetViews>
    <sheetView showGridLines="0" topLeftCell="A4" zoomScale="112" zoomScaleNormal="112" workbookViewId="0">
      <selection activeCell="D9" sqref="D9:D11"/>
    </sheetView>
  </sheetViews>
  <sheetFormatPr baseColWidth="10" defaultColWidth="9.140625" defaultRowHeight="30" customHeight="1"/>
  <cols>
    <col min="1" max="1" width="2.7109375" customWidth="1"/>
    <col min="2" max="2" width="26.7109375" customWidth="1"/>
    <col min="3" max="3" width="33.28515625" bestFit="1" customWidth="1"/>
    <col min="4" max="4" width="40.140625" bestFit="1" customWidth="1"/>
    <col min="5" max="5" width="21" customWidth="1"/>
    <col min="6" max="6" width="16.5703125" bestFit="1" customWidth="1"/>
    <col min="7" max="7" width="19.7109375" customWidth="1"/>
    <col min="8" max="8" width="17" customWidth="1"/>
    <col min="9" max="9" width="52.85546875" customWidth="1"/>
    <col min="10" max="10" width="2.7109375" customWidth="1"/>
    <col min="11" max="11" width="3" customWidth="1"/>
    <col min="12" max="12" width="21.5703125" customWidth="1"/>
    <col min="13" max="13" width="32.7109375" customWidth="1"/>
    <col min="14" max="14" width="36.5703125" customWidth="1"/>
    <col min="15" max="15" width="22.5703125" customWidth="1"/>
    <col min="16" max="16" width="12.85546875" customWidth="1"/>
    <col min="17" max="17" width="17.42578125" customWidth="1"/>
    <col min="18" max="18" width="13.140625" customWidth="1"/>
    <col min="19" max="19" width="29.85546875" customWidth="1"/>
  </cols>
  <sheetData>
    <row r="1" spans="2:10" ht="12" customHeight="1" thickBot="1"/>
    <row r="2" spans="2:10" ht="30" customHeight="1">
      <c r="B2" s="1" t="s">
        <v>0</v>
      </c>
      <c r="C2" s="3"/>
      <c r="D2" s="4"/>
      <c r="E2" s="4"/>
      <c r="F2" s="4"/>
      <c r="G2" s="4"/>
      <c r="H2" s="4"/>
      <c r="I2" s="5"/>
    </row>
    <row r="3" spans="2:10" ht="30" customHeight="1">
      <c r="B3" s="6" t="s">
        <v>1</v>
      </c>
      <c r="C3" s="7" t="s">
        <v>87</v>
      </c>
      <c r="D3" s="125" t="s">
        <v>3</v>
      </c>
      <c r="E3" s="356">
        <f ca="1">TODAY()</f>
        <v>46020</v>
      </c>
      <c r="F3" s="356"/>
      <c r="G3" s="125" t="s">
        <v>61</v>
      </c>
      <c r="H3" s="162">
        <f>DolarBlueVenta()</f>
        <v>1445</v>
      </c>
      <c r="I3" s="10"/>
      <c r="J3" s="11"/>
    </row>
    <row r="4" spans="2:10" ht="30" customHeight="1">
      <c r="B4" s="12" t="s">
        <v>4</v>
      </c>
      <c r="C4" s="13"/>
      <c r="D4" s="14"/>
      <c r="E4" s="14"/>
      <c r="F4" s="14"/>
      <c r="H4" s="14"/>
      <c r="I4" s="15"/>
    </row>
    <row r="5" spans="2:10" ht="30" customHeight="1">
      <c r="B5" s="16" t="s">
        <v>5</v>
      </c>
      <c r="C5" s="72"/>
      <c r="D5" s="17" t="s">
        <v>6</v>
      </c>
      <c r="E5" s="72"/>
      <c r="F5" s="72"/>
      <c r="H5" s="14"/>
      <c r="I5" s="18"/>
    </row>
    <row r="6" spans="2:10" ht="30" customHeight="1">
      <c r="B6" s="16" t="s">
        <v>7</v>
      </c>
      <c r="C6" s="72"/>
      <c r="D6" s="17" t="s">
        <v>62</v>
      </c>
      <c r="E6" s="73"/>
      <c r="F6" s="73"/>
      <c r="H6" s="14"/>
      <c r="I6" s="18"/>
    </row>
    <row r="7" spans="2:10" ht="30" customHeight="1" thickBot="1">
      <c r="B7" s="19"/>
      <c r="C7" s="20"/>
      <c r="D7" s="21"/>
      <c r="E7" s="21"/>
      <c r="F7" s="22"/>
      <c r="G7" s="22"/>
      <c r="H7" s="23"/>
      <c r="I7" s="18"/>
    </row>
    <row r="8" spans="2:10" ht="30" customHeight="1" thickBot="1">
      <c r="B8" s="118" t="s">
        <v>9</v>
      </c>
      <c r="C8" s="263" t="s">
        <v>63</v>
      </c>
      <c r="D8" s="263" t="s">
        <v>64</v>
      </c>
      <c r="E8" s="263" t="s">
        <v>65</v>
      </c>
      <c r="F8" s="263" t="s">
        <v>66</v>
      </c>
      <c r="G8" s="263" t="s">
        <v>67</v>
      </c>
      <c r="H8" s="357" t="s">
        <v>68</v>
      </c>
      <c r="I8" s="358"/>
    </row>
    <row r="9" spans="2:10" ht="30" customHeight="1">
      <c r="B9" s="354" t="s">
        <v>169</v>
      </c>
      <c r="C9" s="355" t="s">
        <v>89</v>
      </c>
      <c r="D9" s="264" t="s">
        <v>170</v>
      </c>
      <c r="E9" s="264" t="s">
        <v>171</v>
      </c>
      <c r="F9" s="201" t="str">
        <f>IF(D9="","","$/u")</f>
        <v>$/u</v>
      </c>
      <c r="G9" s="266">
        <f>16.0847</f>
        <v>16.084700000000002</v>
      </c>
      <c r="H9" s="359" t="s">
        <v>172</v>
      </c>
      <c r="I9" s="360"/>
    </row>
    <row r="10" spans="2:10" ht="30" customHeight="1">
      <c r="B10" s="342"/>
      <c r="C10" s="352"/>
      <c r="D10" s="264"/>
      <c r="E10" s="264"/>
      <c r="F10" s="201" t="str">
        <f t="shared" ref="F10:F22" si="0">IF(D10="","","$/u")</f>
        <v/>
      </c>
      <c r="G10" s="266"/>
      <c r="H10" s="361"/>
      <c r="I10" s="362"/>
    </row>
    <row r="11" spans="2:10" ht="30" customHeight="1">
      <c r="B11" s="342"/>
      <c r="C11" s="352"/>
      <c r="D11" s="270"/>
      <c r="E11" s="270"/>
      <c r="F11" s="201"/>
      <c r="G11" s="266"/>
      <c r="H11" s="203"/>
      <c r="I11" s="204"/>
    </row>
    <row r="12" spans="2:10" ht="30" customHeight="1">
      <c r="B12" s="342"/>
      <c r="C12" s="352"/>
      <c r="D12" s="264"/>
      <c r="E12" s="264"/>
      <c r="F12" s="201" t="str">
        <f t="shared" si="0"/>
        <v/>
      </c>
      <c r="G12" s="266"/>
      <c r="H12" s="203"/>
      <c r="I12" s="204"/>
    </row>
    <row r="13" spans="2:10" ht="30" customHeight="1">
      <c r="B13" s="341" t="s">
        <v>144</v>
      </c>
      <c r="C13" s="348" t="s">
        <v>89</v>
      </c>
      <c r="D13" s="267" t="s">
        <v>145</v>
      </c>
      <c r="E13" s="267" t="s">
        <v>146</v>
      </c>
      <c r="F13" s="201" t="str">
        <f t="shared" ref="F13:F19" si="1">IF(D13="","","$/kg")</f>
        <v>$/kg</v>
      </c>
      <c r="G13" s="206">
        <f>148926.8/1175</f>
        <v>126.74621276595744</v>
      </c>
      <c r="H13" s="293" t="s">
        <v>148</v>
      </c>
      <c r="I13" s="295"/>
    </row>
    <row r="14" spans="2:10" ht="30" customHeight="1">
      <c r="B14" s="342"/>
      <c r="C14" s="349"/>
      <c r="D14" s="264"/>
      <c r="E14" s="264"/>
      <c r="F14" s="201" t="str">
        <f t="shared" si="1"/>
        <v/>
      </c>
      <c r="G14" s="205"/>
      <c r="H14" s="293"/>
      <c r="I14" s="295"/>
    </row>
    <row r="15" spans="2:10" ht="30" customHeight="1">
      <c r="B15" s="342"/>
      <c r="C15" s="349"/>
      <c r="D15" s="264"/>
      <c r="E15" s="264"/>
      <c r="F15" s="201" t="str">
        <f t="shared" si="1"/>
        <v/>
      </c>
      <c r="G15" s="205"/>
      <c r="H15" s="261"/>
      <c r="I15" s="262"/>
    </row>
    <row r="16" spans="2:10" ht="30" customHeight="1">
      <c r="B16" s="342"/>
      <c r="C16" s="349"/>
      <c r="E16" s="264"/>
      <c r="F16" s="201" t="str">
        <f t="shared" si="1"/>
        <v/>
      </c>
      <c r="G16" s="206"/>
      <c r="H16" s="261"/>
      <c r="I16" s="262"/>
    </row>
    <row r="17" spans="2:9" ht="30" customHeight="1">
      <c r="B17" s="342"/>
      <c r="C17" s="349"/>
      <c r="D17" s="269"/>
      <c r="E17" s="269"/>
      <c r="F17" s="201" t="str">
        <f t="shared" si="1"/>
        <v/>
      </c>
      <c r="G17" s="206"/>
      <c r="H17" s="293"/>
      <c r="I17" s="295"/>
    </row>
    <row r="18" spans="2:9" ht="30" customHeight="1">
      <c r="B18" s="342"/>
      <c r="C18" s="349"/>
      <c r="D18" s="264"/>
      <c r="E18" s="264"/>
      <c r="F18" s="201" t="str">
        <f t="shared" si="1"/>
        <v/>
      </c>
      <c r="G18" s="206"/>
      <c r="H18" s="261"/>
      <c r="I18" s="262"/>
    </row>
    <row r="19" spans="2:9" ht="30" customHeight="1">
      <c r="B19" s="343"/>
      <c r="C19" s="350"/>
      <c r="D19" s="264"/>
      <c r="E19" s="264"/>
      <c r="F19" s="201" t="str">
        <f t="shared" si="1"/>
        <v/>
      </c>
      <c r="G19" s="206"/>
      <c r="H19" s="293"/>
      <c r="I19" s="295"/>
    </row>
    <row r="20" spans="2:9" ht="30" customHeight="1">
      <c r="B20" s="341" t="s">
        <v>174</v>
      </c>
      <c r="C20" s="351" t="s">
        <v>89</v>
      </c>
      <c r="D20" s="269" t="s">
        <v>153</v>
      </c>
      <c r="E20" s="269" t="s">
        <v>175</v>
      </c>
      <c r="F20" s="121" t="s">
        <v>91</v>
      </c>
      <c r="G20" s="206">
        <f>6286.8/1140</f>
        <v>5.5147368421052629</v>
      </c>
      <c r="H20" s="293" t="s">
        <v>156</v>
      </c>
      <c r="I20" s="295"/>
    </row>
    <row r="21" spans="2:9" ht="30" customHeight="1">
      <c r="B21" s="342"/>
      <c r="C21" s="352"/>
      <c r="D21" s="264"/>
      <c r="E21" s="264"/>
      <c r="F21" s="201" t="str">
        <f t="shared" si="0"/>
        <v/>
      </c>
      <c r="G21" s="206"/>
      <c r="H21" s="261"/>
      <c r="I21" s="262"/>
    </row>
    <row r="22" spans="2:9" ht="30" customHeight="1">
      <c r="B22" s="343"/>
      <c r="C22" s="353"/>
      <c r="D22" s="264"/>
      <c r="E22" s="264"/>
      <c r="F22" s="201" t="str">
        <f t="shared" si="0"/>
        <v/>
      </c>
      <c r="G22" s="207"/>
      <c r="H22" s="293"/>
      <c r="I22" s="295"/>
    </row>
    <row r="23" spans="2:9" ht="30" customHeight="1">
      <c r="B23" s="104"/>
      <c r="C23" s="208"/>
      <c r="D23" s="265"/>
      <c r="E23" s="265"/>
      <c r="F23" s="99"/>
      <c r="G23" s="209"/>
      <c r="H23" s="265"/>
      <c r="I23" s="106"/>
    </row>
    <row r="24" spans="2:9" ht="30" customHeight="1">
      <c r="B24" s="122"/>
      <c r="C24" s="260"/>
      <c r="D24" s="260"/>
      <c r="E24" s="260"/>
      <c r="F24" s="20"/>
      <c r="G24" s="22"/>
      <c r="H24" s="260"/>
      <c r="I24" s="124"/>
    </row>
    <row r="25" spans="2:9" ht="30" customHeight="1">
      <c r="B25" s="19"/>
      <c r="C25" s="20"/>
      <c r="D25" s="347"/>
      <c r="E25" s="347"/>
      <c r="F25" s="22"/>
      <c r="G25" s="22"/>
      <c r="H25" s="23"/>
      <c r="I25" s="18"/>
    </row>
    <row r="26" spans="2:9" ht="30" customHeight="1">
      <c r="B26" s="75" t="s">
        <v>39</v>
      </c>
      <c r="C26" s="344"/>
      <c r="D26" s="344"/>
      <c r="E26" s="76" t="s">
        <v>23</v>
      </c>
      <c r="F26" s="345"/>
      <c r="G26" s="345"/>
      <c r="H26" s="14"/>
      <c r="I26" s="34"/>
    </row>
    <row r="27" spans="2:9" ht="30" customHeight="1" thickBot="1">
      <c r="B27" s="35"/>
      <c r="C27" s="37"/>
      <c r="D27" s="37"/>
      <c r="E27" s="37"/>
      <c r="F27" s="346"/>
      <c r="G27" s="346"/>
      <c r="H27" s="38"/>
      <c r="I27" s="39"/>
    </row>
    <row r="28" spans="2:9" ht="30" customHeight="1">
      <c r="B28" s="40"/>
      <c r="C28" s="40"/>
      <c r="D28" s="41"/>
      <c r="E28" s="41"/>
      <c r="F28" s="41"/>
      <c r="G28" s="41"/>
      <c r="H28" s="41"/>
      <c r="I28" s="42"/>
    </row>
    <row r="29" spans="2:9" ht="30" customHeight="1">
      <c r="B29" s="40"/>
    </row>
    <row r="30" spans="2:9" ht="30" customHeight="1">
      <c r="B30" s="40"/>
    </row>
    <row r="31" spans="2:9" ht="30" customHeight="1">
      <c r="B31" s="40"/>
      <c r="C31" s="40"/>
    </row>
    <row r="32" spans="2:9" ht="30" customHeight="1">
      <c r="B32" s="40"/>
      <c r="C32" s="40"/>
    </row>
    <row r="33" spans="2:3" ht="30" customHeight="1">
      <c r="B33" s="40"/>
      <c r="C33" s="40"/>
    </row>
    <row r="34" spans="2:3" ht="30" customHeight="1">
      <c r="B34" s="40"/>
      <c r="C34" s="40"/>
    </row>
    <row r="35" spans="2:3" ht="30" customHeight="1">
      <c r="B35" s="40"/>
      <c r="C35" s="40"/>
    </row>
    <row r="36" spans="2:3" ht="30" customHeight="1">
      <c r="B36" s="40"/>
      <c r="C36" s="40"/>
    </row>
    <row r="37" spans="2:3" ht="15"/>
    <row r="39" spans="2:3" ht="30" customHeight="1">
      <c r="C39" s="44"/>
    </row>
  </sheetData>
  <sheetProtection selectLockedCells="1"/>
  <mergeCells count="20">
    <mergeCell ref="H19:I19"/>
    <mergeCell ref="H13:I13"/>
    <mergeCell ref="H14:I14"/>
    <mergeCell ref="E3:F3"/>
    <mergeCell ref="H8:I8"/>
    <mergeCell ref="H9:I9"/>
    <mergeCell ref="H10:I10"/>
    <mergeCell ref="H17:I17"/>
    <mergeCell ref="C26:D26"/>
    <mergeCell ref="F26:G26"/>
    <mergeCell ref="F27:G27"/>
    <mergeCell ref="B9:B12"/>
    <mergeCell ref="C9:C12"/>
    <mergeCell ref="C13:C19"/>
    <mergeCell ref="B13:B19"/>
    <mergeCell ref="H22:I22"/>
    <mergeCell ref="H20:I20"/>
    <mergeCell ref="C20:C22"/>
    <mergeCell ref="B20:B22"/>
    <mergeCell ref="D25:E25"/>
  </mergeCells>
  <dataValidations disablePrompts="1" count="3">
    <dataValidation allowBlank="1" showInputMessage="1" showErrorMessage="1" prompt="Escriba el departamento del empleado en la celda de la derecha." sqref="B34:C36"/>
    <dataValidation allowBlank="1" showInputMessage="1" showErrorMessage="1" prompt="Escriba comentarios en las celdas de la derecha." sqref="C39"/>
    <dataValidation allowBlank="1" showInputMessage="1" showErrorMessage="1" prompt="No usar formula, escribir dato manualmente." sqref="H3"/>
  </dataValidations>
  <printOptions horizontalCentered="1"/>
  <pageMargins left="0.4" right="0.4" top="0.4" bottom="0.4" header="0.3" footer="0.3"/>
  <pageSetup paperSize="9" fitToHeight="0" orientation="landscape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24</xdr:row>
                    <xdr:rowOff>314325</xdr:rowOff>
                  </from>
                  <to>
                    <xdr:col>1</xdr:col>
                    <xdr:colOff>1762125</xdr:colOff>
                    <xdr:row>25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002060"/>
    <pageSetUpPr autoPageBreaks="0" fitToPage="1"/>
  </sheetPr>
  <dimension ref="A1:O235"/>
  <sheetViews>
    <sheetView showGridLines="0" zoomScale="90" zoomScaleNormal="90" workbookViewId="0">
      <pane ySplit="8" topLeftCell="A189" activePane="bottomLeft" state="frozen"/>
      <selection activeCell="F19" sqref="F19"/>
      <selection pane="bottomLeft" activeCell="E14" sqref="E14"/>
    </sheetView>
  </sheetViews>
  <sheetFormatPr baseColWidth="10" defaultColWidth="9.140625" defaultRowHeight="30" customHeight="1"/>
  <cols>
    <col min="1" max="1" width="2.7109375" customWidth="1"/>
    <col min="2" max="2" width="26.7109375" customWidth="1"/>
    <col min="3" max="3" width="33.28515625" bestFit="1" customWidth="1"/>
    <col min="4" max="4" width="32" customWidth="1"/>
    <col min="5" max="5" width="20.5703125" customWidth="1"/>
    <col min="6" max="6" width="16.5703125" bestFit="1" customWidth="1"/>
    <col min="7" max="7" width="19.7109375" bestFit="1" customWidth="1"/>
    <col min="8" max="8" width="17" customWidth="1"/>
    <col min="9" max="9" width="27.85546875" bestFit="1" customWidth="1"/>
    <col min="10" max="10" width="2.7109375" customWidth="1"/>
    <col min="11" max="12" width="3" customWidth="1"/>
    <col min="13" max="13" width="21.5703125" customWidth="1"/>
    <col min="14" max="14" width="36.7109375" hidden="1" customWidth="1"/>
    <col min="15" max="15" width="32.140625" hidden="1" customWidth="1"/>
    <col min="16" max="16" width="22.5703125" customWidth="1"/>
    <col min="17" max="17" width="12.85546875" customWidth="1"/>
    <col min="18" max="18" width="17.42578125" customWidth="1"/>
    <col min="19" max="19" width="13.140625" customWidth="1"/>
    <col min="20" max="20" width="29.85546875" customWidth="1"/>
  </cols>
  <sheetData>
    <row r="1" spans="1:15" ht="12" customHeight="1" thickBot="1">
      <c r="A1" s="136"/>
      <c r="B1" s="136"/>
      <c r="C1" s="136"/>
      <c r="D1" s="136"/>
      <c r="E1" s="136"/>
      <c r="F1" s="136"/>
      <c r="G1" s="136"/>
      <c r="H1" s="136"/>
      <c r="I1" s="136"/>
      <c r="J1" s="136"/>
    </row>
    <row r="2" spans="1:15" ht="30" customHeight="1">
      <c r="A2" s="136"/>
      <c r="B2" s="126" t="s">
        <v>0</v>
      </c>
      <c r="C2" s="127"/>
      <c r="D2" s="128"/>
      <c r="E2" s="128"/>
      <c r="F2" s="128"/>
      <c r="G2" s="128"/>
      <c r="H2" s="128"/>
      <c r="I2" s="129"/>
      <c r="J2" s="136"/>
    </row>
    <row r="3" spans="1:15" ht="30" customHeight="1">
      <c r="A3" s="136"/>
      <c r="B3" s="130" t="s">
        <v>1</v>
      </c>
      <c r="C3" s="168" t="s">
        <v>76</v>
      </c>
      <c r="D3" s="125" t="s">
        <v>3</v>
      </c>
      <c r="E3" s="321">
        <f ca="1">TODAY()</f>
        <v>46020</v>
      </c>
      <c r="F3" s="321"/>
      <c r="G3" s="136"/>
      <c r="H3" s="169"/>
      <c r="I3" s="170"/>
      <c r="J3" s="171"/>
    </row>
    <row r="4" spans="1:15" ht="30" customHeight="1">
      <c r="A4" s="136"/>
      <c r="B4" s="139" t="s">
        <v>4</v>
      </c>
      <c r="C4" s="140"/>
      <c r="D4" s="141"/>
      <c r="E4" s="141"/>
      <c r="F4" s="141"/>
      <c r="G4" s="136"/>
      <c r="H4" s="141"/>
      <c r="I4" s="142"/>
      <c r="J4" s="136"/>
    </row>
    <row r="5" spans="1:15" ht="30" customHeight="1">
      <c r="A5" s="136"/>
      <c r="B5" s="143" t="s">
        <v>5</v>
      </c>
      <c r="C5" s="70"/>
      <c r="D5" s="144" t="s">
        <v>6</v>
      </c>
      <c r="E5" s="379"/>
      <c r="F5" s="379"/>
      <c r="G5" s="136"/>
      <c r="H5" s="141"/>
      <c r="I5" s="145"/>
      <c r="J5" s="136"/>
    </row>
    <row r="6" spans="1:15" ht="30" customHeight="1">
      <c r="A6" s="136"/>
      <c r="B6" s="143" t="s">
        <v>7</v>
      </c>
      <c r="C6" s="70"/>
      <c r="D6" s="144" t="s">
        <v>62</v>
      </c>
      <c r="E6" s="380"/>
      <c r="F6" s="380"/>
      <c r="G6" s="136"/>
      <c r="H6" s="141"/>
      <c r="I6" s="145"/>
      <c r="J6" s="136"/>
    </row>
    <row r="7" spans="1:15" ht="21" customHeight="1" thickBot="1">
      <c r="A7" s="136"/>
      <c r="B7" s="146"/>
      <c r="C7" s="147"/>
      <c r="D7" s="148"/>
      <c r="E7" s="148"/>
      <c r="F7" s="30"/>
      <c r="G7" s="30"/>
      <c r="H7" s="149"/>
      <c r="I7" s="145"/>
      <c r="J7" s="136"/>
    </row>
    <row r="8" spans="1:15" ht="30" customHeight="1" thickBot="1">
      <c r="A8" s="136"/>
      <c r="B8" s="67" t="s">
        <v>9</v>
      </c>
      <c r="C8" s="167" t="s">
        <v>63</v>
      </c>
      <c r="D8" s="167" t="s">
        <v>64</v>
      </c>
      <c r="E8" s="167" t="s">
        <v>65</v>
      </c>
      <c r="F8" s="167" t="s">
        <v>66</v>
      </c>
      <c r="G8" s="167" t="s">
        <v>67</v>
      </c>
      <c r="H8" s="319" t="s">
        <v>68</v>
      </c>
      <c r="I8" s="320"/>
      <c r="J8" s="136"/>
    </row>
    <row r="9" spans="1:15" ht="30" customHeight="1">
      <c r="A9" s="136"/>
      <c r="B9" s="375" t="str">
        <f>'ENGRASADORA MANUAL'!C3</f>
        <v>ENGRASADORA MANUAL</v>
      </c>
      <c r="C9" s="372" t="s">
        <v>77</v>
      </c>
      <c r="D9" s="195" t="s">
        <v>78</v>
      </c>
      <c r="E9" s="194"/>
      <c r="F9" s="150" t="s">
        <v>79</v>
      </c>
      <c r="G9" s="198"/>
      <c r="H9" s="369"/>
      <c r="I9" s="370"/>
      <c r="J9" s="136"/>
      <c r="N9" t="str">
        <f t="array" ref="N9">IFERROR(
   INDEX($B$9:$B$188,
      SMALL(
         IF($B$9:$B$188&lt;&gt;"",ROW($B$9:$B$188)-MIN(ROW($B$9:$B$188))+1),
         ROWS($Z$1:Z1)
      )
   ),
"")</f>
        <v>ENGRASADORA MANUAL</v>
      </c>
      <c r="O9" t="str">
        <f t="array" ref="O9">IFERROR(
   INDEX('[4]INFO-Ponderacion'!$C$9:$C$13,
      SMALL(
         IF('[4]INFO-Ponderacion'!$C$9:$C$13&lt;&gt;"",ROW('[4]INFO-Ponderacion'!$C$9:$C$13)-MIN(ROW('[4]INFO-Ponderacion'!$C$9:$C$13))+1),
         ROWS($Z$1:Z1)
      )
   ),
"")</f>
        <v>Produccion</v>
      </c>
    </row>
    <row r="10" spans="1:15" ht="30" customHeight="1">
      <c r="A10" s="136"/>
      <c r="B10" s="375"/>
      <c r="C10" s="372"/>
      <c r="D10" s="195" t="s">
        <v>136</v>
      </c>
      <c r="E10" s="194"/>
      <c r="F10" s="196" t="s">
        <v>137</v>
      </c>
      <c r="G10" s="199"/>
      <c r="H10" s="192"/>
      <c r="I10" s="193"/>
      <c r="J10" s="136"/>
      <c r="N10" t="str">
        <f t="array" ref="N10">IFERROR(
   INDEX($B$9:$B$188,
      SMALL(
         IF($B$9:$B$188&lt;&gt;"",ROW($B$9:$B$188)-MIN(ROW($B$9:$B$188))+1),
         ROWS($Z$1:Z2)
      )
   ),
"")</f>
        <v>PRENSA QY-10-1</v>
      </c>
      <c r="O10" t="str">
        <f t="array" ref="O10">IFERROR(
   INDEX('[4]INFO-Ponderacion'!$C$9:$C$13,
      SMALL(
         IF('[4]INFO-Ponderacion'!$C$9:$C$13&lt;&gt;"",ROW('[4]INFO-Ponderacion'!$C$9:$C$13)-MIN(ROW('[4]INFO-Ponderacion'!$C$9:$C$13))+1),
         ROWS($Z$1:Z2)
      )
   ),
"")</f>
        <v>Ensamble</v>
      </c>
    </row>
    <row r="11" spans="1:15" ht="30" customHeight="1">
      <c r="A11" s="136"/>
      <c r="B11" s="375"/>
      <c r="C11" s="372"/>
      <c r="D11" s="195" t="s">
        <v>80</v>
      </c>
      <c r="E11" s="194"/>
      <c r="F11" s="151" t="s">
        <v>81</v>
      </c>
      <c r="G11" s="200"/>
      <c r="H11" s="376"/>
      <c r="I11" s="377"/>
      <c r="J11" s="136"/>
      <c r="N11" t="str">
        <f t="array" ref="N11">IFERROR(
   INDEX($B$9:$B$188,
      SMALL(
         IF($B$9:$B$188&lt;&gt;"",ROW($B$9:$B$188)-MIN(ROW($B$9:$B$188))+1),
         ROWS($Z$1:Z3)
      )
   ),
"")</f>
        <v>PRENSA QY-10-2</v>
      </c>
      <c r="O11" t="str">
        <f t="array" ref="O11">IFERROR(
   INDEX('[4]INFO-Ponderacion'!$C$9:$C$13,
      SMALL(
         IF('[4]INFO-Ponderacion'!$C$9:$C$13&lt;&gt;"",ROW('[4]INFO-Ponderacion'!$C$9:$C$13)-MIN(ROW('[4]INFO-Ponderacion'!$C$9:$C$13))+1),
         ROWS($Z$1:Z3)
      )
   ),
"")</f>
        <v>Administración y Comercialización</v>
      </c>
    </row>
    <row r="12" spans="1:15" ht="30" customHeight="1">
      <c r="A12" s="136"/>
      <c r="B12" s="375"/>
      <c r="C12" s="372"/>
      <c r="D12" s="195" t="s">
        <v>82</v>
      </c>
      <c r="E12" s="194"/>
      <c r="F12" s="150" t="s">
        <v>79</v>
      </c>
      <c r="G12" s="197">
        <v>0</v>
      </c>
      <c r="H12" s="369"/>
      <c r="I12" s="370"/>
      <c r="J12" s="136"/>
      <c r="N12" t="str">
        <f t="array" ref="N12">IFERROR(
   INDEX($B$9:$B$188,
      SMALL(
         IF($B$9:$B$188&lt;&gt;"",ROW($B$9:$B$188)-MIN(ROW($B$9:$B$188))+1),
         ROWS($Z$1:Z4)
      )
   ),
"")</f>
        <v>PRENSA QY-10-3</v>
      </c>
      <c r="O12" t="str">
        <f t="array" ref="O12">IFERROR(
   INDEX('[4]INFO-Ponderacion'!$C$9:$C$13,
      SMALL(
         IF('[4]INFO-Ponderacion'!$C$9:$C$13&lt;&gt;"",ROW('[4]INFO-Ponderacion'!$C$9:$C$13)-MIN(ROW('[4]INFO-Ponderacion'!$C$9:$C$13))+1),
         ROWS($Z$1:Z4)
      )
   ),
"")</f>
        <v>Depósito</v>
      </c>
    </row>
    <row r="13" spans="1:15" ht="30" customHeight="1">
      <c r="A13" s="136"/>
      <c r="B13" s="375"/>
      <c r="C13" s="372"/>
      <c r="D13" s="195" t="s">
        <v>83</v>
      </c>
      <c r="E13" s="194"/>
      <c r="F13" s="150" t="s">
        <v>84</v>
      </c>
      <c r="G13" s="195">
        <f>INDEX('INFO-OEE'!$E$18:$CL$18,
        MATCH(B9, 'INFO-OEE'!$E$9:$CL$9, 0)) * 12</f>
        <v>1689.6000000000001</v>
      </c>
      <c r="H13" s="369"/>
      <c r="I13" s="370"/>
      <c r="J13" s="136"/>
      <c r="N13" t="str">
        <f t="array" ref="N13">IFERROR(
   INDEX($B$9:$B$188,
      SMALL(
         IF($B$9:$B$188&lt;&gt;"",ROW($B$9:$B$188)-MIN(ROW($B$9:$B$188))+1),
         ROWS($Z$1:Z5)
      )
   ),
"")</f>
        <v>LAVADORA 0448</v>
      </c>
      <c r="O13" t="str">
        <f t="array" ref="O13">IFERROR(
   INDEX('[4]INFO-Ponderacion'!$C$9:$C$13,
      SMALL(
         IF('[4]INFO-Ponderacion'!$C$9:$C$13&lt;&gt;"",ROW('[4]INFO-Ponderacion'!$C$9:$C$13)-MIN(ROW('[4]INFO-Ponderacion'!$C$9:$C$13))+1),
         ROWS($Z$1:Z5)
      )
   ),
"")</f>
        <v>Embalaje</v>
      </c>
    </row>
    <row r="14" spans="1:15" ht="30" customHeight="1">
      <c r="A14" s="136"/>
      <c r="B14" s="375"/>
      <c r="C14" s="372"/>
      <c r="D14" s="195" t="s">
        <v>85</v>
      </c>
      <c r="E14" s="194"/>
      <c r="F14" s="150" t="s">
        <v>86</v>
      </c>
      <c r="G14" s="198"/>
      <c r="H14" s="369"/>
      <c r="I14" s="370"/>
      <c r="J14" s="136"/>
      <c r="N14" t="str">
        <f t="array" ref="N14">IFERROR(
   INDEX($B$9:$B$188,
      SMALL(
         IF($B$9:$B$188&lt;&gt;"",ROW($B$9:$B$188)-MIN(ROW($B$9:$B$188))+1),
         ROWS($Z$1:Z6)
      )
   ),
"")</f>
        <v>TB-SCAMRIVT-40120 CONICO 518</v>
      </c>
      <c r="O14" t="str">
        <f t="array" ref="O14">IFERROR(
   INDEX('[4]INFO-Ponderacion'!$C$9:$C$13,
      SMALL(
         IF('[4]INFO-Ponderacion'!$C$9:$C$13&lt;&gt;"",ROW('[4]INFO-Ponderacion'!$C$9:$C$13)-MIN(ROW('[4]INFO-Ponderacion'!$C$9:$C$13))+1),
         ROWS($Z$1:Z6)
      )
   ),
"")</f>
        <v/>
      </c>
    </row>
    <row r="15" spans="1:15" ht="30" customHeight="1">
      <c r="A15" s="136"/>
      <c r="B15" s="375" t="str">
        <f>'PRENSA QY-10-1'!C3</f>
        <v>PRENSA QY-10-1</v>
      </c>
      <c r="C15" s="372" t="s">
        <v>77</v>
      </c>
      <c r="D15" s="195" t="s">
        <v>78</v>
      </c>
      <c r="E15" s="194"/>
      <c r="F15" s="150" t="s">
        <v>79</v>
      </c>
      <c r="G15" s="198"/>
      <c r="H15" s="369"/>
      <c r="I15" s="370"/>
      <c r="J15" s="136"/>
      <c r="N15" t="str">
        <f t="array" ref="N15">IFERROR(
   INDEX($B$9:$B$188,
      SMALL(
         IF($B$9:$B$188&lt;&gt;"",ROW($B$9:$B$188)-MIN(ROW($B$9:$B$188))+1),
         ROWS($Z$1:Z7)
      )
   ),
"")</f>
        <v>TE-SCAMRIVT-2060 CONICO 30207</v>
      </c>
      <c r="O15" t="str">
        <f t="array" ref="O15">IFERROR(
   INDEX('[4]INFO-Ponderacion'!$C$9:$C$13,
      SMALL(
         IF('[4]INFO-Ponderacion'!$C$9:$C$13&lt;&gt;"",ROW('[4]INFO-Ponderacion'!$C$9:$C$13)-MIN(ROW('[4]INFO-Ponderacion'!$C$9:$C$13))+1),
         ROWS($Z$1:Z7)
      )
   ),
"")</f>
        <v/>
      </c>
    </row>
    <row r="16" spans="1:15" ht="30" customHeight="1">
      <c r="A16" s="136"/>
      <c r="B16" s="375"/>
      <c r="C16" s="372"/>
      <c r="D16" s="195" t="s">
        <v>136</v>
      </c>
      <c r="E16" s="194"/>
      <c r="F16" s="196" t="s">
        <v>137</v>
      </c>
      <c r="G16" s="199"/>
      <c r="H16" s="192"/>
      <c r="I16" s="193"/>
      <c r="J16" s="136"/>
      <c r="N16" t="str">
        <f t="array" ref="N16">IFERROR(
   INDEX($B$9:$B$188,
      SMALL(
         IF($B$9:$B$188&lt;&gt;"",ROW($B$9:$B$188)-MIN(ROW($B$9:$B$188))+1),
         ROWS($Z$1:Z8)
      )
   ),
"")</f>
        <v>HERMANADORA MANUAL IM247</v>
      </c>
      <c r="O16" t="str">
        <f t="array" ref="O16">IFERROR(
   INDEX('[4]INFO-Ponderacion'!$C$9:$C$13,
      SMALL(
         IF('[4]INFO-Ponderacion'!$C$9:$C$13&lt;&gt;"",ROW('[4]INFO-Ponderacion'!$C$9:$C$13)-MIN(ROW('[4]INFO-Ponderacion'!$C$9:$C$13))+1),
         ROWS($Z$1:Z8)
      )
   ),
"")</f>
        <v/>
      </c>
    </row>
    <row r="17" spans="1:15" ht="30" customHeight="1">
      <c r="A17" s="136"/>
      <c r="B17" s="375"/>
      <c r="C17" s="372"/>
      <c r="D17" s="195" t="s">
        <v>80</v>
      </c>
      <c r="E17" s="194"/>
      <c r="F17" s="151" t="s">
        <v>81</v>
      </c>
      <c r="G17" s="200"/>
      <c r="H17" s="376"/>
      <c r="I17" s="377"/>
      <c r="J17" s="136"/>
      <c r="N17" t="str">
        <f t="array" ref="N17">IFERROR(
   INDEX($B$9:$B$188,
      SMALL(
         IF($B$9:$B$188&lt;&gt;"",ROW($B$9:$B$188)-MIN(ROW($B$9:$B$188))+1),
         ROWS($Z$1:Z9)
      )
   ),
"")</f>
        <v>HER. AUT MS03 DP 02HTQJ2</v>
      </c>
      <c r="O17" t="str">
        <f t="array" ref="O17">IFERROR(
   INDEX('[4]INFO-Ponderacion'!$C$9:$C$13,
      SMALL(
         IF('[4]INFO-Ponderacion'!$C$9:$C$13&lt;&gt;"",ROW('[4]INFO-Ponderacion'!$C$9:$C$13)-MIN(ROW('[4]INFO-Ponderacion'!$C$9:$C$13))+1),
         ROWS($Z$1:Z9)
      )
   ),
"")</f>
        <v/>
      </c>
    </row>
    <row r="18" spans="1:15" ht="30" customHeight="1">
      <c r="A18" s="136"/>
      <c r="B18" s="375"/>
      <c r="C18" s="372"/>
      <c r="D18" s="195" t="s">
        <v>82</v>
      </c>
      <c r="E18" s="194"/>
      <c r="F18" s="150" t="s">
        <v>79</v>
      </c>
      <c r="G18" s="197">
        <v>0</v>
      </c>
      <c r="H18" s="369"/>
      <c r="I18" s="370"/>
      <c r="J18" s="136"/>
      <c r="N18" t="str">
        <f t="array" ref="N18">IFERROR(
   INDEX($B$9:$B$188,
      SMALL(
         IF($B$9:$B$188&lt;&gt;"",ROW($B$9:$B$188)-MIN(ROW($B$9:$B$188))+1),
         ROWS($Z$1:Z10)
      )
   ),
"")</f>
        <v>HER. AUT JAULA MS03 BCJL02A</v>
      </c>
      <c r="O18" t="str">
        <f t="array" ref="O18">IFERROR(
   INDEX('[4]INFO-Ponderacion'!$C$9:$C$13,
      SMALL(
         IF('[4]INFO-Ponderacion'!$C$9:$C$13&lt;&gt;"",ROW('[4]INFO-Ponderacion'!$C$9:$C$13)-MIN(ROW('[4]INFO-Ponderacion'!$C$9:$C$13))+1),
         ROWS($Z$1:Z10)
      )
   ),
"")</f>
        <v/>
      </c>
    </row>
    <row r="19" spans="1:15" ht="30" customHeight="1">
      <c r="A19" s="136"/>
      <c r="B19" s="375"/>
      <c r="C19" s="372"/>
      <c r="D19" s="195" t="s">
        <v>83</v>
      </c>
      <c r="E19" s="194"/>
      <c r="F19" s="150" t="s">
        <v>84</v>
      </c>
      <c r="G19" s="195">
        <f>INDEX('INFO-OEE'!$E$18:$CL$18,
        MATCH(B15, 'INFO-OEE'!$E$9:$CL$9, 0)) * 12</f>
        <v>1689.6000000000001</v>
      </c>
      <c r="H19" s="369"/>
      <c r="I19" s="370"/>
      <c r="J19" s="136"/>
      <c r="N19" t="str">
        <f t="array" ref="N19">IFERROR(
   INDEX($B$9:$B$188,
      SMALL(
         IF($B$9:$B$188&lt;&gt;"",ROW($B$9:$B$188)-MIN(ROW($B$9:$B$188))+1),
         ROWS($Z$1:Z11)
      )
   ),
"")</f>
        <v>ENGRASADORA MS03 0510-5120051</v>
      </c>
      <c r="O19" t="str">
        <f t="array" ref="O19">IFERROR(
   INDEX('[4]INFO-Ponderacion'!$C$9:$C$13,
      SMALL(
         IF('[4]INFO-Ponderacion'!$C$9:$C$13&lt;&gt;"",ROW('[4]INFO-Ponderacion'!$C$9:$C$13)-MIN(ROW('[4]INFO-Ponderacion'!$C$9:$C$13))+1),
         ROWS($Z$1:Z11)
      )
   ),
"")</f>
        <v/>
      </c>
    </row>
    <row r="20" spans="1:15" ht="30" customHeight="1">
      <c r="A20" s="136"/>
      <c r="B20" s="375"/>
      <c r="C20" s="372"/>
      <c r="D20" s="195" t="s">
        <v>85</v>
      </c>
      <c r="E20" s="194"/>
      <c r="F20" s="150" t="s">
        <v>86</v>
      </c>
      <c r="G20" s="198"/>
      <c r="H20" s="369"/>
      <c r="I20" s="370"/>
      <c r="J20" s="136"/>
      <c r="N20" t="str">
        <f t="array" ref="N20">IFERROR(
   INDEX($B$9:$B$188,
      SMALL(
         IF($B$9:$B$188&lt;&gt;"",ROW($B$9:$B$188)-MIN(ROW($B$9:$B$188))+1),
         ROWS($Z$1:Z12)
      )
   ),
"")</f>
        <v>HER. AUT MS04 DP 03TQJ3</v>
      </c>
      <c r="O20" t="str">
        <f t="array" ref="O20">IFERROR(
   INDEX('[4]INFO-Ponderacion'!$C$9:$C$13,
      SMALL(
         IF('[4]INFO-Ponderacion'!$C$9:$C$13&lt;&gt;"",ROW('[4]INFO-Ponderacion'!$C$9:$C$13)-MIN(ROW('[4]INFO-Ponderacion'!$C$9:$C$13))+1),
         ROWS($Z$1:Z12)
      )
   ),
"")</f>
        <v/>
      </c>
    </row>
    <row r="21" spans="1:15" ht="30" customHeight="1">
      <c r="A21" s="136"/>
      <c r="B21" s="375" t="str">
        <f>'PRENSA QY-10-2'!C3</f>
        <v>PRENSA QY-10-2</v>
      </c>
      <c r="C21" s="372" t="s">
        <v>77</v>
      </c>
      <c r="D21" s="195" t="s">
        <v>78</v>
      </c>
      <c r="E21" s="194"/>
      <c r="F21" s="150" t="s">
        <v>79</v>
      </c>
      <c r="G21" s="198"/>
      <c r="H21" s="369"/>
      <c r="I21" s="370"/>
      <c r="J21" s="136"/>
      <c r="N21" t="str">
        <f t="array" ref="N21">IFERROR(
   INDEX($B$9:$B$188,
      SMALL(
         IF($B$9:$B$188&lt;&gt;"",ROW($B$9:$B$188)-MIN(ROW($B$9:$B$188))+1),
         ROWS($Z$1:Z13)
      )
   ),
"")</f>
        <v>HER. AUT JAULA MS04 BCJL02A</v>
      </c>
      <c r="O21" t="str">
        <f t="array" ref="O21">IFERROR(
   INDEX('[4]INFO-Ponderacion'!$C$9:$C$13,
      SMALL(
         IF('[4]INFO-Ponderacion'!$C$9:$C$13&lt;&gt;"",ROW('[4]INFO-Ponderacion'!$C$9:$C$13)-MIN(ROW('[4]INFO-Ponderacion'!$C$9:$C$13))+1),
         ROWS($Z$1:Z13)
      )
   ),
"")</f>
        <v/>
      </c>
    </row>
    <row r="22" spans="1:15" ht="30" customHeight="1">
      <c r="A22" s="136"/>
      <c r="B22" s="375"/>
      <c r="C22" s="372"/>
      <c r="D22" s="195" t="s">
        <v>136</v>
      </c>
      <c r="E22" s="194"/>
      <c r="F22" s="196" t="s">
        <v>137</v>
      </c>
      <c r="G22" s="199"/>
      <c r="H22" s="192"/>
      <c r="I22" s="193"/>
      <c r="J22" s="136"/>
      <c r="N22" t="str">
        <f t="array" ref="N22">IFERROR(
   INDEX($B$9:$B$188,
      SMALL(
         IF($B$9:$B$188&lt;&gt;"",ROW($B$9:$B$188)-MIN(ROW($B$9:$B$188))+1),
         ROWS($Z$1:Z14)
      )
   ),
"")</f>
        <v>ENGRASADORA AUTOMATICA MS04 ZYJ3H</v>
      </c>
      <c r="O22" t="str">
        <f t="array" ref="O22">IFERROR(
   INDEX('[4]INFO-Ponderacion'!$C$9:$C$13,
      SMALL(
         IF('[4]INFO-Ponderacion'!$C$9:$C$13&lt;&gt;"",ROW('[4]INFO-Ponderacion'!$C$9:$C$13)-MIN(ROW('[4]INFO-Ponderacion'!$C$9:$C$13))+1),
         ROWS($Z$1:Z14)
      )
   ),
"")</f>
        <v/>
      </c>
    </row>
    <row r="23" spans="1:15" ht="30" customHeight="1">
      <c r="A23" s="136"/>
      <c r="B23" s="375"/>
      <c r="C23" s="372"/>
      <c r="D23" s="195" t="s">
        <v>80</v>
      </c>
      <c r="E23" s="194"/>
      <c r="F23" s="151" t="s">
        <v>81</v>
      </c>
      <c r="G23" s="200"/>
      <c r="H23" s="376"/>
      <c r="I23" s="377"/>
      <c r="J23" s="136"/>
      <c r="N23" t="str">
        <f t="array" ref="N23">IFERROR(
   INDEX($B$9:$B$188,
      SMALL(
         IF($B$9:$B$188&lt;&gt;"",ROW($B$9:$B$188)-MIN(ROW($B$9:$B$188))+1),
         ROWS($Z$1:Z15)
      )
   ),
"")</f>
        <v>LASER CHICO 30</v>
      </c>
      <c r="O23" t="str">
        <f t="array" ref="O23">IFERROR(
   INDEX('[4]INFO-Ponderacion'!$C$9:$C$13,
      SMALL(
         IF('[4]INFO-Ponderacion'!$C$9:$C$13&lt;&gt;"",ROW('[4]INFO-Ponderacion'!$C$9:$C$13)-MIN(ROW('[4]INFO-Ponderacion'!$C$9:$C$13))+1),
         ROWS($Z$1:Z15)
      )
   ),
"")</f>
        <v/>
      </c>
    </row>
    <row r="24" spans="1:15" ht="30" customHeight="1">
      <c r="A24" s="136"/>
      <c r="B24" s="375"/>
      <c r="C24" s="372"/>
      <c r="D24" s="195" t="s">
        <v>82</v>
      </c>
      <c r="E24" s="194"/>
      <c r="F24" s="150" t="s">
        <v>79</v>
      </c>
      <c r="G24" s="197">
        <v>0</v>
      </c>
      <c r="H24" s="369"/>
      <c r="I24" s="370"/>
      <c r="J24" s="136"/>
      <c r="N24" t="str">
        <f t="array" ref="N24">IFERROR(
   INDEX($B$9:$B$188,
      SMALL(
         IF($B$9:$B$188&lt;&gt;"",ROW($B$9:$B$188)-MIN(ROW($B$9:$B$188))+1),
         ROWS($Z$1:Z16)
      )
   ),
"")</f>
        <v>LASER GRANDE 50</v>
      </c>
      <c r="O24" t="str">
        <f t="array" ref="O24">IFERROR(
   INDEX('[4]INFO-Ponderacion'!$C$9:$C$13,
      SMALL(
         IF('[4]INFO-Ponderacion'!$C$9:$C$13&lt;&gt;"",ROW('[4]INFO-Ponderacion'!$C$9:$C$13)-MIN(ROW('[4]INFO-Ponderacion'!$C$9:$C$13))+1),
         ROWS($Z$1:Z16)
      )
   ),
"")</f>
        <v/>
      </c>
    </row>
    <row r="25" spans="1:15" ht="30" customHeight="1">
      <c r="A25" s="136"/>
      <c r="B25" s="375"/>
      <c r="C25" s="372"/>
      <c r="D25" s="195" t="s">
        <v>83</v>
      </c>
      <c r="E25" s="194"/>
      <c r="F25" s="150" t="s">
        <v>84</v>
      </c>
      <c r="G25" s="195">
        <f>INDEX('INFO-OEE'!$E$18:$CL$18,
        MATCH(B21, 'INFO-OEE'!$E$9:$CL$9, 0)) * 12</f>
        <v>1689.6000000000001</v>
      </c>
      <c r="H25" s="369"/>
      <c r="I25" s="370"/>
      <c r="J25" s="136"/>
      <c r="N25" t="str">
        <f t="array" ref="N25">IFERROR(
   INDEX($B$9:$B$188,
      SMALL(
         IF($B$9:$B$188&lt;&gt;"",ROW($B$9:$B$188)-MIN(ROW($B$9:$B$188))+1),
         ROWS($Z$1:Z17)
      )
   ),
"")</f>
        <v>PRENSA QY-16</v>
      </c>
      <c r="O25" t="str">
        <f t="array" ref="O25">IFERROR(
   INDEX('[4]INFO-Ponderacion'!$C$9:$C$13,
      SMALL(
         IF('[4]INFO-Ponderacion'!$C$9:$C$13&lt;&gt;"",ROW('[4]INFO-Ponderacion'!$C$9:$C$13)-MIN(ROW('[4]INFO-Ponderacion'!$C$9:$C$13))+1),
         ROWS($Z$1:Z17)
      )
   ),
"")</f>
        <v/>
      </c>
    </row>
    <row r="26" spans="1:15" ht="30" customHeight="1">
      <c r="A26" s="136"/>
      <c r="B26" s="375"/>
      <c r="C26" s="372"/>
      <c r="D26" s="195" t="s">
        <v>85</v>
      </c>
      <c r="E26" s="194"/>
      <c r="F26" s="150" t="s">
        <v>86</v>
      </c>
      <c r="G26" s="198"/>
      <c r="H26" s="369"/>
      <c r="I26" s="370"/>
      <c r="J26" s="136"/>
      <c r="N26" t="str">
        <f t="array" ref="N26">IFERROR(
   INDEX($B$9:$B$188,
      SMALL(
         IF($B$9:$B$188&lt;&gt;"",ROW($B$9:$B$188)-MIN(ROW($B$9:$B$188))+1),
         ROWS($Z$1:Z18)
      )
   ),
"")</f>
        <v>LAVADORA QXC-1-2 MS03</v>
      </c>
      <c r="O26" t="str">
        <f t="array" ref="O26">IFERROR(
   INDEX('[4]INFO-Ponderacion'!$C$9:$C$13,
      SMALL(
         IF('[4]INFO-Ponderacion'!$C$9:$C$13&lt;&gt;"",ROW('[4]INFO-Ponderacion'!$C$9:$C$13)-MIN(ROW('[4]INFO-Ponderacion'!$C$9:$C$13))+1),
         ROWS($Z$1:Z18)
      )
   ),
"")</f>
        <v/>
      </c>
    </row>
    <row r="27" spans="1:15" ht="30" customHeight="1">
      <c r="A27" s="136"/>
      <c r="B27" s="375" t="str">
        <f>'PRENSA QY-10-3'!C3</f>
        <v>PRENSA QY-10-3</v>
      </c>
      <c r="C27" s="372" t="s">
        <v>77</v>
      </c>
      <c r="D27" s="195" t="s">
        <v>78</v>
      </c>
      <c r="E27" s="194"/>
      <c r="F27" s="150" t="s">
        <v>79</v>
      </c>
      <c r="G27" s="198"/>
      <c r="H27" s="369"/>
      <c r="I27" s="370"/>
      <c r="J27" s="136"/>
      <c r="N27" t="str">
        <f t="array" ref="N27">IFERROR(
   INDEX($B$9:$B$188,
      SMALL(
         IF($B$9:$B$188&lt;&gt;"",ROW($B$9:$B$188)-MIN(ROW($B$9:$B$188))+1),
         ROWS($Z$1:Z19)
      )
   ),
"")</f>
        <v>LAVADORA QXC-1 MS04</v>
      </c>
      <c r="O27" t="str">
        <f t="array" ref="O27">IFERROR(
   INDEX('[4]INFO-Ponderacion'!$C$9:$C$13,
      SMALL(
         IF('[4]INFO-Ponderacion'!$C$9:$C$13&lt;&gt;"",ROW('[4]INFO-Ponderacion'!$C$9:$C$13)-MIN(ROW('[4]INFO-Ponderacion'!$C$9:$C$13))+1),
         ROWS($Z$1:Z19)
      )
   ),
"")</f>
        <v/>
      </c>
    </row>
    <row r="28" spans="1:15" ht="30" customHeight="1">
      <c r="A28" s="136"/>
      <c r="B28" s="375"/>
      <c r="C28" s="372"/>
      <c r="D28" s="195" t="s">
        <v>136</v>
      </c>
      <c r="E28" s="194"/>
      <c r="F28" s="196" t="s">
        <v>137</v>
      </c>
      <c r="G28" s="199"/>
      <c r="H28" s="192"/>
      <c r="I28" s="193"/>
      <c r="J28" s="136"/>
      <c r="N28" t="str">
        <f t="array" ref="N28">IFERROR(
   INDEX($B$9:$B$188,
      SMALL(
         IF($B$9:$B$188&lt;&gt;"",ROW($B$9:$B$188)-MIN(ROW($B$9:$B$188))+1),
         ROWS($Z$1:Z20)
      )
   ),
"")</f>
        <v>ANDEROMETRO IM-250</v>
      </c>
      <c r="O28" t="str">
        <f t="array" ref="O28">IFERROR(
   INDEX('[4]INFO-Ponderacion'!$C$9:$C$13,
      SMALL(
         IF('[4]INFO-Ponderacion'!$C$9:$C$13&lt;&gt;"",ROW('[4]INFO-Ponderacion'!$C$9:$C$13)-MIN(ROW('[4]INFO-Ponderacion'!$C$9:$C$13))+1),
         ROWS($Z$1:Z20)
      )
   ),
"")</f>
        <v/>
      </c>
    </row>
    <row r="29" spans="1:15" ht="30" customHeight="1">
      <c r="A29" s="136"/>
      <c r="B29" s="375"/>
      <c r="C29" s="372"/>
      <c r="D29" s="195" t="s">
        <v>80</v>
      </c>
      <c r="E29" s="194"/>
      <c r="F29" s="151" t="s">
        <v>81</v>
      </c>
      <c r="G29" s="200"/>
      <c r="H29" s="376"/>
      <c r="I29" s="377"/>
      <c r="J29" s="136"/>
      <c r="N29" t="str">
        <f t="array" ref="N29">IFERROR(
   INDEX($B$9:$B$188,
      SMALL(
         IF($B$9:$B$188&lt;&gt;"",ROW($B$9:$B$188)-MIN(ROW($B$9:$B$188))+1),
         ROWS($Z$1:Z21)
      )
   ),
"")</f>
        <v>ANDEROMETRO IM251</v>
      </c>
      <c r="O29" t="str">
        <f t="array" ref="O29">IFERROR(
   INDEX('[4]INFO-Ponderacion'!$C$9:$C$13,
      SMALL(
         IF('[4]INFO-Ponderacion'!$C$9:$C$13&lt;&gt;"",ROW('[4]INFO-Ponderacion'!$C$9:$C$13)-MIN(ROW('[4]INFO-Ponderacion'!$C$9:$C$13))+1),
         ROWS($Z$1:Z21)
      )
   ),
"")</f>
        <v/>
      </c>
    </row>
    <row r="30" spans="1:15" ht="30" customHeight="1">
      <c r="A30" s="136"/>
      <c r="B30" s="375"/>
      <c r="C30" s="372"/>
      <c r="D30" s="195" t="s">
        <v>82</v>
      </c>
      <c r="E30" s="194"/>
      <c r="F30" s="150" t="s">
        <v>79</v>
      </c>
      <c r="G30" s="197">
        <v>0</v>
      </c>
      <c r="H30" s="369"/>
      <c r="I30" s="370"/>
      <c r="J30" s="136"/>
      <c r="N30" t="str">
        <f t="array" ref="N30">IFERROR(
   INDEX($B$9:$B$188,
      SMALL(
         IF($B$9:$B$188&lt;&gt;"",ROW($B$9:$B$188)-MIN(ROW($B$9:$B$188))+1),
         ROWS($Z$1:Z22)
      )
   ),
"")</f>
        <v>HERMANADORA AUT MS05 LHT90</v>
      </c>
      <c r="O30" t="str">
        <f t="array" ref="O30">IFERROR(
   INDEX('[4]INFO-Ponderacion'!$C$9:$C$13,
      SMALL(
         IF('[4]INFO-Ponderacion'!$C$9:$C$13&lt;&gt;"",ROW('[4]INFO-Ponderacion'!$C$9:$C$13)-MIN(ROW('[4]INFO-Ponderacion'!$C$9:$C$13))+1),
         ROWS($Z$1:Z22)
      )
   ),
"")</f>
        <v/>
      </c>
    </row>
    <row r="31" spans="1:15" ht="30" customHeight="1">
      <c r="A31" s="136"/>
      <c r="B31" s="375"/>
      <c r="C31" s="372"/>
      <c r="D31" s="195" t="s">
        <v>83</v>
      </c>
      <c r="E31" s="194"/>
      <c r="F31" s="150" t="s">
        <v>84</v>
      </c>
      <c r="G31" s="195">
        <f>INDEX('INFO-OEE'!$E$18:$CL$18,
        MATCH(B27, 'INFO-OEE'!$E$9:$CL$9, 0)) * 12</f>
        <v>1689.6000000000001</v>
      </c>
      <c r="H31" s="369"/>
      <c r="I31" s="370"/>
      <c r="J31" s="136"/>
      <c r="N31" t="str">
        <f t="array" ref="N31">IFERROR(
   INDEX($B$9:$B$188,
      SMALL(
         IF($B$9:$B$188&lt;&gt;"",ROW($B$9:$B$188)-MIN(ROW($B$9:$B$188))+1),
         ROWS($Z$1:Z23)
      )
   ),
"")</f>
        <v>HER. AUT JAULA MS05 BCJT03</v>
      </c>
      <c r="O31" t="str">
        <f t="array" ref="O31">IFERROR(
   INDEX('[4]INFO-Ponderacion'!$C$9:$C$13,
      SMALL(
         IF('[4]INFO-Ponderacion'!$C$9:$C$13&lt;&gt;"",ROW('[4]INFO-Ponderacion'!$C$9:$C$13)-MIN(ROW('[4]INFO-Ponderacion'!$C$9:$C$13))+1),
         ROWS($Z$1:Z23)
      )
   ),
"")</f>
        <v/>
      </c>
    </row>
    <row r="32" spans="1:15" ht="30" customHeight="1">
      <c r="A32" s="136"/>
      <c r="B32" s="375"/>
      <c r="C32" s="372"/>
      <c r="D32" s="195" t="s">
        <v>85</v>
      </c>
      <c r="E32" s="194"/>
      <c r="F32" s="150" t="s">
        <v>86</v>
      </c>
      <c r="G32" s="198"/>
      <c r="H32" s="369"/>
      <c r="I32" s="370"/>
      <c r="J32" s="136"/>
      <c r="N32" t="str">
        <f t="array" ref="N32">IFERROR(
   INDEX($B$9:$B$188,
      SMALL(
         IF($B$9:$B$188&lt;&gt;"",ROW($B$9:$B$188)-MIN(ROW($B$9:$B$188))+1),
         ROWS($Z$1:Z24)
      )
   ),
"")</f>
        <v>PD52 POACHER</v>
      </c>
      <c r="O32" t="str">
        <f t="array" ref="O32">IFERROR(
   INDEX('[4]INFO-Ponderacion'!$C$9:$C$13,
      SMALL(
         IF('[4]INFO-Ponderacion'!$C$9:$C$13&lt;&gt;"",ROW('[4]INFO-Ponderacion'!$C$9:$C$13)-MIN(ROW('[4]INFO-Ponderacion'!$C$9:$C$13))+1),
         ROWS($Z$1:Z24)
      )
   ),
"")</f>
        <v/>
      </c>
    </row>
    <row r="33" spans="1:15" ht="30" customHeight="1">
      <c r="A33" s="136"/>
      <c r="B33" s="375" t="str">
        <f>'LAVADORA 0448'!C3</f>
        <v>LAVADORA 0448</v>
      </c>
      <c r="C33" s="372" t="s">
        <v>77</v>
      </c>
      <c r="D33" s="195" t="s">
        <v>78</v>
      </c>
      <c r="E33" s="194"/>
      <c r="F33" s="150" t="s">
        <v>79</v>
      </c>
      <c r="G33" s="198"/>
      <c r="H33" s="369"/>
      <c r="I33" s="370"/>
      <c r="J33" s="136"/>
      <c r="N33" t="str">
        <f t="array" ref="N33">IFERROR(
   INDEX($B$9:$B$188,
      SMALL(
         IF($B$9:$B$188&lt;&gt;"",ROW($B$9:$B$188)-MIN(ROW($B$9:$B$188))+1),
         ROWS($Z$1:Z25)
      )
   ),
"")</f>
        <v>RADIAL X095B</v>
      </c>
      <c r="O33" t="str">
        <f t="array" ref="O33">IFERROR(
   INDEX('[4]INFO-Ponderacion'!$C$9:$C$13,
      SMALL(
         IF('[4]INFO-Ponderacion'!$C$9:$C$13&lt;&gt;"",ROW('[4]INFO-Ponderacion'!$C$9:$C$13)-MIN(ROW('[4]INFO-Ponderacion'!$C$9:$C$13))+1),
         ROWS($Z$1:Z25)
      )
   ),
"")</f>
        <v/>
      </c>
    </row>
    <row r="34" spans="1:15" ht="30" customHeight="1">
      <c r="A34" s="136"/>
      <c r="B34" s="375"/>
      <c r="C34" s="372"/>
      <c r="D34" s="195" t="s">
        <v>136</v>
      </c>
      <c r="E34" s="194"/>
      <c r="F34" s="196" t="s">
        <v>137</v>
      </c>
      <c r="G34" s="199"/>
      <c r="H34" s="192"/>
      <c r="I34" s="193"/>
      <c r="J34" s="136"/>
      <c r="N34" t="str">
        <f t="array" ref="N34">IFERROR(
   INDEX($B$9:$B$188,
      SMALL(
         IF($B$9:$B$188&lt;&gt;"",ROW($B$9:$B$188)-MIN(ROW($B$9:$B$188))+1),
         ROWS($Z$1:Z26)
      )
   ),
"")</f>
        <v>LAVADO MANUAL PMT25-36</v>
      </c>
      <c r="O34" t="str">
        <f t="array" ref="O34">IFERROR(
   INDEX('[4]INFO-Ponderacion'!$C$9:$C$13,
      SMALL(
         IF('[4]INFO-Ponderacion'!$C$9:$C$13&lt;&gt;"",ROW('[4]INFO-Ponderacion'!$C$9:$C$13)-MIN(ROW('[4]INFO-Ponderacion'!$C$9:$C$13))+1),
         ROWS($Z$1:Z26)
      )
   ),
"")</f>
        <v/>
      </c>
    </row>
    <row r="35" spans="1:15" ht="30" customHeight="1">
      <c r="A35" s="136"/>
      <c r="B35" s="375"/>
      <c r="C35" s="372"/>
      <c r="D35" s="195" t="s">
        <v>80</v>
      </c>
      <c r="E35" s="194"/>
      <c r="F35" s="151" t="s">
        <v>81</v>
      </c>
      <c r="G35" s="200"/>
      <c r="H35" s="376"/>
      <c r="I35" s="377"/>
      <c r="J35" s="136"/>
      <c r="N35" t="str">
        <f t="array" ref="N35">IFERROR(
   INDEX($B$9:$B$188,
      SMALL(
         IF($B$9:$B$188&lt;&gt;"",ROW($B$9:$B$188)-MIN(ROW($B$9:$B$188))+1),
         ROWS($Z$1:Z27)
      )
   ),
"")</f>
        <v>HERMANADORA MANUAL IM248</v>
      </c>
      <c r="O35" t="str">
        <f t="array" ref="O35">IFERROR(
   INDEX('[4]INFO-Ponderacion'!$C$9:$C$13,
      SMALL(
         IF('[4]INFO-Ponderacion'!$C$9:$C$13&lt;&gt;"",ROW('[4]INFO-Ponderacion'!$C$9:$C$13)-MIN(ROW('[4]INFO-Ponderacion'!$C$9:$C$13))+1),
         ROWS($Z$1:Z27)
      )
   ),
"")</f>
        <v/>
      </c>
    </row>
    <row r="36" spans="1:15" ht="30" customHeight="1">
      <c r="A36" s="136"/>
      <c r="B36" s="375"/>
      <c r="C36" s="372"/>
      <c r="D36" s="195" t="s">
        <v>82</v>
      </c>
      <c r="E36" s="194"/>
      <c r="F36" s="150" t="s">
        <v>79</v>
      </c>
      <c r="G36" s="197">
        <v>0</v>
      </c>
      <c r="H36" s="369"/>
      <c r="I36" s="370"/>
      <c r="J36" s="136"/>
      <c r="N36" t="str">
        <f t="array" ref="N36">IFERROR(
   INDEX($B$9:$B$188,
      SMALL(
         IF($B$9:$B$188&lt;&gt;"",ROW($B$9:$B$188)-MIN(ROW($B$9:$B$188))+1),
         ROWS($Z$1:Z28)
      )
   ),
"")</f>
        <v>RADIAL X095A</v>
      </c>
      <c r="O36" t="str">
        <f t="array" ref="O36">IFERROR(
   INDEX('[4]INFO-Ponderacion'!$C$9:$C$13,
      SMALL(
         IF('[4]INFO-Ponderacion'!$C$9:$C$13&lt;&gt;"",ROW('[4]INFO-Ponderacion'!$C$9:$C$13)-MIN(ROW('[4]INFO-Ponderacion'!$C$9:$C$13))+1),
         ROWS($Z$1:Z28)
      )
   ),
"")</f>
        <v/>
      </c>
    </row>
    <row r="37" spans="1:15" ht="30" customHeight="1">
      <c r="A37" s="136"/>
      <c r="B37" s="375"/>
      <c r="C37" s="372"/>
      <c r="D37" s="195" t="s">
        <v>83</v>
      </c>
      <c r="E37" s="194"/>
      <c r="F37" s="150" t="s">
        <v>84</v>
      </c>
      <c r="G37" s="195">
        <f>INDEX('INFO-OEE'!$E$18:$CL$18,
        MATCH(B33, 'INFO-OEE'!$E$9:$CL$9, 0)) * 12</f>
        <v>1689.6000000000001</v>
      </c>
      <c r="H37" s="369"/>
      <c r="I37" s="370"/>
      <c r="J37" s="136"/>
      <c r="N37" t="str">
        <f t="array" ref="N37">IFERROR(
   INDEX($B$9:$B$188,
      SMALL(
         IF($B$9:$B$188&lt;&gt;"",ROW($B$9:$B$188)-MIN(ROW($B$9:$B$188))+1),
         ROWS($Z$1:Z29)
      )
   ),
"")</f>
        <v>DESIMANTADOR NS-400-B1</v>
      </c>
      <c r="O37" t="str">
        <f t="array" ref="O37">IFERROR(
   INDEX('[4]INFO-Ponderacion'!$C$9:$C$13,
      SMALL(
         IF('[4]INFO-Ponderacion'!$C$9:$C$13&lt;&gt;"",ROW('[4]INFO-Ponderacion'!$C$9:$C$13)-MIN(ROW('[4]INFO-Ponderacion'!$C$9:$C$13))+1),
         ROWS($Z$1:Z29)
      )
   ),
"")</f>
        <v/>
      </c>
    </row>
    <row r="38" spans="1:15" ht="30" customHeight="1">
      <c r="A38" s="136"/>
      <c r="B38" s="375"/>
      <c r="C38" s="372"/>
      <c r="D38" s="195" t="s">
        <v>85</v>
      </c>
      <c r="E38" s="194"/>
      <c r="F38" s="150" t="s">
        <v>86</v>
      </c>
      <c r="G38" s="198"/>
      <c r="H38" s="369"/>
      <c r="I38" s="370"/>
      <c r="J38" s="136"/>
      <c r="N38" t="str">
        <f t="array" ref="N38">IFERROR(
   INDEX($B$9:$B$188,
      SMALL(
         IF($B$9:$B$188&lt;&gt;"",ROW($B$9:$B$188)-MIN(ROW($B$9:$B$188))+1),
         ROWS($Z$1:Z30)
      )
   ),
"")</f>
        <v>LAVADORA GRANDE PMD-SJ</v>
      </c>
      <c r="O38" t="str">
        <f t="array" ref="O38">IFERROR(
   INDEX('[4]INFO-Ponderacion'!$C$9:$C$13,
      SMALL(
         IF('[4]INFO-Ponderacion'!$C$9:$C$13&lt;&gt;"",ROW('[4]INFO-Ponderacion'!$C$9:$C$13)-MIN(ROW('[4]INFO-Ponderacion'!$C$9:$C$13))+1),
         ROWS($Z$1:Z30)
      )
   ),
"")</f>
        <v/>
      </c>
    </row>
    <row r="39" spans="1:15" ht="30" customHeight="1">
      <c r="A39" s="136"/>
      <c r="B39" s="375" t="str">
        <f>'TB-SCAMRIVT-40120 CONICO 518'!C3</f>
        <v>TB-SCAMRIVT-40120 CONICO 518</v>
      </c>
      <c r="C39" s="372" t="s">
        <v>77</v>
      </c>
      <c r="D39" s="195" t="s">
        <v>78</v>
      </c>
      <c r="E39" s="194"/>
      <c r="F39" s="150" t="s">
        <v>79</v>
      </c>
      <c r="G39" s="198"/>
      <c r="H39" s="369"/>
      <c r="I39" s="370"/>
      <c r="J39" s="136"/>
      <c r="N39" t="str">
        <f t="array" ref="N39">IFERROR(
   INDEX($B$9:$B$188,
      SMALL(
         IF($B$9:$B$188&lt;&gt;"",ROW($B$9:$B$188)-MIN(ROW($B$9:$B$188))+1),
         ROWS($Z$1:Z31)
      )
   ),
"")</f>
        <v/>
      </c>
      <c r="O39" t="str">
        <f t="array" ref="O39">IFERROR(
   INDEX('[4]INFO-Ponderacion'!$C$9:$C$13,
      SMALL(
         IF('[4]INFO-Ponderacion'!$C$9:$C$13&lt;&gt;"",ROW('[4]INFO-Ponderacion'!$C$9:$C$13)-MIN(ROW('[4]INFO-Ponderacion'!$C$9:$C$13))+1),
         ROWS($Z$1:Z31)
      )
   ),
"")</f>
        <v/>
      </c>
    </row>
    <row r="40" spans="1:15" ht="30" customHeight="1">
      <c r="A40" s="136"/>
      <c r="B40" s="375"/>
      <c r="C40" s="372"/>
      <c r="D40" s="195" t="s">
        <v>136</v>
      </c>
      <c r="E40" s="194"/>
      <c r="F40" s="196" t="s">
        <v>137</v>
      </c>
      <c r="G40" s="199"/>
      <c r="H40" s="192"/>
      <c r="I40" s="193"/>
      <c r="J40" s="136"/>
      <c r="N40" t="str">
        <f t="array" ref="N40">IFERROR(
   INDEX($B$9:$B$188,
      SMALL(
         IF($B$9:$B$188&lt;&gt;"",ROW($B$9:$B$188)-MIN(ROW($B$9:$B$188))+1),
         ROWS($Z$1:Z32)
      )
   ),
"")</f>
        <v/>
      </c>
      <c r="O40" t="str">
        <f t="array" ref="O40">IFERROR(
   INDEX('[4]INFO-Ponderacion'!$C$9:$C$13,
      SMALL(
         IF('[4]INFO-Ponderacion'!$C$9:$C$13&lt;&gt;"",ROW('[4]INFO-Ponderacion'!$C$9:$C$13)-MIN(ROW('[4]INFO-Ponderacion'!$C$9:$C$13))+1),
         ROWS($Z$1:Z32)
      )
   ),
"")</f>
        <v/>
      </c>
    </row>
    <row r="41" spans="1:15" ht="30" customHeight="1">
      <c r="A41" s="136"/>
      <c r="B41" s="375"/>
      <c r="C41" s="372"/>
      <c r="D41" s="195" t="s">
        <v>80</v>
      </c>
      <c r="E41" s="194"/>
      <c r="F41" s="151" t="s">
        <v>81</v>
      </c>
      <c r="G41" s="200"/>
      <c r="H41" s="376"/>
      <c r="I41" s="377"/>
      <c r="J41" s="136"/>
      <c r="N41" t="str">
        <f t="array" ref="N41">IFERROR(
   INDEX($B$9:$B$188,
      SMALL(
         IF($B$9:$B$188&lt;&gt;"",ROW($B$9:$B$188)-MIN(ROW($B$9:$B$188))+1),
         ROWS($Z$1:Z33)
      )
   ),
"")</f>
        <v/>
      </c>
      <c r="O41" t="str">
        <f t="array" ref="O41">IFERROR(
   INDEX('[4]INFO-Ponderacion'!$C$9:$C$13,
      SMALL(
         IF('[4]INFO-Ponderacion'!$C$9:$C$13&lt;&gt;"",ROW('[4]INFO-Ponderacion'!$C$9:$C$13)-MIN(ROW('[4]INFO-Ponderacion'!$C$9:$C$13))+1),
         ROWS($Z$1:Z33)
      )
   ),
"")</f>
        <v/>
      </c>
    </row>
    <row r="42" spans="1:15" ht="30" customHeight="1">
      <c r="A42" s="136"/>
      <c r="B42" s="375"/>
      <c r="C42" s="372"/>
      <c r="D42" s="195" t="s">
        <v>82</v>
      </c>
      <c r="E42" s="194"/>
      <c r="F42" s="150" t="s">
        <v>79</v>
      </c>
      <c r="G42" s="197">
        <v>0</v>
      </c>
      <c r="H42" s="369"/>
      <c r="I42" s="370"/>
      <c r="J42" s="136"/>
      <c r="N42" t="str">
        <f t="array" ref="N42">IFERROR(
   INDEX($B$9:$B$188,
      SMALL(
         IF($B$9:$B$188&lt;&gt;"",ROW($B$9:$B$188)-MIN(ROW($B$9:$B$188))+1),
         ROWS($Z$1:Z34)
      )
   ),
"")</f>
        <v/>
      </c>
      <c r="O42" t="str">
        <f t="array" ref="O42">IFERROR(
   INDEX('[4]INFO-Ponderacion'!$C$9:$C$13,
      SMALL(
         IF('[4]INFO-Ponderacion'!$C$9:$C$13&lt;&gt;"",ROW('[4]INFO-Ponderacion'!$C$9:$C$13)-MIN(ROW('[4]INFO-Ponderacion'!$C$9:$C$13))+1),
         ROWS($Z$1:Z34)
      )
   ),
"")</f>
        <v/>
      </c>
    </row>
    <row r="43" spans="1:15" ht="30" customHeight="1">
      <c r="A43" s="136"/>
      <c r="B43" s="375"/>
      <c r="C43" s="372"/>
      <c r="D43" s="195" t="s">
        <v>83</v>
      </c>
      <c r="E43" s="194"/>
      <c r="F43" s="150" t="s">
        <v>84</v>
      </c>
      <c r="G43" s="195">
        <f>INDEX('INFO-OEE'!$E$18:$CL$18,
        MATCH(B39, 'INFO-OEE'!$E$9:$CL$9, 0)) * 12</f>
        <v>1689.6000000000001</v>
      </c>
      <c r="H43" s="369"/>
      <c r="I43" s="370"/>
      <c r="J43" s="136"/>
      <c r="N43" t="str">
        <f t="array" ref="N43">IFERROR(
   INDEX($B$9:$B$188,
      SMALL(
         IF($B$9:$B$188&lt;&gt;"",ROW($B$9:$B$188)-MIN(ROW($B$9:$B$188))+1),
         ROWS($Z$1:Z35)
      )
   ),
"")</f>
        <v/>
      </c>
      <c r="O43" t="str">
        <f t="array" ref="O43">IFERROR(
   INDEX('[4]INFO-Ponderacion'!$C$9:$C$13,
      SMALL(
         IF('[4]INFO-Ponderacion'!$C$9:$C$13&lt;&gt;"",ROW('[4]INFO-Ponderacion'!$C$9:$C$13)-MIN(ROW('[4]INFO-Ponderacion'!$C$9:$C$13))+1),
         ROWS($Z$1:Z35)
      )
   ),
"")</f>
        <v/>
      </c>
    </row>
    <row r="44" spans="1:15" ht="30" customHeight="1">
      <c r="A44" s="136"/>
      <c r="B44" s="375"/>
      <c r="C44" s="372"/>
      <c r="D44" s="195" t="s">
        <v>85</v>
      </c>
      <c r="E44" s="194"/>
      <c r="F44" s="150" t="s">
        <v>86</v>
      </c>
      <c r="G44" s="198"/>
      <c r="H44" s="369"/>
      <c r="I44" s="370"/>
      <c r="J44" s="136"/>
      <c r="N44" t="str">
        <f t="array" ref="N44">IFERROR(
   INDEX($B$9:$B$188,
      SMALL(
         IF($B$9:$B$188&lt;&gt;"",ROW($B$9:$B$188)-MIN(ROW($B$9:$B$188))+1),
         ROWS($Z$1:Z36)
      )
   ),
"")</f>
        <v/>
      </c>
      <c r="O44" t="str">
        <f t="array" ref="O44">IFERROR(
   INDEX('[4]INFO-Ponderacion'!$C$9:$C$13,
      SMALL(
         IF('[4]INFO-Ponderacion'!$C$9:$C$13&lt;&gt;"",ROW('[4]INFO-Ponderacion'!$C$9:$C$13)-MIN(ROW('[4]INFO-Ponderacion'!$C$9:$C$13))+1),
         ROWS($Z$1:Z36)
      )
   ),
"")</f>
        <v/>
      </c>
    </row>
    <row r="45" spans="1:15" ht="30" customHeight="1">
      <c r="A45" s="136"/>
      <c r="B45" s="375" t="str">
        <f>'TE-SCAMRIVT-2060 CONICO 30207'!C3</f>
        <v>TE-SCAMRIVT-2060 CONICO 30207</v>
      </c>
      <c r="C45" s="372" t="s">
        <v>77</v>
      </c>
      <c r="D45" s="195" t="s">
        <v>78</v>
      </c>
      <c r="E45" s="194"/>
      <c r="F45" s="150" t="s">
        <v>79</v>
      </c>
      <c r="G45" s="198"/>
      <c r="H45" s="369"/>
      <c r="I45" s="370"/>
      <c r="J45" s="136"/>
      <c r="N45" t="str">
        <f t="array" ref="N45">IFERROR(
   INDEX($B$9:$B$188,
      SMALL(
         IF($B$9:$B$188&lt;&gt;"",ROW($B$9:$B$188)-MIN(ROW($B$9:$B$188))+1),
         ROWS($Z$1:Z37)
      )
   ),
"")</f>
        <v/>
      </c>
      <c r="O45" t="str">
        <f t="array" ref="O45">IFERROR(
   INDEX('[4]INFO-Ponderacion'!$C$9:$C$13,
      SMALL(
         IF('[4]INFO-Ponderacion'!$C$9:$C$13&lt;&gt;"",ROW('[4]INFO-Ponderacion'!$C$9:$C$13)-MIN(ROW('[4]INFO-Ponderacion'!$C$9:$C$13))+1),
         ROWS($Z$1:Z37)
      )
   ),
"")</f>
        <v/>
      </c>
    </row>
    <row r="46" spans="1:15" ht="30" customHeight="1">
      <c r="A46" s="136"/>
      <c r="B46" s="375"/>
      <c r="C46" s="372"/>
      <c r="D46" s="195" t="s">
        <v>136</v>
      </c>
      <c r="E46" s="194"/>
      <c r="F46" s="196" t="s">
        <v>137</v>
      </c>
      <c r="G46" s="199"/>
      <c r="H46" s="192"/>
      <c r="I46" s="193"/>
      <c r="J46" s="136"/>
      <c r="N46" t="str">
        <f t="array" ref="N46">IFERROR(
   INDEX($B$9:$B$188,
      SMALL(
         IF($B$9:$B$188&lt;&gt;"",ROW($B$9:$B$188)-MIN(ROW($B$9:$B$188))+1),
         ROWS($Z$1:Z38)
      )
   ),
"")</f>
        <v/>
      </c>
      <c r="O46" t="str">
        <f t="array" ref="O46">IFERROR(
   INDEX('[4]INFO-Ponderacion'!$C$9:$C$13,
      SMALL(
         IF('[4]INFO-Ponderacion'!$C$9:$C$13&lt;&gt;"",ROW('[4]INFO-Ponderacion'!$C$9:$C$13)-MIN(ROW('[4]INFO-Ponderacion'!$C$9:$C$13))+1),
         ROWS($Z$1:Z38)
      )
   ),
"")</f>
        <v/>
      </c>
    </row>
    <row r="47" spans="1:15" ht="30" customHeight="1">
      <c r="A47" s="136"/>
      <c r="B47" s="375"/>
      <c r="C47" s="372"/>
      <c r="D47" s="195" t="s">
        <v>80</v>
      </c>
      <c r="E47" s="194"/>
      <c r="F47" s="151" t="s">
        <v>81</v>
      </c>
      <c r="G47" s="200"/>
      <c r="H47" s="376"/>
      <c r="I47" s="377"/>
      <c r="J47" s="136"/>
      <c r="N47" t="str">
        <f t="array" ref="N47">IFERROR(
   INDEX($B$9:$B$188,
      SMALL(
         IF($B$9:$B$188&lt;&gt;"",ROW($B$9:$B$188)-MIN(ROW($B$9:$B$188))+1),
         ROWS($Z$1:Z39)
      )
   ),
"")</f>
        <v/>
      </c>
      <c r="O47" t="str">
        <f t="array" ref="O47">IFERROR(
   INDEX('[4]INFO-Ponderacion'!$C$9:$C$13,
      SMALL(
         IF('[4]INFO-Ponderacion'!$C$9:$C$13&lt;&gt;"",ROW('[4]INFO-Ponderacion'!$C$9:$C$13)-MIN(ROW('[4]INFO-Ponderacion'!$C$9:$C$13))+1),
         ROWS($Z$1:Z39)
      )
   ),
"")</f>
        <v/>
      </c>
    </row>
    <row r="48" spans="1:15" ht="30" customHeight="1">
      <c r="A48" s="136"/>
      <c r="B48" s="375"/>
      <c r="C48" s="372"/>
      <c r="D48" s="195" t="s">
        <v>82</v>
      </c>
      <c r="E48" s="194"/>
      <c r="F48" s="150" t="s">
        <v>79</v>
      </c>
      <c r="G48" s="197">
        <v>0</v>
      </c>
      <c r="H48" s="369"/>
      <c r="I48" s="370"/>
      <c r="J48" s="136"/>
      <c r="N48" t="str">
        <f t="array" ref="N48">IFERROR(
   INDEX($B$9:$B$188,
      SMALL(
         IF($B$9:$B$188&lt;&gt;"",ROW($B$9:$B$188)-MIN(ROW($B$9:$B$188))+1),
         ROWS($Z$1:Z40)
      )
   ),
"")</f>
        <v/>
      </c>
      <c r="O48" t="str">
        <f t="array" ref="O48">IFERROR(
   INDEX('[4]INFO-Ponderacion'!$C$9:$C$13,
      SMALL(
         IF('[4]INFO-Ponderacion'!$C$9:$C$13&lt;&gt;"",ROW('[4]INFO-Ponderacion'!$C$9:$C$13)-MIN(ROW('[4]INFO-Ponderacion'!$C$9:$C$13))+1),
         ROWS($Z$1:Z40)
      )
   ),
"")</f>
        <v/>
      </c>
    </row>
    <row r="49" spans="1:15" ht="30" customHeight="1">
      <c r="A49" s="136"/>
      <c r="B49" s="375"/>
      <c r="C49" s="372"/>
      <c r="D49" s="195" t="s">
        <v>83</v>
      </c>
      <c r="E49" s="194"/>
      <c r="F49" s="150" t="s">
        <v>84</v>
      </c>
      <c r="G49" s="195">
        <f>INDEX('INFO-OEE'!$E$18:$CL$18,
        MATCH(B45, 'INFO-OEE'!$E$9:$CL$9, 0)) * 12</f>
        <v>1689.6000000000001</v>
      </c>
      <c r="H49" s="369"/>
      <c r="I49" s="370"/>
      <c r="J49" s="136"/>
      <c r="N49" t="str">
        <f t="array" ref="N49">IFERROR(
   INDEX($B$9:$B$188,
      SMALL(
         IF($B$9:$B$188&lt;&gt;"",ROW($B$9:$B$188)-MIN(ROW($B$9:$B$188))+1),
         ROWS($Z$1:Z41)
      )
   ),
"")</f>
        <v/>
      </c>
      <c r="O49" t="str">
        <f t="array" ref="O49">IFERROR(
   INDEX('[4]INFO-Ponderacion'!$C$9:$C$13,
      SMALL(
         IF('[4]INFO-Ponderacion'!$C$9:$C$13&lt;&gt;"",ROW('[4]INFO-Ponderacion'!$C$9:$C$13)-MIN(ROW('[4]INFO-Ponderacion'!$C$9:$C$13))+1),
         ROWS($Z$1:Z41)
      )
   ),
"")</f>
        <v/>
      </c>
    </row>
    <row r="50" spans="1:15" ht="30" customHeight="1">
      <c r="A50" s="136"/>
      <c r="B50" s="375"/>
      <c r="C50" s="372"/>
      <c r="D50" s="195" t="s">
        <v>85</v>
      </c>
      <c r="E50" s="194"/>
      <c r="F50" s="150" t="s">
        <v>86</v>
      </c>
      <c r="G50" s="198"/>
      <c r="H50" s="369"/>
      <c r="I50" s="370"/>
      <c r="J50" s="136"/>
      <c r="N50" t="str">
        <f t="array" ref="N50">IFERROR(
   INDEX($B$9:$B$188,
      SMALL(
         IF($B$9:$B$188&lt;&gt;"",ROW($B$9:$B$188)-MIN(ROW($B$9:$B$188))+1),
         ROWS($Z$1:Z42)
      )
   ),
"")</f>
        <v/>
      </c>
      <c r="O50" t="str">
        <f t="array" ref="O50">IFERROR(
   INDEX('[4]INFO-Ponderacion'!$C$9:$C$13,
      SMALL(
         IF('[4]INFO-Ponderacion'!$C$9:$C$13&lt;&gt;"",ROW('[4]INFO-Ponderacion'!$C$9:$C$13)-MIN(ROW('[4]INFO-Ponderacion'!$C$9:$C$13))+1),
         ROWS($Z$1:Z42)
      )
   ),
"")</f>
        <v/>
      </c>
    </row>
    <row r="51" spans="1:15" ht="30" customHeight="1">
      <c r="A51" s="136"/>
      <c r="B51" s="375" t="str">
        <f>'HERMANADORA MANUAL IM247'!C3</f>
        <v>HERMANADORA MANUAL IM247</v>
      </c>
      <c r="C51" s="372" t="s">
        <v>77</v>
      </c>
      <c r="D51" s="195" t="s">
        <v>78</v>
      </c>
      <c r="E51" s="194"/>
      <c r="F51" s="150" t="s">
        <v>79</v>
      </c>
      <c r="G51" s="198"/>
      <c r="H51" s="369"/>
      <c r="I51" s="370"/>
      <c r="J51" s="136"/>
      <c r="N51" t="str">
        <f t="array" ref="N51">IFERROR(
   INDEX($B$9:$B$188,
      SMALL(
         IF($B$9:$B$188&lt;&gt;"",ROW($B$9:$B$188)-MIN(ROW($B$9:$B$188))+1),
         ROWS($Z$1:Z43)
      )
   ),
"")</f>
        <v/>
      </c>
      <c r="O51" t="str">
        <f t="array" ref="O51">IFERROR(
   INDEX('[4]INFO-Ponderacion'!$C$9:$C$13,
      SMALL(
         IF('[4]INFO-Ponderacion'!$C$9:$C$13&lt;&gt;"",ROW('[4]INFO-Ponderacion'!$C$9:$C$13)-MIN(ROW('[4]INFO-Ponderacion'!$C$9:$C$13))+1),
         ROWS($Z$1:Z43)
      )
   ),
"")</f>
        <v/>
      </c>
    </row>
    <row r="52" spans="1:15" ht="30" customHeight="1">
      <c r="A52" s="136"/>
      <c r="B52" s="375"/>
      <c r="C52" s="372"/>
      <c r="D52" s="195" t="s">
        <v>136</v>
      </c>
      <c r="E52" s="194"/>
      <c r="F52" s="196" t="s">
        <v>137</v>
      </c>
      <c r="G52" s="199"/>
      <c r="H52" s="192"/>
      <c r="I52" s="193"/>
      <c r="J52" s="136"/>
      <c r="N52" t="str">
        <f t="array" ref="N52">IFERROR(
   INDEX($B$9:$B$188,
      SMALL(
         IF($B$9:$B$188&lt;&gt;"",ROW($B$9:$B$188)-MIN(ROW($B$9:$B$188))+1),
         ROWS($Z$1:Z44)
      )
   ),
"")</f>
        <v/>
      </c>
      <c r="O52" t="str">
        <f t="array" ref="O52">IFERROR(
   INDEX('[4]INFO-Ponderacion'!$C$9:$C$13,
      SMALL(
         IF('[4]INFO-Ponderacion'!$C$9:$C$13&lt;&gt;"",ROW('[4]INFO-Ponderacion'!$C$9:$C$13)-MIN(ROW('[4]INFO-Ponderacion'!$C$9:$C$13))+1),
         ROWS($Z$1:Z44)
      )
   ),
"")</f>
        <v/>
      </c>
    </row>
    <row r="53" spans="1:15" ht="30" customHeight="1">
      <c r="A53" s="136"/>
      <c r="B53" s="375"/>
      <c r="C53" s="372"/>
      <c r="D53" s="195" t="s">
        <v>80</v>
      </c>
      <c r="E53" s="194"/>
      <c r="F53" s="151" t="s">
        <v>81</v>
      </c>
      <c r="G53" s="200"/>
      <c r="H53" s="376"/>
      <c r="I53" s="377"/>
      <c r="J53" s="136"/>
      <c r="N53" t="str">
        <f t="array" ref="N53">IFERROR(
   INDEX($B$9:$B$188,
      SMALL(
         IF($B$9:$B$188&lt;&gt;"",ROW($B$9:$B$188)-MIN(ROW($B$9:$B$188))+1),
         ROWS($Z$1:Z45)
      )
   ),
"")</f>
        <v/>
      </c>
      <c r="O53" t="str">
        <f t="array" ref="O53">IFERROR(
   INDEX('[4]INFO-Ponderacion'!$C$9:$C$13,
      SMALL(
         IF('[4]INFO-Ponderacion'!$C$9:$C$13&lt;&gt;"",ROW('[4]INFO-Ponderacion'!$C$9:$C$13)-MIN(ROW('[4]INFO-Ponderacion'!$C$9:$C$13))+1),
         ROWS($Z$1:Z45)
      )
   ),
"")</f>
        <v/>
      </c>
    </row>
    <row r="54" spans="1:15" ht="30" customHeight="1">
      <c r="A54" s="136"/>
      <c r="B54" s="375"/>
      <c r="C54" s="372"/>
      <c r="D54" s="195" t="s">
        <v>82</v>
      </c>
      <c r="E54" s="194"/>
      <c r="F54" s="150" t="s">
        <v>79</v>
      </c>
      <c r="G54" s="197">
        <v>0</v>
      </c>
      <c r="H54" s="369"/>
      <c r="I54" s="370"/>
      <c r="J54" s="136"/>
      <c r="N54" t="str">
        <f t="array" ref="N54">IFERROR(
   INDEX($B$9:$B$188,
      SMALL(
         IF($B$9:$B$188&lt;&gt;"",ROW($B$9:$B$188)-MIN(ROW($B$9:$B$188))+1),
         ROWS($Z$1:Z46)
      )
   ),
"")</f>
        <v/>
      </c>
      <c r="O54" t="str">
        <f t="array" ref="O54">IFERROR(
   INDEX('[4]INFO-Ponderacion'!$C$9:$C$13,
      SMALL(
         IF('[4]INFO-Ponderacion'!$C$9:$C$13&lt;&gt;"",ROW('[4]INFO-Ponderacion'!$C$9:$C$13)-MIN(ROW('[4]INFO-Ponderacion'!$C$9:$C$13))+1),
         ROWS($Z$1:Z46)
      )
   ),
"")</f>
        <v/>
      </c>
    </row>
    <row r="55" spans="1:15" ht="30" customHeight="1">
      <c r="A55" s="136"/>
      <c r="B55" s="375"/>
      <c r="C55" s="372"/>
      <c r="D55" s="195" t="s">
        <v>83</v>
      </c>
      <c r="E55" s="194"/>
      <c r="F55" s="150" t="s">
        <v>84</v>
      </c>
      <c r="G55" s="195">
        <f>INDEX('INFO-OEE'!$E$18:$CL$18,
        MATCH(B51, 'INFO-OEE'!$E$9:$CL$9, 0)) * 12</f>
        <v>1689.6000000000001</v>
      </c>
      <c r="H55" s="369"/>
      <c r="I55" s="370"/>
      <c r="J55" s="136"/>
      <c r="N55" t="str">
        <f t="array" ref="N55">IFERROR(
   INDEX($B$9:$B$188,
      SMALL(
         IF($B$9:$B$188&lt;&gt;"",ROW($B$9:$B$188)-MIN(ROW($B$9:$B$188))+1),
         ROWS($Z$1:Z47)
      )
   ),
"")</f>
        <v/>
      </c>
      <c r="O55" t="str">
        <f t="array" ref="O55">IFERROR(
   INDEX('[4]INFO-Ponderacion'!$C$9:$C$13,
      SMALL(
         IF('[4]INFO-Ponderacion'!$C$9:$C$13&lt;&gt;"",ROW('[4]INFO-Ponderacion'!$C$9:$C$13)-MIN(ROW('[4]INFO-Ponderacion'!$C$9:$C$13))+1),
         ROWS($Z$1:Z47)
      )
   ),
"")</f>
        <v/>
      </c>
    </row>
    <row r="56" spans="1:15" ht="30" customHeight="1">
      <c r="A56" s="136"/>
      <c r="B56" s="375"/>
      <c r="C56" s="372"/>
      <c r="D56" s="195" t="s">
        <v>85</v>
      </c>
      <c r="E56" s="194"/>
      <c r="F56" s="150" t="s">
        <v>86</v>
      </c>
      <c r="G56" s="198"/>
      <c r="H56" s="369"/>
      <c r="I56" s="370"/>
      <c r="J56" s="136"/>
      <c r="N56" t="str">
        <f t="array" ref="N56">IFERROR(
   INDEX($B$9:$B$188,
      SMALL(
         IF($B$9:$B$188&lt;&gt;"",ROW($B$9:$B$188)-MIN(ROW($B$9:$B$188))+1),
         ROWS($Z$1:Z48)
      )
   ),
"")</f>
        <v/>
      </c>
      <c r="O56" t="str">
        <f t="array" ref="O56">IFERROR(
   INDEX('[4]INFO-Ponderacion'!$C$9:$C$13,
      SMALL(
         IF('[4]INFO-Ponderacion'!$C$9:$C$13&lt;&gt;"",ROW('[4]INFO-Ponderacion'!$C$9:$C$13)-MIN(ROW('[4]INFO-Ponderacion'!$C$9:$C$13))+1),
         ROWS($Z$1:Z48)
      )
   ),
"")</f>
        <v/>
      </c>
    </row>
    <row r="57" spans="1:15" ht="30" customHeight="1">
      <c r="A57" s="136"/>
      <c r="B57" s="375" t="str">
        <f>'HER. AUT MS03 DP 02HTQJ2'!C3</f>
        <v>HER. AUT MS03 DP 02HTQJ2</v>
      </c>
      <c r="C57" s="372" t="s">
        <v>77</v>
      </c>
      <c r="D57" s="195" t="s">
        <v>78</v>
      </c>
      <c r="E57" s="194"/>
      <c r="F57" s="150" t="s">
        <v>79</v>
      </c>
      <c r="G57" s="198"/>
      <c r="H57" s="369"/>
      <c r="I57" s="370"/>
      <c r="J57" s="136"/>
      <c r="N57" t="str">
        <f t="array" ref="N57">IFERROR(
   INDEX($B$9:$B$188,
      SMALL(
         IF($B$9:$B$188&lt;&gt;"",ROW($B$9:$B$188)-MIN(ROW($B$9:$B$188))+1),
         ROWS($Z$1:Z49)
      )
   ),
"")</f>
        <v/>
      </c>
      <c r="O57" t="str">
        <f t="array" ref="O57">IFERROR(
   INDEX('[4]INFO-Ponderacion'!$C$9:$C$13,
      SMALL(
         IF('[4]INFO-Ponderacion'!$C$9:$C$13&lt;&gt;"",ROW('[4]INFO-Ponderacion'!$C$9:$C$13)-MIN(ROW('[4]INFO-Ponderacion'!$C$9:$C$13))+1),
         ROWS($Z$1:Z49)
      )
   ),
"")</f>
        <v/>
      </c>
    </row>
    <row r="58" spans="1:15" ht="30" customHeight="1">
      <c r="A58" s="136"/>
      <c r="B58" s="375"/>
      <c r="C58" s="372"/>
      <c r="D58" s="195" t="s">
        <v>136</v>
      </c>
      <c r="E58" s="194"/>
      <c r="F58" s="196" t="s">
        <v>137</v>
      </c>
      <c r="G58" s="199"/>
      <c r="H58" s="192"/>
      <c r="I58" s="193"/>
      <c r="J58" s="136"/>
      <c r="N58" t="str">
        <f t="array" ref="N58">IFERROR(
   INDEX($B$9:$B$188,
      SMALL(
         IF($B$9:$B$188&lt;&gt;"",ROW($B$9:$B$188)-MIN(ROW($B$9:$B$188))+1),
         ROWS($Z$1:Z50)
      )
   ),
"")</f>
        <v/>
      </c>
      <c r="O58" t="str">
        <f t="array" ref="O58">IFERROR(
   INDEX('[4]INFO-Ponderacion'!$C$9:$C$13,
      SMALL(
         IF('[4]INFO-Ponderacion'!$C$9:$C$13&lt;&gt;"",ROW('[4]INFO-Ponderacion'!$C$9:$C$13)-MIN(ROW('[4]INFO-Ponderacion'!$C$9:$C$13))+1),
         ROWS($Z$1:Z50)
      )
   ),
"")</f>
        <v/>
      </c>
    </row>
    <row r="59" spans="1:15" ht="30" customHeight="1">
      <c r="A59" s="136"/>
      <c r="B59" s="375"/>
      <c r="C59" s="372"/>
      <c r="D59" s="195" t="s">
        <v>80</v>
      </c>
      <c r="E59" s="194"/>
      <c r="F59" s="151" t="s">
        <v>81</v>
      </c>
      <c r="G59" s="200"/>
      <c r="H59" s="376"/>
      <c r="I59" s="377"/>
      <c r="J59" s="136"/>
      <c r="N59" t="str">
        <f t="array" ref="N59">IFERROR(
   INDEX($B$9:$B$188,
      SMALL(
         IF($B$9:$B$188&lt;&gt;"",ROW($B$9:$B$188)-MIN(ROW($B$9:$B$188))+1),
         ROWS($Z$1:Z51)
      )
   ),
"")</f>
        <v/>
      </c>
      <c r="O59" t="str">
        <f t="array" ref="O59">IFERROR(
   INDEX('[4]INFO-Ponderacion'!$C$9:$C$13,
      SMALL(
         IF('[4]INFO-Ponderacion'!$C$9:$C$13&lt;&gt;"",ROW('[4]INFO-Ponderacion'!$C$9:$C$13)-MIN(ROW('[4]INFO-Ponderacion'!$C$9:$C$13))+1),
         ROWS($Z$1:Z51)
      )
   ),
"")</f>
        <v/>
      </c>
    </row>
    <row r="60" spans="1:15" ht="30" customHeight="1">
      <c r="A60" s="136"/>
      <c r="B60" s="375"/>
      <c r="C60" s="372"/>
      <c r="D60" s="195" t="s">
        <v>82</v>
      </c>
      <c r="E60" s="194"/>
      <c r="F60" s="150" t="s">
        <v>79</v>
      </c>
      <c r="G60" s="197">
        <v>0</v>
      </c>
      <c r="H60" s="369"/>
      <c r="I60" s="370"/>
      <c r="J60" s="136"/>
      <c r="N60" t="str">
        <f t="array" ref="N60">IFERROR(
   INDEX($B$9:$B$188,
      SMALL(
         IF($B$9:$B$188&lt;&gt;"",ROW($B$9:$B$188)-MIN(ROW($B$9:$B$188))+1),
         ROWS($Z$1:Z52)
      )
   ),
"")</f>
        <v/>
      </c>
      <c r="O60" t="str">
        <f t="array" ref="O60">IFERROR(
   INDEX('[4]INFO-Ponderacion'!$C$9:$C$13,
      SMALL(
         IF('[4]INFO-Ponderacion'!$C$9:$C$13&lt;&gt;"",ROW('[4]INFO-Ponderacion'!$C$9:$C$13)-MIN(ROW('[4]INFO-Ponderacion'!$C$9:$C$13))+1),
         ROWS($Z$1:Z52)
      )
   ),
"")</f>
        <v/>
      </c>
    </row>
    <row r="61" spans="1:15" ht="30" customHeight="1">
      <c r="A61" s="136"/>
      <c r="B61" s="375"/>
      <c r="C61" s="372"/>
      <c r="D61" s="195" t="s">
        <v>83</v>
      </c>
      <c r="E61" s="194"/>
      <c r="F61" s="150" t="s">
        <v>84</v>
      </c>
      <c r="G61" s="195">
        <f>INDEX('INFO-OEE'!$E$18:$CL$18,
        MATCH(B57, 'INFO-OEE'!$E$9:$CL$9, 0)) * 12</f>
        <v>1689.6000000000001</v>
      </c>
      <c r="H61" s="369"/>
      <c r="I61" s="370"/>
      <c r="J61" s="136"/>
      <c r="N61" t="str">
        <f t="array" ref="N61">IFERROR(
   INDEX($B$9:$B$188,
      SMALL(
         IF($B$9:$B$188&lt;&gt;"",ROW($B$9:$B$188)-MIN(ROW($B$9:$B$188))+1),
         ROWS($Z$1:Z53)
      )
   ),
"")</f>
        <v/>
      </c>
      <c r="O61" t="str">
        <f t="array" ref="O61">IFERROR(
   INDEX('[4]INFO-Ponderacion'!$C$9:$C$13,
      SMALL(
         IF('[4]INFO-Ponderacion'!$C$9:$C$13&lt;&gt;"",ROW('[4]INFO-Ponderacion'!$C$9:$C$13)-MIN(ROW('[4]INFO-Ponderacion'!$C$9:$C$13))+1),
         ROWS($Z$1:Z53)
      )
   ),
"")</f>
        <v/>
      </c>
    </row>
    <row r="62" spans="1:15" ht="30" customHeight="1">
      <c r="A62" s="136"/>
      <c r="B62" s="375"/>
      <c r="C62" s="372"/>
      <c r="D62" s="195" t="s">
        <v>85</v>
      </c>
      <c r="E62" s="194"/>
      <c r="F62" s="150" t="s">
        <v>86</v>
      </c>
      <c r="G62" s="198"/>
      <c r="H62" s="369"/>
      <c r="I62" s="370"/>
      <c r="J62" s="136"/>
      <c r="N62" t="str">
        <f t="array" ref="N62">IFERROR(
   INDEX($B$9:$B$188,
      SMALL(
         IF($B$9:$B$188&lt;&gt;"",ROW($B$9:$B$188)-MIN(ROW($B$9:$B$188))+1),
         ROWS($Z$1:Z54)
      )
   ),
"")</f>
        <v/>
      </c>
      <c r="O62" t="str">
        <f t="array" ref="O62">IFERROR(
   INDEX('[4]INFO-Ponderacion'!$C$9:$C$13,
      SMALL(
         IF('[4]INFO-Ponderacion'!$C$9:$C$13&lt;&gt;"",ROW('[4]INFO-Ponderacion'!$C$9:$C$13)-MIN(ROW('[4]INFO-Ponderacion'!$C$9:$C$13))+1),
         ROWS($Z$1:Z54)
      )
   ),
"")</f>
        <v/>
      </c>
    </row>
    <row r="63" spans="1:15" ht="30" customHeight="1">
      <c r="A63" s="136"/>
      <c r="B63" s="375" t="str">
        <f>'HER. AUT JAULA-MS03 BCJL02A'!C3</f>
        <v>HER. AUT JAULA MS03 BCJL02A</v>
      </c>
      <c r="C63" s="372" t="s">
        <v>77</v>
      </c>
      <c r="D63" s="195" t="s">
        <v>78</v>
      </c>
      <c r="E63" s="194"/>
      <c r="F63" s="150" t="s">
        <v>79</v>
      </c>
      <c r="G63" s="198"/>
      <c r="H63" s="369"/>
      <c r="I63" s="370"/>
      <c r="J63" s="136"/>
      <c r="N63" t="str">
        <f t="array" ref="N63">IFERROR(
   INDEX($B$9:$B$188,
      SMALL(
         IF($B$9:$B$188&lt;&gt;"",ROW($B$9:$B$188)-MIN(ROW($B$9:$B$188))+1),
         ROWS($Z$1:Z55)
      )
   ),
"")</f>
        <v/>
      </c>
      <c r="O63" t="str">
        <f t="array" ref="O63">IFERROR(
   INDEX('[4]INFO-Ponderacion'!$C$9:$C$13,
      SMALL(
         IF('[4]INFO-Ponderacion'!$C$9:$C$13&lt;&gt;"",ROW('[4]INFO-Ponderacion'!$C$9:$C$13)-MIN(ROW('[4]INFO-Ponderacion'!$C$9:$C$13))+1),
         ROWS($Z$1:Z55)
      )
   ),
"")</f>
        <v/>
      </c>
    </row>
    <row r="64" spans="1:15" ht="27" customHeight="1">
      <c r="A64" s="136"/>
      <c r="B64" s="375"/>
      <c r="C64" s="372"/>
      <c r="D64" s="195" t="s">
        <v>136</v>
      </c>
      <c r="E64" s="194"/>
      <c r="F64" s="196" t="s">
        <v>137</v>
      </c>
      <c r="G64" s="199"/>
      <c r="H64" s="192"/>
      <c r="I64" s="193"/>
      <c r="J64" s="136"/>
      <c r="N64" t="str">
        <f t="array" ref="N64">IFERROR(
   INDEX($B$9:$B$188,
      SMALL(
         IF($B$9:$B$188&lt;&gt;"",ROW($B$9:$B$188)-MIN(ROW($B$9:$B$188))+1),
         ROWS($Z$1:Z56)
      )
   ),
"")</f>
        <v/>
      </c>
      <c r="O64" t="str">
        <f t="array" ref="O64">IFERROR(
   INDEX('[4]INFO-Ponderacion'!$C$9:$C$13,
      SMALL(
         IF('[4]INFO-Ponderacion'!$C$9:$C$13&lt;&gt;"",ROW('[4]INFO-Ponderacion'!$C$9:$C$13)-MIN(ROW('[4]INFO-Ponderacion'!$C$9:$C$13))+1),
         ROWS($Z$1:Z56)
      )
   ),
"")</f>
        <v/>
      </c>
    </row>
    <row r="65" spans="1:15" ht="30" customHeight="1">
      <c r="A65" s="136"/>
      <c r="B65" s="375"/>
      <c r="C65" s="372"/>
      <c r="D65" s="195" t="s">
        <v>80</v>
      </c>
      <c r="E65" s="194"/>
      <c r="F65" s="151" t="s">
        <v>81</v>
      </c>
      <c r="G65" s="200"/>
      <c r="H65" s="376"/>
      <c r="I65" s="377"/>
      <c r="J65" s="136"/>
      <c r="N65" t="str">
        <f t="array" ref="N65">IFERROR(
   INDEX($B$9:$B$188,
      SMALL(
         IF($B$9:$B$188&lt;&gt;"",ROW($B$9:$B$188)-MIN(ROW($B$9:$B$188))+1),
         ROWS($Z$1:Z57)
      )
   ),
"")</f>
        <v/>
      </c>
      <c r="O65" t="str">
        <f t="array" ref="O65">IFERROR(
   INDEX('[4]INFO-Ponderacion'!$C$9:$C$13,
      SMALL(
         IF('[4]INFO-Ponderacion'!$C$9:$C$13&lt;&gt;"",ROW('[4]INFO-Ponderacion'!$C$9:$C$13)-MIN(ROW('[4]INFO-Ponderacion'!$C$9:$C$13))+1),
         ROWS($Z$1:Z57)
      )
   ),
"")</f>
        <v/>
      </c>
    </row>
    <row r="66" spans="1:15" ht="30" customHeight="1">
      <c r="A66" s="136"/>
      <c r="B66" s="375"/>
      <c r="C66" s="372"/>
      <c r="D66" s="195" t="s">
        <v>82</v>
      </c>
      <c r="E66" s="194"/>
      <c r="F66" s="150" t="s">
        <v>79</v>
      </c>
      <c r="G66" s="197">
        <v>0</v>
      </c>
      <c r="H66" s="369"/>
      <c r="I66" s="370"/>
      <c r="J66" s="136"/>
      <c r="N66" t="str">
        <f t="array" ref="N66">IFERROR(
   INDEX($B$9:$B$188,
      SMALL(
         IF($B$9:$B$188&lt;&gt;"",ROW($B$9:$B$188)-MIN(ROW($B$9:$B$188))+1),
         ROWS($Z$1:Z58)
      )
   ),
"")</f>
        <v/>
      </c>
      <c r="O66" t="str">
        <f t="array" ref="O66">IFERROR(
   INDEX('[4]INFO-Ponderacion'!$C$9:$C$13,
      SMALL(
         IF('[4]INFO-Ponderacion'!$C$9:$C$13&lt;&gt;"",ROW('[4]INFO-Ponderacion'!$C$9:$C$13)-MIN(ROW('[4]INFO-Ponderacion'!$C$9:$C$13))+1),
         ROWS($Z$1:Z58)
      )
   ),
"")</f>
        <v/>
      </c>
    </row>
    <row r="67" spans="1:15" ht="30" customHeight="1">
      <c r="A67" s="136"/>
      <c r="B67" s="375"/>
      <c r="C67" s="372"/>
      <c r="D67" s="195" t="s">
        <v>83</v>
      </c>
      <c r="E67" s="194"/>
      <c r="F67" s="150" t="s">
        <v>84</v>
      </c>
      <c r="G67" s="195">
        <f>INDEX('INFO-OEE'!$E$18:$CL$18,
        MATCH(B63, 'INFO-OEE'!$E$9:$CL$9, 0)) * 12</f>
        <v>1689.6000000000001</v>
      </c>
      <c r="H67" s="369"/>
      <c r="I67" s="370"/>
      <c r="J67" s="136"/>
      <c r="N67" t="str">
        <f t="array" ref="N67">IFERROR(
   INDEX($B$9:$B$188,
      SMALL(
         IF($B$9:$B$188&lt;&gt;"",ROW($B$9:$B$188)-MIN(ROW($B$9:$B$188))+1),
         ROWS($Z$1:Z59)
      )
   ),
"")</f>
        <v/>
      </c>
      <c r="O67" t="str">
        <f t="array" ref="O67">IFERROR(
   INDEX('[4]INFO-Ponderacion'!$C$9:$C$13,
      SMALL(
         IF('[4]INFO-Ponderacion'!$C$9:$C$13&lt;&gt;"",ROW('[4]INFO-Ponderacion'!$C$9:$C$13)-MIN(ROW('[4]INFO-Ponderacion'!$C$9:$C$13))+1),
         ROWS($Z$1:Z59)
      )
   ),
"")</f>
        <v/>
      </c>
    </row>
    <row r="68" spans="1:15" ht="30" customHeight="1">
      <c r="A68" s="136"/>
      <c r="B68" s="375"/>
      <c r="C68" s="372"/>
      <c r="D68" s="195" t="s">
        <v>85</v>
      </c>
      <c r="E68" s="194"/>
      <c r="F68" s="150" t="s">
        <v>86</v>
      </c>
      <c r="G68" s="198"/>
      <c r="H68" s="369"/>
      <c r="I68" s="370"/>
      <c r="J68" s="136"/>
      <c r="N68" t="str">
        <f t="array" ref="N68">IFERROR(
   INDEX($B$9:$B$188,
      SMALL(
         IF($B$9:$B$188&lt;&gt;"",ROW($B$9:$B$188)-MIN(ROW($B$9:$B$188))+1),
         ROWS($Z$1:Z60)
      )
   ),
"")</f>
        <v/>
      </c>
      <c r="O68" t="str">
        <f t="array" ref="O68">IFERROR(
   INDEX('[4]INFO-Ponderacion'!$C$9:$C$13,
      SMALL(
         IF('[4]INFO-Ponderacion'!$C$9:$C$13&lt;&gt;"",ROW('[4]INFO-Ponderacion'!$C$9:$C$13)-MIN(ROW('[4]INFO-Ponderacion'!$C$9:$C$13))+1),
         ROWS($Z$1:Z60)
      )
   ),
"")</f>
        <v/>
      </c>
    </row>
    <row r="69" spans="1:15" ht="30" customHeight="1">
      <c r="A69" s="136"/>
      <c r="B69" s="375" t="str">
        <f>'ENGRASADORA MS03 0510-5120051'!C3</f>
        <v>ENGRASADORA MS03 0510-5120051</v>
      </c>
      <c r="C69" s="372" t="s">
        <v>77</v>
      </c>
      <c r="D69" s="195" t="s">
        <v>78</v>
      </c>
      <c r="E69" s="194"/>
      <c r="F69" s="150" t="s">
        <v>79</v>
      </c>
      <c r="G69" s="198"/>
      <c r="H69" s="369"/>
      <c r="I69" s="370"/>
      <c r="J69" s="136"/>
      <c r="N69" t="str">
        <f t="array" ref="N69">IFERROR(
   INDEX($B$9:$B$188,
      SMALL(
         IF($B$9:$B$188&lt;&gt;"",ROW($B$9:$B$188)-MIN(ROW($B$9:$B$188))+1),
         ROWS($Z$1:Z61)
      )
   ),
"")</f>
        <v/>
      </c>
      <c r="O69" t="str">
        <f t="array" ref="O69">IFERROR(
   INDEX('[4]INFO-Ponderacion'!$C$9:$C$13,
      SMALL(
         IF('[4]INFO-Ponderacion'!$C$9:$C$13&lt;&gt;"",ROW('[4]INFO-Ponderacion'!$C$9:$C$13)-MIN(ROW('[4]INFO-Ponderacion'!$C$9:$C$13))+1),
         ROWS($Z$1:Z61)
      )
   ),
"")</f>
        <v/>
      </c>
    </row>
    <row r="70" spans="1:15" ht="30" customHeight="1">
      <c r="A70" s="136"/>
      <c r="B70" s="375"/>
      <c r="C70" s="372"/>
      <c r="D70" s="195" t="s">
        <v>136</v>
      </c>
      <c r="E70" s="194"/>
      <c r="F70" s="196" t="s">
        <v>137</v>
      </c>
      <c r="G70" s="199"/>
      <c r="H70" s="192"/>
      <c r="I70" s="193"/>
      <c r="J70" s="136"/>
      <c r="N70" t="str">
        <f t="array" ref="N70">IFERROR(
   INDEX($B$9:$B$188,
      SMALL(
         IF($B$9:$B$188&lt;&gt;"",ROW($B$9:$B$188)-MIN(ROW($B$9:$B$188))+1),
         ROWS($Z$1:Z62)
      )
   ),
"")</f>
        <v/>
      </c>
      <c r="O70" t="str">
        <f t="array" ref="O70">IFERROR(
   INDEX('[4]INFO-Ponderacion'!$C$9:$C$13,
      SMALL(
         IF('[4]INFO-Ponderacion'!$C$9:$C$13&lt;&gt;"",ROW('[4]INFO-Ponderacion'!$C$9:$C$13)-MIN(ROW('[4]INFO-Ponderacion'!$C$9:$C$13))+1),
         ROWS($Z$1:Z62)
      )
   ),
"")</f>
        <v/>
      </c>
    </row>
    <row r="71" spans="1:15" ht="30" customHeight="1">
      <c r="A71" s="136"/>
      <c r="B71" s="375"/>
      <c r="C71" s="372"/>
      <c r="D71" s="195" t="s">
        <v>80</v>
      </c>
      <c r="E71" s="194"/>
      <c r="F71" s="151" t="s">
        <v>81</v>
      </c>
      <c r="G71" s="200"/>
      <c r="H71" s="376"/>
      <c r="I71" s="377"/>
      <c r="J71" s="136"/>
      <c r="N71" t="str">
        <f t="array" ref="N71">IFERROR(
   INDEX($B$9:$B$188,
      SMALL(
         IF($B$9:$B$188&lt;&gt;"",ROW($B$9:$B$188)-MIN(ROW($B$9:$B$188))+1),
         ROWS($Z$1:Z63)
      )
   ),
"")</f>
        <v/>
      </c>
      <c r="O71" t="str">
        <f t="array" ref="O71">IFERROR(
   INDEX('[4]INFO-Ponderacion'!$C$9:$C$13,
      SMALL(
         IF('[4]INFO-Ponderacion'!$C$9:$C$13&lt;&gt;"",ROW('[4]INFO-Ponderacion'!$C$9:$C$13)-MIN(ROW('[4]INFO-Ponderacion'!$C$9:$C$13))+1),
         ROWS($Z$1:Z63)
      )
   ),
"")</f>
        <v/>
      </c>
    </row>
    <row r="72" spans="1:15" ht="30" customHeight="1">
      <c r="A72" s="136"/>
      <c r="B72" s="375"/>
      <c r="C72" s="372"/>
      <c r="D72" s="195" t="s">
        <v>82</v>
      </c>
      <c r="E72" s="194"/>
      <c r="F72" s="150" t="s">
        <v>79</v>
      </c>
      <c r="G72" s="197">
        <v>0</v>
      </c>
      <c r="H72" s="369"/>
      <c r="I72" s="370"/>
      <c r="J72" s="136"/>
      <c r="N72" t="str">
        <f t="array" ref="N72">IFERROR(
   INDEX($B$9:$B$188,
      SMALL(
         IF($B$9:$B$188&lt;&gt;"",ROW($B$9:$B$188)-MIN(ROW($B$9:$B$188))+1),
         ROWS($Z$1:Z64)
      )
   ),
"")</f>
        <v/>
      </c>
      <c r="O72" t="str">
        <f t="array" ref="O72">IFERROR(
   INDEX('[4]INFO-Ponderacion'!$C$9:$C$13,
      SMALL(
         IF('[4]INFO-Ponderacion'!$C$9:$C$13&lt;&gt;"",ROW('[4]INFO-Ponderacion'!$C$9:$C$13)-MIN(ROW('[4]INFO-Ponderacion'!$C$9:$C$13))+1),
         ROWS($Z$1:Z64)
      )
   ),
"")</f>
        <v/>
      </c>
    </row>
    <row r="73" spans="1:15" ht="30" customHeight="1">
      <c r="A73" s="136"/>
      <c r="B73" s="375"/>
      <c r="C73" s="372"/>
      <c r="D73" s="195" t="s">
        <v>83</v>
      </c>
      <c r="E73" s="194"/>
      <c r="F73" s="150" t="s">
        <v>84</v>
      </c>
      <c r="G73" s="195">
        <f>INDEX('INFO-OEE'!$E$18:$CL$18,
        MATCH(B69, 'INFO-OEE'!$E$9:$CL$9, 0)) * 12</f>
        <v>1689.6000000000001</v>
      </c>
      <c r="H73" s="369"/>
      <c r="I73" s="370"/>
      <c r="J73" s="136"/>
      <c r="N73" t="str">
        <f t="array" ref="N73">IFERROR(
   INDEX($B$9:$B$188,
      SMALL(
         IF($B$9:$B$188&lt;&gt;"",ROW($B$9:$B$188)-MIN(ROW($B$9:$B$188))+1),
         ROWS($Z$1:Z65)
      )
   ),
"")</f>
        <v/>
      </c>
      <c r="O73" t="str">
        <f t="array" ref="O73">IFERROR(
   INDEX('[4]INFO-Ponderacion'!$C$9:$C$13,
      SMALL(
         IF('[4]INFO-Ponderacion'!$C$9:$C$13&lt;&gt;"",ROW('[4]INFO-Ponderacion'!$C$9:$C$13)-MIN(ROW('[4]INFO-Ponderacion'!$C$9:$C$13))+1),
         ROWS($Z$1:Z65)
      )
   ),
"")</f>
        <v/>
      </c>
    </row>
    <row r="74" spans="1:15" ht="30" customHeight="1">
      <c r="A74" s="136"/>
      <c r="B74" s="375"/>
      <c r="C74" s="372"/>
      <c r="D74" s="195" t="s">
        <v>85</v>
      </c>
      <c r="E74" s="194"/>
      <c r="F74" s="150" t="s">
        <v>86</v>
      </c>
      <c r="G74" s="198"/>
      <c r="H74" s="369"/>
      <c r="I74" s="370"/>
      <c r="J74" s="136"/>
      <c r="N74" t="str">
        <f t="array" ref="N74">IFERROR(
   INDEX($B$9:$B$188,
      SMALL(
         IF($B$9:$B$188&lt;&gt;"",ROW($B$9:$B$188)-MIN(ROW($B$9:$B$188))+1),
         ROWS($Z$1:Z66)
      )
   ),
"")</f>
        <v/>
      </c>
      <c r="O74" t="str">
        <f t="array" ref="O74">IFERROR(
   INDEX('[4]INFO-Ponderacion'!$C$9:$C$13,
      SMALL(
         IF('[4]INFO-Ponderacion'!$C$9:$C$13&lt;&gt;"",ROW('[4]INFO-Ponderacion'!$C$9:$C$13)-MIN(ROW('[4]INFO-Ponderacion'!$C$9:$C$13))+1),
         ROWS($Z$1:Z66)
      )
   ),
"")</f>
        <v/>
      </c>
    </row>
    <row r="75" spans="1:15" ht="30" customHeight="1">
      <c r="A75" s="136"/>
      <c r="B75" s="375" t="str">
        <f>'HER. AUT MS04 DP 03TQJ3'!C3</f>
        <v>HER. AUT MS04 DP 03TQJ3</v>
      </c>
      <c r="C75" s="372" t="s">
        <v>77</v>
      </c>
      <c r="D75" s="195" t="s">
        <v>78</v>
      </c>
      <c r="E75" s="194"/>
      <c r="F75" s="150" t="s">
        <v>79</v>
      </c>
      <c r="G75" s="198"/>
      <c r="H75" s="369"/>
      <c r="I75" s="370"/>
      <c r="J75" s="136"/>
      <c r="N75" t="str">
        <f t="array" ref="N75">IFERROR(
   INDEX($B$9:$B$188,
      SMALL(
         IF($B$9:$B$188&lt;&gt;"",ROW($B$9:$B$188)-MIN(ROW($B$9:$B$188))+1),
         ROWS($Z$1:Z67)
      )
   ),
"")</f>
        <v/>
      </c>
      <c r="O75" t="str">
        <f t="array" ref="O75">IFERROR(
   INDEX('[4]INFO-Ponderacion'!$C$9:$C$13,
      SMALL(
         IF('[4]INFO-Ponderacion'!$C$9:$C$13&lt;&gt;"",ROW('[4]INFO-Ponderacion'!$C$9:$C$13)-MIN(ROW('[4]INFO-Ponderacion'!$C$9:$C$13))+1),
         ROWS($Z$1:Z67)
      )
   ),
"")</f>
        <v/>
      </c>
    </row>
    <row r="76" spans="1:15" ht="30" customHeight="1">
      <c r="A76" s="136"/>
      <c r="B76" s="375"/>
      <c r="C76" s="372"/>
      <c r="D76" s="195" t="s">
        <v>136</v>
      </c>
      <c r="E76" s="194"/>
      <c r="F76" s="196" t="s">
        <v>137</v>
      </c>
      <c r="G76" s="199"/>
      <c r="H76" s="192"/>
      <c r="I76" s="193"/>
      <c r="J76" s="136"/>
      <c r="N76" t="str">
        <f t="array" ref="N76">IFERROR(
   INDEX($B$9:$B$188,
      SMALL(
         IF($B$9:$B$188&lt;&gt;"",ROW($B$9:$B$188)-MIN(ROW($B$9:$B$188))+1),
         ROWS($Z$1:Z68)
      )
   ),
"")</f>
        <v/>
      </c>
      <c r="O76" t="str">
        <f t="array" ref="O76">IFERROR(
   INDEX('[4]INFO-Ponderacion'!$C$9:$C$13,
      SMALL(
         IF('[4]INFO-Ponderacion'!$C$9:$C$13&lt;&gt;"",ROW('[4]INFO-Ponderacion'!$C$9:$C$13)-MIN(ROW('[4]INFO-Ponderacion'!$C$9:$C$13))+1),
         ROWS($Z$1:Z68)
      )
   ),
"")</f>
        <v/>
      </c>
    </row>
    <row r="77" spans="1:15" ht="30" customHeight="1">
      <c r="A77" s="136"/>
      <c r="B77" s="375"/>
      <c r="C77" s="372"/>
      <c r="D77" s="195" t="s">
        <v>80</v>
      </c>
      <c r="E77" s="194"/>
      <c r="F77" s="151" t="s">
        <v>81</v>
      </c>
      <c r="G77" s="200"/>
      <c r="H77" s="376"/>
      <c r="I77" s="377"/>
      <c r="J77" s="136"/>
      <c r="N77" t="str">
        <f t="array" ref="N77">IFERROR(
   INDEX($B$9:$B$188,
      SMALL(
         IF($B$9:$B$188&lt;&gt;"",ROW($B$9:$B$188)-MIN(ROW($B$9:$B$188))+1),
         ROWS($Z$1:Z69)
      )
   ),
"")</f>
        <v/>
      </c>
      <c r="O77" t="str">
        <f t="array" ref="O77">IFERROR(
   INDEX('[4]INFO-Ponderacion'!$C$9:$C$13,
      SMALL(
         IF('[4]INFO-Ponderacion'!$C$9:$C$13&lt;&gt;"",ROW('[4]INFO-Ponderacion'!$C$9:$C$13)-MIN(ROW('[4]INFO-Ponderacion'!$C$9:$C$13))+1),
         ROWS($Z$1:Z69)
      )
   ),
"")</f>
        <v/>
      </c>
    </row>
    <row r="78" spans="1:15" ht="30" customHeight="1">
      <c r="A78" s="136"/>
      <c r="B78" s="375"/>
      <c r="C78" s="372"/>
      <c r="D78" s="195" t="s">
        <v>82</v>
      </c>
      <c r="E78" s="194"/>
      <c r="F78" s="150" t="s">
        <v>79</v>
      </c>
      <c r="G78" s="197">
        <v>0</v>
      </c>
      <c r="H78" s="369"/>
      <c r="I78" s="370"/>
      <c r="J78" s="136"/>
      <c r="N78" t="str">
        <f t="array" ref="N78">IFERROR(
   INDEX($B$9:$B$188,
      SMALL(
         IF($B$9:$B$188&lt;&gt;"",ROW($B$9:$B$188)-MIN(ROW($B$9:$B$188))+1),
         ROWS($Z$1:Z70)
      )
   ),
"")</f>
        <v/>
      </c>
      <c r="O78" t="str">
        <f t="array" ref="O78">IFERROR(
   INDEX('[4]INFO-Ponderacion'!$C$9:$C$13,
      SMALL(
         IF('[4]INFO-Ponderacion'!$C$9:$C$13&lt;&gt;"",ROW('[4]INFO-Ponderacion'!$C$9:$C$13)-MIN(ROW('[4]INFO-Ponderacion'!$C$9:$C$13))+1),
         ROWS($Z$1:Z70)
      )
   ),
"")</f>
        <v/>
      </c>
    </row>
    <row r="79" spans="1:15" ht="30" customHeight="1">
      <c r="A79" s="136"/>
      <c r="B79" s="375"/>
      <c r="C79" s="372"/>
      <c r="D79" s="195" t="s">
        <v>83</v>
      </c>
      <c r="E79" s="194"/>
      <c r="F79" s="150" t="s">
        <v>84</v>
      </c>
      <c r="G79" s="195">
        <f>INDEX('INFO-OEE'!$E$18:$CL$18,
        MATCH(B75, 'INFO-OEE'!$E$9:$CL$9, 0)) * 12</f>
        <v>1689.6000000000001</v>
      </c>
      <c r="H79" s="369"/>
      <c r="I79" s="370"/>
      <c r="J79" s="136"/>
      <c r="N79" t="str">
        <f t="array" ref="N79">IFERROR(
   INDEX($B$9:$B$188,
      SMALL(
         IF($B$9:$B$188&lt;&gt;"",ROW($B$9:$B$188)-MIN(ROW($B$9:$B$188))+1),
         ROWS($Z$1:Z71)
      )
   ),
"")</f>
        <v/>
      </c>
      <c r="O79" t="str">
        <f t="array" ref="O79">IFERROR(
   INDEX('[4]INFO-Ponderacion'!$C$9:$C$13,
      SMALL(
         IF('[4]INFO-Ponderacion'!$C$9:$C$13&lt;&gt;"",ROW('[4]INFO-Ponderacion'!$C$9:$C$13)-MIN(ROW('[4]INFO-Ponderacion'!$C$9:$C$13))+1),
         ROWS($Z$1:Z71)
      )
   ),
"")</f>
        <v/>
      </c>
    </row>
    <row r="80" spans="1:15" ht="30" customHeight="1">
      <c r="A80" s="136"/>
      <c r="B80" s="375"/>
      <c r="C80" s="372"/>
      <c r="D80" s="195" t="s">
        <v>85</v>
      </c>
      <c r="E80" s="194"/>
      <c r="F80" s="150" t="s">
        <v>86</v>
      </c>
      <c r="G80" s="198"/>
      <c r="H80" s="369"/>
      <c r="I80" s="370"/>
      <c r="J80" s="136"/>
      <c r="N80" t="str">
        <f t="array" ref="N80">IFERROR(
   INDEX($B$9:$B$188,
      SMALL(
         IF($B$9:$B$188&lt;&gt;"",ROW($B$9:$B$188)-MIN(ROW($B$9:$B$188))+1),
         ROWS($Z$1:Z72)
      )
   ),
"")</f>
        <v/>
      </c>
      <c r="O80" t="str">
        <f t="array" ref="O80">IFERROR(
   INDEX('[4]INFO-Ponderacion'!$C$9:$C$13,
      SMALL(
         IF('[4]INFO-Ponderacion'!$C$9:$C$13&lt;&gt;"",ROW('[4]INFO-Ponderacion'!$C$9:$C$13)-MIN(ROW('[4]INFO-Ponderacion'!$C$9:$C$13))+1),
         ROWS($Z$1:Z72)
      )
   ),
"")</f>
        <v/>
      </c>
    </row>
    <row r="81" spans="1:15" ht="30" customHeight="1">
      <c r="A81" s="136"/>
      <c r="B81" s="375" t="str">
        <f>'HER. AUT JAULA-MS04 BCJL02A'!C3</f>
        <v>HER. AUT JAULA MS04 BCJL02A</v>
      </c>
      <c r="C81" s="372" t="s">
        <v>77</v>
      </c>
      <c r="D81" s="195" t="s">
        <v>78</v>
      </c>
      <c r="E81" s="194"/>
      <c r="F81" s="150" t="s">
        <v>79</v>
      </c>
      <c r="G81" s="198"/>
      <c r="H81" s="369"/>
      <c r="I81" s="370"/>
      <c r="J81" s="136"/>
      <c r="N81" t="str">
        <f t="array" ref="N81">IFERROR(
   INDEX($B$9:$B$188,
      SMALL(
         IF($B$9:$B$188&lt;&gt;"",ROW($B$9:$B$188)-MIN(ROW($B$9:$B$188))+1),
         ROWS($Z$1:Z73)
      )
   ),
"")</f>
        <v/>
      </c>
      <c r="O81" t="str">
        <f t="array" ref="O81">IFERROR(
   INDEX('[4]INFO-Ponderacion'!$C$9:$C$13,
      SMALL(
         IF('[4]INFO-Ponderacion'!$C$9:$C$13&lt;&gt;"",ROW('[4]INFO-Ponderacion'!$C$9:$C$13)-MIN(ROW('[4]INFO-Ponderacion'!$C$9:$C$13))+1),
         ROWS($Z$1:Z73)
      )
   ),
"")</f>
        <v/>
      </c>
    </row>
    <row r="82" spans="1:15" ht="30" customHeight="1">
      <c r="A82" s="136"/>
      <c r="B82" s="375"/>
      <c r="C82" s="372"/>
      <c r="D82" s="195" t="s">
        <v>136</v>
      </c>
      <c r="E82" s="194"/>
      <c r="F82" s="196" t="s">
        <v>137</v>
      </c>
      <c r="G82" s="199"/>
      <c r="H82" s="192"/>
      <c r="I82" s="193"/>
      <c r="J82" s="136"/>
      <c r="N82" t="str">
        <f t="array" ref="N82">IFERROR(
   INDEX($B$9:$B$188,
      SMALL(
         IF($B$9:$B$188&lt;&gt;"",ROW($B$9:$B$188)-MIN(ROW($B$9:$B$188))+1),
         ROWS($Z$1:Z74)
      )
   ),
"")</f>
        <v/>
      </c>
      <c r="O82" t="str">
        <f t="array" ref="O82">IFERROR(
   INDEX('[4]INFO-Ponderacion'!$C$9:$C$13,
      SMALL(
         IF('[4]INFO-Ponderacion'!$C$9:$C$13&lt;&gt;"",ROW('[4]INFO-Ponderacion'!$C$9:$C$13)-MIN(ROW('[4]INFO-Ponderacion'!$C$9:$C$13))+1),
         ROWS($Z$1:Z74)
      )
   ),
"")</f>
        <v/>
      </c>
    </row>
    <row r="83" spans="1:15" ht="30" customHeight="1">
      <c r="A83" s="136"/>
      <c r="B83" s="375"/>
      <c r="C83" s="372"/>
      <c r="D83" s="195" t="s">
        <v>80</v>
      </c>
      <c r="E83" s="194"/>
      <c r="F83" s="151" t="s">
        <v>81</v>
      </c>
      <c r="G83" s="200"/>
      <c r="H83" s="376"/>
      <c r="I83" s="377"/>
      <c r="J83" s="136"/>
      <c r="N83" t="str">
        <f t="array" ref="N83">IFERROR(
   INDEX($B$9:$B$188,
      SMALL(
         IF($B$9:$B$188&lt;&gt;"",ROW($B$9:$B$188)-MIN(ROW($B$9:$B$188))+1),
         ROWS($Z$1:Z75)
      )
   ),
"")</f>
        <v/>
      </c>
      <c r="O83" t="str">
        <f t="array" ref="O83">IFERROR(
   INDEX('[4]INFO-Ponderacion'!$C$9:$C$13,
      SMALL(
         IF('[4]INFO-Ponderacion'!$C$9:$C$13&lt;&gt;"",ROW('[4]INFO-Ponderacion'!$C$9:$C$13)-MIN(ROW('[4]INFO-Ponderacion'!$C$9:$C$13))+1),
         ROWS($Z$1:Z75)
      )
   ),
"")</f>
        <v/>
      </c>
    </row>
    <row r="84" spans="1:15" ht="30" customHeight="1">
      <c r="A84" s="136"/>
      <c r="B84" s="375"/>
      <c r="C84" s="372"/>
      <c r="D84" s="195" t="s">
        <v>82</v>
      </c>
      <c r="E84" s="194"/>
      <c r="F84" s="150" t="s">
        <v>79</v>
      </c>
      <c r="G84" s="197">
        <v>0</v>
      </c>
      <c r="H84" s="369"/>
      <c r="I84" s="370"/>
      <c r="J84" s="136"/>
      <c r="N84" t="str">
        <f t="array" ref="N84">IFERROR(
   INDEX($B$9:$B$188,
      SMALL(
         IF($B$9:$B$188&lt;&gt;"",ROW($B$9:$B$188)-MIN(ROW($B$9:$B$188))+1),
         ROWS($Z$1:Z76)
      )
   ),
"")</f>
        <v/>
      </c>
      <c r="O84" t="str">
        <f t="array" ref="O84">IFERROR(
   INDEX('[4]INFO-Ponderacion'!$C$9:$C$13,
      SMALL(
         IF('[4]INFO-Ponderacion'!$C$9:$C$13&lt;&gt;"",ROW('[4]INFO-Ponderacion'!$C$9:$C$13)-MIN(ROW('[4]INFO-Ponderacion'!$C$9:$C$13))+1),
         ROWS($Z$1:Z76)
      )
   ),
"")</f>
        <v/>
      </c>
    </row>
    <row r="85" spans="1:15" ht="30" customHeight="1">
      <c r="A85" s="136"/>
      <c r="B85" s="375"/>
      <c r="C85" s="372"/>
      <c r="D85" s="195" t="s">
        <v>83</v>
      </c>
      <c r="E85" s="194"/>
      <c r="F85" s="150" t="s">
        <v>84</v>
      </c>
      <c r="G85" s="195">
        <f>INDEX('INFO-OEE'!$E$18:$CL$18,
        MATCH(B81, 'INFO-OEE'!$E$9:$CL$9, 0)) * 12</f>
        <v>1689.6000000000001</v>
      </c>
      <c r="H85" s="369"/>
      <c r="I85" s="370"/>
      <c r="J85" s="136"/>
      <c r="N85" t="str">
        <f t="array" ref="N85">IFERROR(
   INDEX($B$9:$B$188,
      SMALL(
         IF($B$9:$B$188&lt;&gt;"",ROW($B$9:$B$188)-MIN(ROW($B$9:$B$188))+1),
         ROWS($Z$1:Z77)
      )
   ),
"")</f>
        <v/>
      </c>
      <c r="O85" t="str">
        <f t="array" ref="O85">IFERROR(
   INDEX('[4]INFO-Ponderacion'!$C$9:$C$13,
      SMALL(
         IF('[4]INFO-Ponderacion'!$C$9:$C$13&lt;&gt;"",ROW('[4]INFO-Ponderacion'!$C$9:$C$13)-MIN(ROW('[4]INFO-Ponderacion'!$C$9:$C$13))+1),
         ROWS($Z$1:Z77)
      )
   ),
"")</f>
        <v/>
      </c>
    </row>
    <row r="86" spans="1:15" ht="30" customHeight="1">
      <c r="A86" s="136"/>
      <c r="B86" s="375"/>
      <c r="C86" s="372"/>
      <c r="D86" s="195" t="s">
        <v>85</v>
      </c>
      <c r="E86" s="194"/>
      <c r="F86" s="150" t="s">
        <v>86</v>
      </c>
      <c r="G86" s="198"/>
      <c r="H86" s="369"/>
      <c r="I86" s="370"/>
      <c r="J86" s="136"/>
      <c r="N86" t="str">
        <f t="array" ref="N86">IFERROR(
   INDEX($B$9:$B$188,
      SMALL(
         IF($B$9:$B$188&lt;&gt;"",ROW($B$9:$B$188)-MIN(ROW($B$9:$B$188))+1),
         ROWS($Z$1:Z78)
      )
   ),
"")</f>
        <v/>
      </c>
      <c r="O86" t="str">
        <f t="array" ref="O86">IFERROR(
   INDEX('[4]INFO-Ponderacion'!$C$9:$C$13,
      SMALL(
         IF('[4]INFO-Ponderacion'!$C$9:$C$13&lt;&gt;"",ROW('[4]INFO-Ponderacion'!$C$9:$C$13)-MIN(ROW('[4]INFO-Ponderacion'!$C$9:$C$13))+1),
         ROWS($Z$1:Z78)
      )
   ),
"")</f>
        <v/>
      </c>
    </row>
    <row r="87" spans="1:15" ht="30" customHeight="1">
      <c r="A87" s="136"/>
      <c r="B87" s="375" t="str">
        <f>'ENGRASADORA AUTOM MS04 ZYJ3H '!C3</f>
        <v>ENGRASADORA AUTOMATICA MS04 ZYJ3H</v>
      </c>
      <c r="C87" s="372" t="s">
        <v>77</v>
      </c>
      <c r="D87" s="195" t="s">
        <v>78</v>
      </c>
      <c r="E87" s="194"/>
      <c r="F87" s="150" t="s">
        <v>79</v>
      </c>
      <c r="G87" s="198"/>
      <c r="H87" s="369"/>
      <c r="I87" s="370"/>
      <c r="J87" s="136"/>
      <c r="N87" t="str">
        <f t="array" ref="N87">IFERROR(
   INDEX($B$9:$B$188,
      SMALL(
         IF($B$9:$B$188&lt;&gt;"",ROW($B$9:$B$188)-MIN(ROW($B$9:$B$188))+1),
         ROWS($Z$1:Z79)
      )
   ),
"")</f>
        <v/>
      </c>
      <c r="O87" t="str">
        <f t="array" ref="O87">IFERROR(
   INDEX('[4]INFO-Ponderacion'!$C$9:$C$13,
      SMALL(
         IF('[4]INFO-Ponderacion'!$C$9:$C$13&lt;&gt;"",ROW('[4]INFO-Ponderacion'!$C$9:$C$13)-MIN(ROW('[4]INFO-Ponderacion'!$C$9:$C$13))+1),
         ROWS($Z$1:Z79)
      )
   ),
"")</f>
        <v/>
      </c>
    </row>
    <row r="88" spans="1:15" ht="30" customHeight="1">
      <c r="A88" s="136"/>
      <c r="B88" s="375"/>
      <c r="C88" s="372"/>
      <c r="D88" s="195" t="s">
        <v>136</v>
      </c>
      <c r="E88" s="194"/>
      <c r="F88" s="196" t="s">
        <v>137</v>
      </c>
      <c r="G88" s="199"/>
      <c r="H88" s="192"/>
      <c r="I88" s="193"/>
      <c r="J88" s="136"/>
      <c r="N88" t="str">
        <f t="array" ref="N88">IFERROR(
   INDEX($B$9:$B$188,
      SMALL(
         IF($B$9:$B$188&lt;&gt;"",ROW($B$9:$B$188)-MIN(ROW($B$9:$B$188))+1),
         ROWS($Z$1:Z80)
      )
   ),
"")</f>
        <v/>
      </c>
      <c r="O88" t="str">
        <f t="array" ref="O88">IFERROR(
   INDEX('[4]INFO-Ponderacion'!$C$9:$C$13,
      SMALL(
         IF('[4]INFO-Ponderacion'!$C$9:$C$13&lt;&gt;"",ROW('[4]INFO-Ponderacion'!$C$9:$C$13)-MIN(ROW('[4]INFO-Ponderacion'!$C$9:$C$13))+1),
         ROWS($Z$1:Z80)
      )
   ),
"")</f>
        <v/>
      </c>
    </row>
    <row r="89" spans="1:15" ht="30" customHeight="1">
      <c r="A89" s="136"/>
      <c r="B89" s="375"/>
      <c r="C89" s="372"/>
      <c r="D89" s="195" t="s">
        <v>80</v>
      </c>
      <c r="E89" s="194"/>
      <c r="F89" s="151" t="s">
        <v>81</v>
      </c>
      <c r="G89" s="200"/>
      <c r="H89" s="376"/>
      <c r="I89" s="377"/>
      <c r="J89" s="136"/>
      <c r="N89" t="str">
        <f t="array" ref="N89">IFERROR(
   INDEX($B$9:$B$188,
      SMALL(
         IF($B$9:$B$188&lt;&gt;"",ROW($B$9:$B$188)-MIN(ROW($B$9:$B$188))+1),
         ROWS($Z$1:Z81)
      )
   ),
"")</f>
        <v/>
      </c>
      <c r="O89" t="str">
        <f t="array" ref="O89">IFERROR(
   INDEX('[4]INFO-Ponderacion'!$C$9:$C$13,
      SMALL(
         IF('[4]INFO-Ponderacion'!$C$9:$C$13&lt;&gt;"",ROW('[4]INFO-Ponderacion'!$C$9:$C$13)-MIN(ROW('[4]INFO-Ponderacion'!$C$9:$C$13))+1),
         ROWS($Z$1:Z81)
      )
   ),
"")</f>
        <v/>
      </c>
    </row>
    <row r="90" spans="1:15" ht="30" customHeight="1">
      <c r="A90" s="136"/>
      <c r="B90" s="375"/>
      <c r="C90" s="372"/>
      <c r="D90" s="195" t="s">
        <v>82</v>
      </c>
      <c r="E90" s="194"/>
      <c r="F90" s="150" t="s">
        <v>79</v>
      </c>
      <c r="G90" s="197">
        <v>0</v>
      </c>
      <c r="H90" s="369"/>
      <c r="I90" s="370"/>
      <c r="J90" s="136"/>
      <c r="N90" t="str">
        <f t="array" ref="N90">IFERROR(
   INDEX($B$9:$B$188,
      SMALL(
         IF($B$9:$B$188&lt;&gt;"",ROW($B$9:$B$188)-MIN(ROW($B$9:$B$188))+1),
         ROWS($Z$1:Z82)
      )
   ),
"")</f>
        <v/>
      </c>
      <c r="O90" t="str">
        <f t="array" ref="O90">IFERROR(
   INDEX('[4]INFO-Ponderacion'!$C$9:$C$13,
      SMALL(
         IF('[4]INFO-Ponderacion'!$C$9:$C$13&lt;&gt;"",ROW('[4]INFO-Ponderacion'!$C$9:$C$13)-MIN(ROW('[4]INFO-Ponderacion'!$C$9:$C$13))+1),
         ROWS($Z$1:Z82)
      )
   ),
"")</f>
        <v/>
      </c>
    </row>
    <row r="91" spans="1:15" ht="30" customHeight="1">
      <c r="A91" s="136"/>
      <c r="B91" s="375"/>
      <c r="C91" s="372"/>
      <c r="D91" s="195" t="s">
        <v>83</v>
      </c>
      <c r="E91" s="194"/>
      <c r="F91" s="150" t="s">
        <v>84</v>
      </c>
      <c r="G91" s="195">
        <f>INDEX('INFO-OEE'!$E$18:$CL$18,
        MATCH(B87, 'INFO-OEE'!$E$9:$CL$9, 0)) * 12</f>
        <v>1689.6000000000001</v>
      </c>
      <c r="H91" s="369"/>
      <c r="I91" s="370"/>
      <c r="J91" s="136"/>
      <c r="N91" t="str">
        <f t="array" ref="N91">IFERROR(
   INDEX($B$9:$B$188,
      SMALL(
         IF($B$9:$B$188&lt;&gt;"",ROW($B$9:$B$188)-MIN(ROW($B$9:$B$188))+1),
         ROWS($Z$1:Z83)
      )
   ),
"")</f>
        <v/>
      </c>
      <c r="O91" t="str">
        <f t="array" ref="O91">IFERROR(
   INDEX('[4]INFO-Ponderacion'!$C$9:$C$13,
      SMALL(
         IF('[4]INFO-Ponderacion'!$C$9:$C$13&lt;&gt;"",ROW('[4]INFO-Ponderacion'!$C$9:$C$13)-MIN(ROW('[4]INFO-Ponderacion'!$C$9:$C$13))+1),
         ROWS($Z$1:Z83)
      )
   ),
"")</f>
        <v/>
      </c>
    </row>
    <row r="92" spans="1:15" ht="30" customHeight="1">
      <c r="A92" s="136"/>
      <c r="B92" s="375"/>
      <c r="C92" s="372"/>
      <c r="D92" s="195" t="s">
        <v>85</v>
      </c>
      <c r="E92" s="194"/>
      <c r="F92" s="150" t="s">
        <v>86</v>
      </c>
      <c r="G92" s="198"/>
      <c r="H92" s="369"/>
      <c r="I92" s="370"/>
      <c r="J92" s="136"/>
      <c r="N92" t="str">
        <f t="array" ref="N92">IFERROR(
   INDEX($B$9:$B$188,
      SMALL(
         IF($B$9:$B$188&lt;&gt;"",ROW($B$9:$B$188)-MIN(ROW($B$9:$B$188))+1),
         ROWS($Z$1:Z84)
      )
   ),
"")</f>
        <v/>
      </c>
      <c r="O92" t="str">
        <f t="array" ref="O92">IFERROR(
   INDEX('[4]INFO-Ponderacion'!$C$9:$C$13,
      SMALL(
         IF('[4]INFO-Ponderacion'!$C$9:$C$13&lt;&gt;"",ROW('[4]INFO-Ponderacion'!$C$9:$C$13)-MIN(ROW('[4]INFO-Ponderacion'!$C$9:$C$13))+1),
         ROWS($Z$1:Z84)
      )
   ),
"")</f>
        <v/>
      </c>
    </row>
    <row r="93" spans="1:15" ht="30" customHeight="1">
      <c r="A93" s="136"/>
      <c r="B93" s="375" t="str">
        <f>'LASER CHICO 30'!C3</f>
        <v>LASER CHICO 30</v>
      </c>
      <c r="C93" s="372" t="s">
        <v>77</v>
      </c>
      <c r="D93" s="195" t="s">
        <v>78</v>
      </c>
      <c r="E93" s="194"/>
      <c r="F93" s="150" t="s">
        <v>79</v>
      </c>
      <c r="G93" s="198"/>
      <c r="H93" s="369"/>
      <c r="I93" s="370"/>
      <c r="J93" s="136"/>
      <c r="N93" t="str">
        <f t="array" ref="N93">IFERROR(
   INDEX($B$9:$B$188,
      SMALL(
         IF($B$9:$B$188&lt;&gt;"",ROW($B$9:$B$188)-MIN(ROW($B$9:$B$188))+1),
         ROWS($Z$1:Z85)
      )
   ),
"")</f>
        <v/>
      </c>
      <c r="O93" t="str">
        <f t="array" ref="O93">IFERROR(
   INDEX('[4]INFO-Ponderacion'!$C$9:$C$13,
      SMALL(
         IF('[4]INFO-Ponderacion'!$C$9:$C$13&lt;&gt;"",ROW('[4]INFO-Ponderacion'!$C$9:$C$13)-MIN(ROW('[4]INFO-Ponderacion'!$C$9:$C$13))+1),
         ROWS($Z$1:Z85)
      )
   ),
"")</f>
        <v/>
      </c>
    </row>
    <row r="94" spans="1:15" ht="30" customHeight="1">
      <c r="A94" s="136"/>
      <c r="B94" s="375"/>
      <c r="C94" s="372"/>
      <c r="D94" s="195" t="s">
        <v>136</v>
      </c>
      <c r="E94" s="194"/>
      <c r="F94" s="196" t="s">
        <v>137</v>
      </c>
      <c r="G94" s="199"/>
      <c r="H94" s="192"/>
      <c r="I94" s="193"/>
      <c r="J94" s="136"/>
      <c r="N94" t="str">
        <f t="array" ref="N94">IFERROR(
   INDEX($B$9:$B$188,
      SMALL(
         IF($B$9:$B$188&lt;&gt;"",ROW($B$9:$B$188)-MIN(ROW($B$9:$B$188))+1),
         ROWS($Z$1:Z86)
      )
   ),
"")</f>
        <v/>
      </c>
      <c r="O94" t="str">
        <f t="array" ref="O94">IFERROR(
   INDEX('[4]INFO-Ponderacion'!$C$9:$C$13,
      SMALL(
         IF('[4]INFO-Ponderacion'!$C$9:$C$13&lt;&gt;"",ROW('[4]INFO-Ponderacion'!$C$9:$C$13)-MIN(ROW('[4]INFO-Ponderacion'!$C$9:$C$13))+1),
         ROWS($Z$1:Z86)
      )
   ),
"")</f>
        <v/>
      </c>
    </row>
    <row r="95" spans="1:15" ht="30" customHeight="1">
      <c r="A95" s="136"/>
      <c r="B95" s="375"/>
      <c r="C95" s="372"/>
      <c r="D95" s="195" t="s">
        <v>80</v>
      </c>
      <c r="E95" s="194"/>
      <c r="F95" s="151" t="s">
        <v>81</v>
      </c>
      <c r="G95" s="200"/>
      <c r="H95" s="376"/>
      <c r="I95" s="377"/>
      <c r="J95" s="136"/>
      <c r="N95" t="str">
        <f t="array" ref="N95">IFERROR(
   INDEX($B$9:$B$188,
      SMALL(
         IF($B$9:$B$188&lt;&gt;"",ROW($B$9:$B$188)-MIN(ROW($B$9:$B$188))+1),
         ROWS($Z$1:Z87)
      )
   ),
"")</f>
        <v/>
      </c>
      <c r="O95" t="str">
        <f t="array" ref="O95">IFERROR(
   INDEX('[4]INFO-Ponderacion'!$C$9:$C$13,
      SMALL(
         IF('[4]INFO-Ponderacion'!$C$9:$C$13&lt;&gt;"",ROW('[4]INFO-Ponderacion'!$C$9:$C$13)-MIN(ROW('[4]INFO-Ponderacion'!$C$9:$C$13))+1),
         ROWS($Z$1:Z87)
      )
   ),
"")</f>
        <v/>
      </c>
    </row>
    <row r="96" spans="1:15" ht="30" customHeight="1">
      <c r="A96" s="136"/>
      <c r="B96" s="375"/>
      <c r="C96" s="372"/>
      <c r="D96" s="195" t="s">
        <v>82</v>
      </c>
      <c r="E96" s="194"/>
      <c r="F96" s="150" t="s">
        <v>79</v>
      </c>
      <c r="G96" s="197">
        <v>0</v>
      </c>
      <c r="H96" s="369"/>
      <c r="I96" s="370"/>
      <c r="J96" s="136"/>
      <c r="N96" t="str">
        <f t="array" ref="N96">IFERROR(
   INDEX($B$9:$B$188,
      SMALL(
         IF($B$9:$B$188&lt;&gt;"",ROW($B$9:$B$188)-MIN(ROW($B$9:$B$188))+1),
         ROWS($Z$1:Z88)
      )
   ),
"")</f>
        <v/>
      </c>
      <c r="O96" t="str">
        <f t="array" ref="O96">IFERROR(
   INDEX('[4]INFO-Ponderacion'!$C$9:$C$13,
      SMALL(
         IF('[4]INFO-Ponderacion'!$C$9:$C$13&lt;&gt;"",ROW('[4]INFO-Ponderacion'!$C$9:$C$13)-MIN(ROW('[4]INFO-Ponderacion'!$C$9:$C$13))+1),
         ROWS($Z$1:Z88)
      )
   ),
"")</f>
        <v/>
      </c>
    </row>
    <row r="97" spans="1:15" ht="30" customHeight="1">
      <c r="A97" s="136"/>
      <c r="B97" s="375"/>
      <c r="C97" s="372"/>
      <c r="D97" s="195" t="s">
        <v>83</v>
      </c>
      <c r="E97" s="194"/>
      <c r="F97" s="150" t="s">
        <v>84</v>
      </c>
      <c r="G97" s="195">
        <f>INDEX('INFO-OEE'!$E$18:$CL$18,
        MATCH(B93, 'INFO-OEE'!$E$9:$CL$9, 0)) * 12</f>
        <v>1689.6000000000001</v>
      </c>
      <c r="H97" s="369"/>
      <c r="I97" s="370"/>
      <c r="J97" s="136"/>
      <c r="N97" t="str">
        <f t="array" ref="N97">IFERROR(
   INDEX($B$9:$B$188,
      SMALL(
         IF($B$9:$B$188&lt;&gt;"",ROW($B$9:$B$188)-MIN(ROW($B$9:$B$188))+1),
         ROWS($Z$1:Z89)
      )
   ),
"")</f>
        <v/>
      </c>
      <c r="O97" t="str">
        <f t="array" ref="O97">IFERROR(
   INDEX('[4]INFO-Ponderacion'!$C$9:$C$13,
      SMALL(
         IF('[4]INFO-Ponderacion'!$C$9:$C$13&lt;&gt;"",ROW('[4]INFO-Ponderacion'!$C$9:$C$13)-MIN(ROW('[4]INFO-Ponderacion'!$C$9:$C$13))+1),
         ROWS($Z$1:Z89)
      )
   ),
"")</f>
        <v/>
      </c>
    </row>
    <row r="98" spans="1:15" ht="30" customHeight="1">
      <c r="A98" s="136"/>
      <c r="B98" s="375"/>
      <c r="C98" s="372"/>
      <c r="D98" s="195" t="s">
        <v>85</v>
      </c>
      <c r="E98" s="194"/>
      <c r="F98" s="150" t="s">
        <v>86</v>
      </c>
      <c r="G98" s="198"/>
      <c r="H98" s="369"/>
      <c r="I98" s="370"/>
      <c r="J98" s="136"/>
      <c r="N98" t="str">
        <f t="array" ref="N98">IFERROR(
   INDEX($B$9:$B$188,
      SMALL(
         IF($B$9:$B$188&lt;&gt;"",ROW($B$9:$B$188)-MIN(ROW($B$9:$B$188))+1),
         ROWS($Z$1:Z90)
      )
   ),
"")</f>
        <v/>
      </c>
      <c r="O98" t="str">
        <f t="array" ref="O98">IFERROR(
   INDEX('[4]INFO-Ponderacion'!$C$9:$C$13,
      SMALL(
         IF('[4]INFO-Ponderacion'!$C$9:$C$13&lt;&gt;"",ROW('[4]INFO-Ponderacion'!$C$9:$C$13)-MIN(ROW('[4]INFO-Ponderacion'!$C$9:$C$13))+1),
         ROWS($Z$1:Z90)
      )
   ),
"")</f>
        <v/>
      </c>
    </row>
    <row r="99" spans="1:15" ht="30" customHeight="1">
      <c r="A99" s="136"/>
      <c r="B99" s="375" t="str">
        <f>'LASER GRANDE 50'!C3</f>
        <v>LASER GRANDE 50</v>
      </c>
      <c r="C99" s="372" t="s">
        <v>77</v>
      </c>
      <c r="D99" s="195" t="s">
        <v>78</v>
      </c>
      <c r="E99" s="194"/>
      <c r="F99" s="150" t="s">
        <v>79</v>
      </c>
      <c r="G99" s="198"/>
      <c r="H99" s="369"/>
      <c r="I99" s="370"/>
      <c r="J99" s="136"/>
      <c r="N99" t="str">
        <f t="array" ref="N99">IFERROR(
   INDEX($B$9:$B$188,
      SMALL(
         IF($B$9:$B$188&lt;&gt;"",ROW($B$9:$B$188)-MIN(ROW($B$9:$B$188))+1),
         ROWS($Z$1:Z91)
      )
   ),
"")</f>
        <v/>
      </c>
      <c r="O99" t="str">
        <f t="array" ref="O99">IFERROR(
   INDEX('[4]INFO-Ponderacion'!$C$9:$C$13,
      SMALL(
         IF('[4]INFO-Ponderacion'!$C$9:$C$13&lt;&gt;"",ROW('[4]INFO-Ponderacion'!$C$9:$C$13)-MIN(ROW('[4]INFO-Ponderacion'!$C$9:$C$13))+1),
         ROWS($Z$1:Z91)
      )
   ),
"")</f>
        <v/>
      </c>
    </row>
    <row r="100" spans="1:15" ht="30" customHeight="1">
      <c r="A100" s="136"/>
      <c r="B100" s="375"/>
      <c r="C100" s="372"/>
      <c r="D100" s="195" t="s">
        <v>136</v>
      </c>
      <c r="E100" s="194"/>
      <c r="F100" s="196" t="s">
        <v>137</v>
      </c>
      <c r="G100" s="199"/>
      <c r="H100" s="192"/>
      <c r="I100" s="193"/>
      <c r="J100" s="136"/>
      <c r="N100" t="str">
        <f t="array" ref="N100">IFERROR(
   INDEX($B$9:$B$188,
      SMALL(
         IF($B$9:$B$188&lt;&gt;"",ROW($B$9:$B$188)-MIN(ROW($B$9:$B$188))+1),
         ROWS($Z$1:Z92)
      )
   ),
"")</f>
        <v/>
      </c>
      <c r="O100" t="str">
        <f t="array" ref="O100">IFERROR(
   INDEX('[4]INFO-Ponderacion'!$C$9:$C$13,
      SMALL(
         IF('[4]INFO-Ponderacion'!$C$9:$C$13&lt;&gt;"",ROW('[4]INFO-Ponderacion'!$C$9:$C$13)-MIN(ROW('[4]INFO-Ponderacion'!$C$9:$C$13))+1),
         ROWS($Z$1:Z92)
      )
   ),
"")</f>
        <v/>
      </c>
    </row>
    <row r="101" spans="1:15" ht="30" customHeight="1">
      <c r="A101" s="136"/>
      <c r="B101" s="375"/>
      <c r="C101" s="372"/>
      <c r="D101" s="195" t="s">
        <v>80</v>
      </c>
      <c r="E101" s="194"/>
      <c r="F101" s="151" t="s">
        <v>81</v>
      </c>
      <c r="G101" s="200"/>
      <c r="H101" s="376"/>
      <c r="I101" s="377"/>
      <c r="J101" s="136"/>
      <c r="N101" t="str">
        <f t="array" ref="N101">IFERROR(
   INDEX($B$9:$B$188,
      SMALL(
         IF($B$9:$B$188&lt;&gt;"",ROW($B$9:$B$188)-MIN(ROW($B$9:$B$188))+1),
         ROWS($Z$1:Z93)
      )
   ),
"")</f>
        <v/>
      </c>
      <c r="O101" t="str">
        <f t="array" ref="O101">IFERROR(
   INDEX('[4]INFO-Ponderacion'!$C$9:$C$13,
      SMALL(
         IF('[4]INFO-Ponderacion'!$C$9:$C$13&lt;&gt;"",ROW('[4]INFO-Ponderacion'!$C$9:$C$13)-MIN(ROW('[4]INFO-Ponderacion'!$C$9:$C$13))+1),
         ROWS($Z$1:Z93)
      )
   ),
"")</f>
        <v/>
      </c>
    </row>
    <row r="102" spans="1:15" ht="30" customHeight="1">
      <c r="A102" s="136"/>
      <c r="B102" s="375"/>
      <c r="C102" s="372"/>
      <c r="D102" s="195" t="s">
        <v>82</v>
      </c>
      <c r="E102" s="194"/>
      <c r="F102" s="150" t="s">
        <v>79</v>
      </c>
      <c r="G102" s="197">
        <v>0</v>
      </c>
      <c r="H102" s="369"/>
      <c r="I102" s="370"/>
      <c r="J102" s="136"/>
      <c r="N102" t="str">
        <f t="array" ref="N102">IFERROR(
   INDEX($B$9:$B$188,
      SMALL(
         IF($B$9:$B$188&lt;&gt;"",ROW($B$9:$B$188)-MIN(ROW($B$9:$B$188))+1),
         ROWS($Z$1:Z94)
      )
   ),
"")</f>
        <v/>
      </c>
      <c r="O102" t="str">
        <f t="array" ref="O102">IFERROR(
   INDEX('[4]INFO-Ponderacion'!$C$9:$C$13,
      SMALL(
         IF('[4]INFO-Ponderacion'!$C$9:$C$13&lt;&gt;"",ROW('[4]INFO-Ponderacion'!$C$9:$C$13)-MIN(ROW('[4]INFO-Ponderacion'!$C$9:$C$13))+1),
         ROWS($Z$1:Z94)
      )
   ),
"")</f>
        <v/>
      </c>
    </row>
    <row r="103" spans="1:15" ht="30" customHeight="1">
      <c r="A103" s="136"/>
      <c r="B103" s="375"/>
      <c r="C103" s="372"/>
      <c r="D103" s="195" t="s">
        <v>83</v>
      </c>
      <c r="E103" s="194"/>
      <c r="F103" s="150" t="s">
        <v>84</v>
      </c>
      <c r="G103" s="195">
        <f>INDEX('INFO-OEE'!$E$18:$CL$18,
        MATCH(B99, 'INFO-OEE'!$E$9:$CL$9, 0)) * 12</f>
        <v>1689.6000000000001</v>
      </c>
      <c r="H103" s="369"/>
      <c r="I103" s="370"/>
      <c r="J103" s="136"/>
      <c r="N103" t="str">
        <f t="array" ref="N103">IFERROR(
   INDEX($B$9:$B$188,
      SMALL(
         IF($B$9:$B$188&lt;&gt;"",ROW($B$9:$B$188)-MIN(ROW($B$9:$B$188))+1),
         ROWS($Z$1:Z95)
      )
   ),
"")</f>
        <v/>
      </c>
      <c r="O103" t="str">
        <f t="array" ref="O103">IFERROR(
   INDEX('[4]INFO-Ponderacion'!$C$9:$C$13,
      SMALL(
         IF('[4]INFO-Ponderacion'!$C$9:$C$13&lt;&gt;"",ROW('[4]INFO-Ponderacion'!$C$9:$C$13)-MIN(ROW('[4]INFO-Ponderacion'!$C$9:$C$13))+1),
         ROWS($Z$1:Z95)
      )
   ),
"")</f>
        <v/>
      </c>
    </row>
    <row r="104" spans="1:15" ht="30" customHeight="1">
      <c r="A104" s="136"/>
      <c r="B104" s="375"/>
      <c r="C104" s="372"/>
      <c r="D104" s="195" t="s">
        <v>85</v>
      </c>
      <c r="E104" s="194"/>
      <c r="F104" s="150" t="s">
        <v>86</v>
      </c>
      <c r="G104" s="198"/>
      <c r="H104" s="369"/>
      <c r="I104" s="370"/>
      <c r="J104" s="136"/>
      <c r="N104" t="str">
        <f t="array" ref="N104">IFERROR(
   INDEX($B$9:$B$188,
      SMALL(
         IF($B$9:$B$188&lt;&gt;"",ROW($B$9:$B$188)-MIN(ROW($B$9:$B$188))+1),
         ROWS($Z$1:Z96)
      )
   ),
"")</f>
        <v/>
      </c>
      <c r="O104" t="str">
        <f t="array" ref="O104">IFERROR(
   INDEX('[4]INFO-Ponderacion'!$C$9:$C$13,
      SMALL(
         IF('[4]INFO-Ponderacion'!$C$9:$C$13&lt;&gt;"",ROW('[4]INFO-Ponderacion'!$C$9:$C$13)-MIN(ROW('[4]INFO-Ponderacion'!$C$9:$C$13))+1),
         ROWS($Z$1:Z96)
      )
   ),
"")</f>
        <v/>
      </c>
    </row>
    <row r="105" spans="1:15" ht="30" customHeight="1">
      <c r="A105" s="136"/>
      <c r="B105" s="375" t="str">
        <f>'PRENSA QY-16'!$C$3</f>
        <v>PRENSA QY-16</v>
      </c>
      <c r="C105" s="372" t="s">
        <v>77</v>
      </c>
      <c r="D105" s="195" t="s">
        <v>78</v>
      </c>
      <c r="E105" s="194"/>
      <c r="F105" s="150" t="s">
        <v>79</v>
      </c>
      <c r="G105" s="198"/>
      <c r="H105" s="369"/>
      <c r="I105" s="370"/>
      <c r="J105" s="136"/>
      <c r="N105" t="str">
        <f t="array" ref="N105">IFERROR(
   INDEX($B$9:$B$188,
      SMALL(
         IF($B$9:$B$188&lt;&gt;"",ROW($B$9:$B$188)-MIN(ROW($B$9:$B$188))+1),
         ROWS($Z$1:Z97)
      )
   ),
"")</f>
        <v/>
      </c>
      <c r="O105" t="str">
        <f t="array" ref="O105">IFERROR(
   INDEX('[4]INFO-Ponderacion'!$C$9:$C$13,
      SMALL(
         IF('[4]INFO-Ponderacion'!$C$9:$C$13&lt;&gt;"",ROW('[4]INFO-Ponderacion'!$C$9:$C$13)-MIN(ROW('[4]INFO-Ponderacion'!$C$9:$C$13))+1),
         ROWS($Z$1:Z97)
      )
   ),
"")</f>
        <v/>
      </c>
    </row>
    <row r="106" spans="1:15" ht="30" customHeight="1">
      <c r="A106" s="136"/>
      <c r="B106" s="375"/>
      <c r="C106" s="372"/>
      <c r="D106" s="195" t="s">
        <v>136</v>
      </c>
      <c r="E106" s="194"/>
      <c r="F106" s="196" t="s">
        <v>137</v>
      </c>
      <c r="G106" s="199"/>
      <c r="H106" s="192"/>
      <c r="I106" s="193"/>
      <c r="J106" s="136"/>
      <c r="N106" t="str">
        <f t="array" ref="N106">IFERROR(
   INDEX($B$9:$B$188,
      SMALL(
         IF($B$9:$B$188&lt;&gt;"",ROW($B$9:$B$188)-MIN(ROW($B$9:$B$188))+1),
         ROWS($Z$1:Z98)
      )
   ),
"")</f>
        <v/>
      </c>
      <c r="O106" t="str">
        <f t="array" ref="O106">IFERROR(
   INDEX('[4]INFO-Ponderacion'!$C$9:$C$13,
      SMALL(
         IF('[4]INFO-Ponderacion'!$C$9:$C$13&lt;&gt;"",ROW('[4]INFO-Ponderacion'!$C$9:$C$13)-MIN(ROW('[4]INFO-Ponderacion'!$C$9:$C$13))+1),
         ROWS($Z$1:Z98)
      )
   ),
"")</f>
        <v/>
      </c>
    </row>
    <row r="107" spans="1:15" ht="30" customHeight="1">
      <c r="A107" s="136"/>
      <c r="B107" s="375"/>
      <c r="C107" s="372"/>
      <c r="D107" s="195" t="s">
        <v>80</v>
      </c>
      <c r="E107" s="194"/>
      <c r="F107" s="151" t="s">
        <v>81</v>
      </c>
      <c r="G107" s="200"/>
      <c r="H107" s="376"/>
      <c r="I107" s="377"/>
      <c r="J107" s="136"/>
      <c r="N107" t="str">
        <f t="array" ref="N107">IFERROR(
   INDEX($B$9:$B$188,
      SMALL(
         IF($B$9:$B$188&lt;&gt;"",ROW($B$9:$B$188)-MIN(ROW($B$9:$B$188))+1),
         ROWS($Z$1:Z99)
      )
   ),
"")</f>
        <v/>
      </c>
      <c r="O107" t="str">
        <f t="array" ref="O107">IFERROR(
   INDEX('[4]INFO-Ponderacion'!$C$9:$C$13,
      SMALL(
         IF('[4]INFO-Ponderacion'!$C$9:$C$13&lt;&gt;"",ROW('[4]INFO-Ponderacion'!$C$9:$C$13)-MIN(ROW('[4]INFO-Ponderacion'!$C$9:$C$13))+1),
         ROWS($Z$1:Z99)
      )
   ),
"")</f>
        <v/>
      </c>
    </row>
    <row r="108" spans="1:15" ht="30" customHeight="1">
      <c r="A108" s="136"/>
      <c r="B108" s="375"/>
      <c r="C108" s="372"/>
      <c r="D108" s="195" t="s">
        <v>82</v>
      </c>
      <c r="E108" s="194"/>
      <c r="F108" s="150" t="s">
        <v>79</v>
      </c>
      <c r="G108" s="197">
        <v>0</v>
      </c>
      <c r="H108" s="369"/>
      <c r="I108" s="370"/>
      <c r="J108" s="136"/>
      <c r="N108" t="str">
        <f t="array" ref="N108">IFERROR(
   INDEX($B$9:$B$188,
      SMALL(
         IF($B$9:$B$188&lt;&gt;"",ROW($B$9:$B$188)-MIN(ROW($B$9:$B$188))+1),
         ROWS($Z$1:Z100)
      )
   ),
"")</f>
        <v/>
      </c>
      <c r="O108" t="str">
        <f t="array" ref="O108">IFERROR(
   INDEX('[4]INFO-Ponderacion'!$C$9:$C$13,
      SMALL(
         IF('[4]INFO-Ponderacion'!$C$9:$C$13&lt;&gt;"",ROW('[4]INFO-Ponderacion'!$C$9:$C$13)-MIN(ROW('[4]INFO-Ponderacion'!$C$9:$C$13))+1),
         ROWS($Z$1:Z100)
      )
   ),
"")</f>
        <v/>
      </c>
    </row>
    <row r="109" spans="1:15" ht="30" customHeight="1">
      <c r="A109" s="136"/>
      <c r="B109" s="375"/>
      <c r="C109" s="372"/>
      <c r="D109" s="195" t="s">
        <v>83</v>
      </c>
      <c r="E109" s="194"/>
      <c r="F109" s="150" t="s">
        <v>84</v>
      </c>
      <c r="G109" s="195">
        <f>INDEX('INFO-OEE'!$E$18:$CL$18,
        MATCH(B105, 'INFO-OEE'!$E$9:$CL$9, 0)) * 12</f>
        <v>1689.6000000000001</v>
      </c>
      <c r="H109" s="369"/>
      <c r="I109" s="370"/>
      <c r="J109" s="136"/>
      <c r="N109" t="str">
        <f t="array" ref="N109">IFERROR(
   INDEX($B$9:$B$188,
      SMALL(
         IF($B$9:$B$188&lt;&gt;"",ROW($B$9:$B$188)-MIN(ROW($B$9:$B$188))+1),
         ROWS($Z$1:Z101)
      )
   ),
"")</f>
        <v/>
      </c>
      <c r="O109" t="str">
        <f t="array" ref="O109">IFERROR(
   INDEX('[4]INFO-Ponderacion'!$C$9:$C$13,
      SMALL(
         IF('[4]INFO-Ponderacion'!$C$9:$C$13&lt;&gt;"",ROW('[4]INFO-Ponderacion'!$C$9:$C$13)-MIN(ROW('[4]INFO-Ponderacion'!$C$9:$C$13))+1),
         ROWS($Z$1:Z101)
      )
   ),
"")</f>
        <v/>
      </c>
    </row>
    <row r="110" spans="1:15" ht="30" customHeight="1">
      <c r="A110" s="136"/>
      <c r="B110" s="375"/>
      <c r="C110" s="372"/>
      <c r="D110" s="195" t="s">
        <v>85</v>
      </c>
      <c r="E110" s="194"/>
      <c r="F110" s="150" t="s">
        <v>86</v>
      </c>
      <c r="G110" s="198"/>
      <c r="H110" s="369"/>
      <c r="I110" s="370"/>
      <c r="J110" s="136"/>
      <c r="N110" t="str">
        <f t="array" ref="N110">IFERROR(
   INDEX($B$9:$B$188,
      SMALL(
         IF($B$9:$B$188&lt;&gt;"",ROW($B$9:$B$188)-MIN(ROW($B$9:$B$188))+1),
         ROWS($Z$1:Z102)
      )
   ),
"")</f>
        <v/>
      </c>
      <c r="O110" t="str">
        <f t="array" ref="O110">IFERROR(
   INDEX('[4]INFO-Ponderacion'!$C$9:$C$13,
      SMALL(
         IF('[4]INFO-Ponderacion'!$C$9:$C$13&lt;&gt;"",ROW('[4]INFO-Ponderacion'!$C$9:$C$13)-MIN(ROW('[4]INFO-Ponderacion'!$C$9:$C$13))+1),
         ROWS($Z$1:Z102)
      )
   ),
"")</f>
        <v/>
      </c>
    </row>
    <row r="111" spans="1:15" ht="30" customHeight="1">
      <c r="A111" s="136"/>
      <c r="B111" s="375" t="str">
        <f>'LAVADORA QXC-1-2 MS03'!C3</f>
        <v>LAVADORA QXC-1-2 MS03</v>
      </c>
      <c r="C111" s="372" t="s">
        <v>77</v>
      </c>
      <c r="D111" s="195" t="s">
        <v>78</v>
      </c>
      <c r="E111" s="194"/>
      <c r="F111" s="150" t="s">
        <v>79</v>
      </c>
      <c r="G111" s="198"/>
      <c r="H111" s="369"/>
      <c r="I111" s="370"/>
      <c r="J111" s="136"/>
      <c r="N111" t="str">
        <f t="array" ref="N111">IFERROR(
   INDEX($B$9:$B$188,
      SMALL(
         IF($B$9:$B$188&lt;&gt;"",ROW($B$9:$B$188)-MIN(ROW($B$9:$B$188))+1),
         ROWS($Z$1:Z103)
      )
   ),
"")</f>
        <v/>
      </c>
      <c r="O111" t="str">
        <f t="array" ref="O111">IFERROR(
   INDEX('[4]INFO-Ponderacion'!$C$9:$C$13,
      SMALL(
         IF('[4]INFO-Ponderacion'!$C$9:$C$13&lt;&gt;"",ROW('[4]INFO-Ponderacion'!$C$9:$C$13)-MIN(ROW('[4]INFO-Ponderacion'!$C$9:$C$13))+1),
         ROWS($Z$1:Z103)
      )
   ),
"")</f>
        <v/>
      </c>
    </row>
    <row r="112" spans="1:15" ht="30" customHeight="1">
      <c r="A112" s="136"/>
      <c r="B112" s="375"/>
      <c r="C112" s="372"/>
      <c r="D112" s="195" t="s">
        <v>136</v>
      </c>
      <c r="E112" s="194"/>
      <c r="F112" s="196" t="s">
        <v>137</v>
      </c>
      <c r="G112" s="199"/>
      <c r="H112" s="192"/>
      <c r="I112" s="193"/>
      <c r="J112" s="136"/>
      <c r="N112" t="str">
        <f t="array" ref="N112">IFERROR(
   INDEX($B$9:$B$188,
      SMALL(
         IF($B$9:$B$188&lt;&gt;"",ROW($B$9:$B$188)-MIN(ROW($B$9:$B$188))+1),
         ROWS($Z$1:Z104)
      )
   ),
"")</f>
        <v/>
      </c>
      <c r="O112" t="str">
        <f t="array" ref="O112">IFERROR(
   INDEX('[4]INFO-Ponderacion'!$C$9:$C$13,
      SMALL(
         IF('[4]INFO-Ponderacion'!$C$9:$C$13&lt;&gt;"",ROW('[4]INFO-Ponderacion'!$C$9:$C$13)-MIN(ROW('[4]INFO-Ponderacion'!$C$9:$C$13))+1),
         ROWS($Z$1:Z104)
      )
   ),
"")</f>
        <v/>
      </c>
    </row>
    <row r="113" spans="1:15" ht="30" customHeight="1">
      <c r="A113" s="136"/>
      <c r="B113" s="375"/>
      <c r="C113" s="372"/>
      <c r="D113" s="195" t="s">
        <v>80</v>
      </c>
      <c r="E113" s="194"/>
      <c r="F113" s="151" t="s">
        <v>81</v>
      </c>
      <c r="G113" s="200"/>
      <c r="H113" s="376"/>
      <c r="I113" s="377"/>
      <c r="J113" s="136"/>
      <c r="N113" t="str">
        <f t="array" ref="N113">IFERROR(
   INDEX($B$9:$B$188,
      SMALL(
         IF($B$9:$B$188&lt;&gt;"",ROW($B$9:$B$188)-MIN(ROW($B$9:$B$188))+1),
         ROWS($Z$1:Z105)
      )
   ),
"")</f>
        <v/>
      </c>
      <c r="O113" t="str">
        <f t="array" ref="O113">IFERROR(
   INDEX('[4]INFO-Ponderacion'!$C$9:$C$13,
      SMALL(
         IF('[4]INFO-Ponderacion'!$C$9:$C$13&lt;&gt;"",ROW('[4]INFO-Ponderacion'!$C$9:$C$13)-MIN(ROW('[4]INFO-Ponderacion'!$C$9:$C$13))+1),
         ROWS($Z$1:Z105)
      )
   ),
"")</f>
        <v/>
      </c>
    </row>
    <row r="114" spans="1:15" ht="30" customHeight="1">
      <c r="A114" s="136"/>
      <c r="B114" s="375"/>
      <c r="C114" s="372"/>
      <c r="D114" s="195" t="s">
        <v>82</v>
      </c>
      <c r="E114" s="194"/>
      <c r="F114" s="150" t="s">
        <v>79</v>
      </c>
      <c r="G114" s="197">
        <v>0</v>
      </c>
      <c r="H114" s="369"/>
      <c r="I114" s="370"/>
      <c r="J114" s="136"/>
      <c r="N114" t="str">
        <f t="array" ref="N114">IFERROR(
   INDEX($B$9:$B$188,
      SMALL(
         IF($B$9:$B$188&lt;&gt;"",ROW($B$9:$B$188)-MIN(ROW($B$9:$B$188))+1),
         ROWS($Z$1:Z106)
      )
   ),
"")</f>
        <v/>
      </c>
      <c r="O114" t="str">
        <f t="array" ref="O114">IFERROR(
   INDEX('[4]INFO-Ponderacion'!$C$9:$C$13,
      SMALL(
         IF('[4]INFO-Ponderacion'!$C$9:$C$13&lt;&gt;"",ROW('[4]INFO-Ponderacion'!$C$9:$C$13)-MIN(ROW('[4]INFO-Ponderacion'!$C$9:$C$13))+1),
         ROWS($Z$1:Z106)
      )
   ),
"")</f>
        <v/>
      </c>
    </row>
    <row r="115" spans="1:15" ht="30" customHeight="1">
      <c r="A115" s="136"/>
      <c r="B115" s="375"/>
      <c r="C115" s="372"/>
      <c r="D115" s="195" t="s">
        <v>83</v>
      </c>
      <c r="E115" s="194"/>
      <c r="F115" s="150" t="s">
        <v>84</v>
      </c>
      <c r="G115" s="195">
        <f>INDEX('INFO-OEE'!$E$18:$CL$18,
        MATCH(B111, 'INFO-OEE'!$E$9:$CL$9, 0)) * 12</f>
        <v>1689.6000000000001</v>
      </c>
      <c r="H115" s="369"/>
      <c r="I115" s="370"/>
      <c r="J115" s="136"/>
      <c r="N115" t="str">
        <f t="array" ref="N115">IFERROR(
   INDEX($B$9:$B$188,
      SMALL(
         IF($B$9:$B$188&lt;&gt;"",ROW($B$9:$B$188)-MIN(ROW($B$9:$B$188))+1),
         ROWS($Z$1:Z107)
      )
   ),
"")</f>
        <v/>
      </c>
      <c r="O115" t="str">
        <f t="array" ref="O115">IFERROR(
   INDEX('[4]INFO-Ponderacion'!$C$9:$C$13,
      SMALL(
         IF('[4]INFO-Ponderacion'!$C$9:$C$13&lt;&gt;"",ROW('[4]INFO-Ponderacion'!$C$9:$C$13)-MIN(ROW('[4]INFO-Ponderacion'!$C$9:$C$13))+1),
         ROWS($Z$1:Z107)
      )
   ),
"")</f>
        <v/>
      </c>
    </row>
    <row r="116" spans="1:15" ht="30" customHeight="1">
      <c r="A116" s="136"/>
      <c r="B116" s="375"/>
      <c r="C116" s="372"/>
      <c r="D116" s="195" t="s">
        <v>85</v>
      </c>
      <c r="E116" s="194"/>
      <c r="F116" s="150" t="s">
        <v>86</v>
      </c>
      <c r="G116" s="198"/>
      <c r="H116" s="369"/>
      <c r="I116" s="370"/>
      <c r="J116" s="136"/>
      <c r="N116" t="str">
        <f t="array" ref="N116">IFERROR(
   INDEX($B$9:$B$188,
      SMALL(
         IF($B$9:$B$188&lt;&gt;"",ROW($B$9:$B$188)-MIN(ROW($B$9:$B$188))+1),
         ROWS($Z$1:Z108)
      )
   ),
"")</f>
        <v/>
      </c>
      <c r="O116" t="str">
        <f t="array" ref="O116">IFERROR(
   INDEX('[4]INFO-Ponderacion'!$C$9:$C$13,
      SMALL(
         IF('[4]INFO-Ponderacion'!$C$9:$C$13&lt;&gt;"",ROW('[4]INFO-Ponderacion'!$C$9:$C$13)-MIN(ROW('[4]INFO-Ponderacion'!$C$9:$C$13))+1),
         ROWS($Z$1:Z108)
      )
   ),
"")</f>
        <v/>
      </c>
    </row>
    <row r="117" spans="1:15" ht="30" customHeight="1">
      <c r="A117" s="136"/>
      <c r="B117" s="375" t="str">
        <f>'LAVADORA QXC-1 MS04'!C3</f>
        <v>LAVADORA QXC-1 MS04</v>
      </c>
      <c r="C117" s="372" t="s">
        <v>77</v>
      </c>
      <c r="D117" s="195" t="s">
        <v>78</v>
      </c>
      <c r="E117" s="194"/>
      <c r="F117" s="150" t="s">
        <v>79</v>
      </c>
      <c r="G117" s="198"/>
      <c r="H117" s="369"/>
      <c r="I117" s="370"/>
      <c r="J117" s="136"/>
      <c r="N117" t="str">
        <f t="array" ref="N117">IFERROR(
   INDEX($B$9:$B$188,
      SMALL(
         IF($B$9:$B$188&lt;&gt;"",ROW($B$9:$B$188)-MIN(ROW($B$9:$B$188))+1),
         ROWS($Z$1:Z109)
      )
   ),
"")</f>
        <v/>
      </c>
      <c r="O117" t="str">
        <f t="array" ref="O117">IFERROR(
   INDEX('[4]INFO-Ponderacion'!$C$9:$C$13,
      SMALL(
         IF('[4]INFO-Ponderacion'!$C$9:$C$13&lt;&gt;"",ROW('[4]INFO-Ponderacion'!$C$9:$C$13)-MIN(ROW('[4]INFO-Ponderacion'!$C$9:$C$13))+1),
         ROWS($Z$1:Z109)
      )
   ),
"")</f>
        <v/>
      </c>
    </row>
    <row r="118" spans="1:15" ht="30" customHeight="1">
      <c r="A118" s="136"/>
      <c r="B118" s="375"/>
      <c r="C118" s="372"/>
      <c r="D118" s="195" t="s">
        <v>136</v>
      </c>
      <c r="E118" s="194"/>
      <c r="F118" s="196" t="s">
        <v>137</v>
      </c>
      <c r="G118" s="199"/>
      <c r="H118" s="192"/>
      <c r="I118" s="193"/>
      <c r="J118" s="136"/>
      <c r="N118" t="str">
        <f t="array" ref="N118">IFERROR(
   INDEX($B$9:$B$188,
      SMALL(
         IF($B$9:$B$188&lt;&gt;"",ROW($B$9:$B$188)-MIN(ROW($B$9:$B$188))+1),
         ROWS($Z$1:Z110)
      )
   ),
"")</f>
        <v/>
      </c>
      <c r="O118" t="str">
        <f t="array" ref="O118">IFERROR(
   INDEX('[4]INFO-Ponderacion'!$C$9:$C$13,
      SMALL(
         IF('[4]INFO-Ponderacion'!$C$9:$C$13&lt;&gt;"",ROW('[4]INFO-Ponderacion'!$C$9:$C$13)-MIN(ROW('[4]INFO-Ponderacion'!$C$9:$C$13))+1),
         ROWS($Z$1:Z110)
      )
   ),
"")</f>
        <v/>
      </c>
    </row>
    <row r="119" spans="1:15" ht="30" customHeight="1">
      <c r="A119" s="136"/>
      <c r="B119" s="375"/>
      <c r="C119" s="372"/>
      <c r="D119" s="195" t="s">
        <v>80</v>
      </c>
      <c r="E119" s="194"/>
      <c r="F119" s="151" t="s">
        <v>81</v>
      </c>
      <c r="G119" s="200"/>
      <c r="H119" s="376"/>
      <c r="I119" s="377"/>
      <c r="J119" s="136"/>
      <c r="N119" t="str">
        <f t="array" ref="N119">IFERROR(
   INDEX($B$9:$B$188,
      SMALL(
         IF($B$9:$B$188&lt;&gt;"",ROW($B$9:$B$188)-MIN(ROW($B$9:$B$188))+1),
         ROWS($Z$1:Z111)
      )
   ),
"")</f>
        <v/>
      </c>
      <c r="O119" t="str">
        <f t="array" ref="O119">IFERROR(
   INDEX('[4]INFO-Ponderacion'!$C$9:$C$13,
      SMALL(
         IF('[4]INFO-Ponderacion'!$C$9:$C$13&lt;&gt;"",ROW('[4]INFO-Ponderacion'!$C$9:$C$13)-MIN(ROW('[4]INFO-Ponderacion'!$C$9:$C$13))+1),
         ROWS($Z$1:Z111)
      )
   ),
"")</f>
        <v/>
      </c>
    </row>
    <row r="120" spans="1:15" ht="30" customHeight="1">
      <c r="A120" s="136"/>
      <c r="B120" s="375"/>
      <c r="C120" s="372"/>
      <c r="D120" s="195" t="s">
        <v>82</v>
      </c>
      <c r="E120" s="194"/>
      <c r="F120" s="150" t="s">
        <v>79</v>
      </c>
      <c r="G120" s="197">
        <v>0</v>
      </c>
      <c r="H120" s="369"/>
      <c r="I120" s="370"/>
      <c r="J120" s="136"/>
      <c r="N120" t="str">
        <f t="array" ref="N120">IFERROR(
   INDEX($B$9:$B$188,
      SMALL(
         IF($B$9:$B$188&lt;&gt;"",ROW($B$9:$B$188)-MIN(ROW($B$9:$B$188))+1),
         ROWS($Z$1:Z112)
      )
   ),
"")</f>
        <v/>
      </c>
      <c r="O120" t="str">
        <f t="array" ref="O120">IFERROR(
   INDEX('[4]INFO-Ponderacion'!$C$9:$C$13,
      SMALL(
         IF('[4]INFO-Ponderacion'!$C$9:$C$13&lt;&gt;"",ROW('[4]INFO-Ponderacion'!$C$9:$C$13)-MIN(ROW('[4]INFO-Ponderacion'!$C$9:$C$13))+1),
         ROWS($Z$1:Z112)
      )
   ),
"")</f>
        <v/>
      </c>
    </row>
    <row r="121" spans="1:15" ht="30" customHeight="1">
      <c r="A121" s="136"/>
      <c r="B121" s="375"/>
      <c r="C121" s="372"/>
      <c r="D121" s="195" t="s">
        <v>83</v>
      </c>
      <c r="E121" s="194"/>
      <c r="F121" s="150" t="s">
        <v>84</v>
      </c>
      <c r="G121" s="195">
        <f>INDEX('INFO-OEE'!$E$18:$CL$18,
        MATCH(B117, 'INFO-OEE'!$E$9:$CL$9, 0)) * 12</f>
        <v>1689.6000000000001</v>
      </c>
      <c r="H121" s="369"/>
      <c r="I121" s="370"/>
      <c r="J121" s="136"/>
      <c r="N121" t="str">
        <f t="array" ref="N121">IFERROR(
   INDEX($B$9:$B$188,
      SMALL(
         IF($B$9:$B$188&lt;&gt;"",ROW($B$9:$B$188)-MIN(ROW($B$9:$B$188))+1),
         ROWS($Z$1:Z113)
      )
   ),
"")</f>
        <v/>
      </c>
      <c r="O121" t="str">
        <f t="array" ref="O121">IFERROR(
   INDEX('[4]INFO-Ponderacion'!$C$9:$C$13,
      SMALL(
         IF('[4]INFO-Ponderacion'!$C$9:$C$13&lt;&gt;"",ROW('[4]INFO-Ponderacion'!$C$9:$C$13)-MIN(ROW('[4]INFO-Ponderacion'!$C$9:$C$13))+1),
         ROWS($Z$1:Z113)
      )
   ),
"")</f>
        <v/>
      </c>
    </row>
    <row r="122" spans="1:15" ht="30" customHeight="1">
      <c r="A122" s="136"/>
      <c r="B122" s="375"/>
      <c r="C122" s="372"/>
      <c r="D122" s="195" t="s">
        <v>85</v>
      </c>
      <c r="E122" s="194"/>
      <c r="F122" s="150" t="s">
        <v>86</v>
      </c>
      <c r="G122" s="198"/>
      <c r="H122" s="369"/>
      <c r="I122" s="370"/>
      <c r="J122" s="136"/>
      <c r="N122" t="str">
        <f t="array" ref="N122">IFERROR(
   INDEX($B$9:$B$188,
      SMALL(
         IF($B$9:$B$188&lt;&gt;"",ROW($B$9:$B$188)-MIN(ROW($B$9:$B$188))+1),
         ROWS($Z$1:Z114)
      )
   ),
"")</f>
        <v/>
      </c>
      <c r="O122" t="str">
        <f t="array" ref="O122">IFERROR(
   INDEX('[4]INFO-Ponderacion'!$C$9:$C$13,
      SMALL(
         IF('[4]INFO-Ponderacion'!$C$9:$C$13&lt;&gt;"",ROW('[4]INFO-Ponderacion'!$C$9:$C$13)-MIN(ROW('[4]INFO-Ponderacion'!$C$9:$C$13))+1),
         ROWS($Z$1:Z114)
      )
   ),
"")</f>
        <v/>
      </c>
    </row>
    <row r="123" spans="1:15" ht="30" customHeight="1">
      <c r="A123" s="136"/>
      <c r="B123" s="375" t="str">
        <f>'ANDEROMETRO IM-250'!C3</f>
        <v>ANDEROMETRO IM-250</v>
      </c>
      <c r="C123" s="372" t="s">
        <v>77</v>
      </c>
      <c r="D123" s="195" t="s">
        <v>78</v>
      </c>
      <c r="E123" s="194"/>
      <c r="F123" s="150" t="s">
        <v>79</v>
      </c>
      <c r="G123" s="198"/>
      <c r="H123" s="369"/>
      <c r="I123" s="370"/>
      <c r="J123" s="136"/>
      <c r="N123" t="str">
        <f t="array" ref="N123">IFERROR(
   INDEX($B$9:$B$188,
      SMALL(
         IF($B$9:$B$188&lt;&gt;"",ROW($B$9:$B$188)-MIN(ROW($B$9:$B$188))+1),
         ROWS($Z$1:Z115)
      )
   ),
"")</f>
        <v/>
      </c>
      <c r="O123" t="str">
        <f t="array" ref="O123">IFERROR(
   INDEX('[4]INFO-Ponderacion'!$C$9:$C$13,
      SMALL(
         IF('[4]INFO-Ponderacion'!$C$9:$C$13&lt;&gt;"",ROW('[4]INFO-Ponderacion'!$C$9:$C$13)-MIN(ROW('[4]INFO-Ponderacion'!$C$9:$C$13))+1),
         ROWS($Z$1:Z115)
      )
   ),
"")</f>
        <v/>
      </c>
    </row>
    <row r="124" spans="1:15" ht="30" customHeight="1">
      <c r="A124" s="136"/>
      <c r="B124" s="375"/>
      <c r="C124" s="372"/>
      <c r="D124" s="195" t="s">
        <v>136</v>
      </c>
      <c r="E124" s="194"/>
      <c r="F124" s="196" t="s">
        <v>137</v>
      </c>
      <c r="G124" s="199"/>
      <c r="H124" s="192"/>
      <c r="I124" s="193"/>
      <c r="J124" s="136"/>
      <c r="N124" t="str">
        <f t="array" ref="N124">IFERROR(
   INDEX($B$9:$B$188,
      SMALL(
         IF($B$9:$B$188&lt;&gt;"",ROW($B$9:$B$188)-MIN(ROW($B$9:$B$188))+1),
         ROWS($Z$1:Z116)
      )
   ),
"")</f>
        <v/>
      </c>
      <c r="O124" t="str">
        <f t="array" ref="O124">IFERROR(
   INDEX('[4]INFO-Ponderacion'!$C$9:$C$13,
      SMALL(
         IF('[4]INFO-Ponderacion'!$C$9:$C$13&lt;&gt;"",ROW('[4]INFO-Ponderacion'!$C$9:$C$13)-MIN(ROW('[4]INFO-Ponderacion'!$C$9:$C$13))+1),
         ROWS($Z$1:Z116)
      )
   ),
"")</f>
        <v/>
      </c>
    </row>
    <row r="125" spans="1:15" ht="30" customHeight="1">
      <c r="A125" s="136"/>
      <c r="B125" s="375"/>
      <c r="C125" s="372"/>
      <c r="D125" s="195" t="s">
        <v>80</v>
      </c>
      <c r="E125" s="194"/>
      <c r="F125" s="151" t="s">
        <v>81</v>
      </c>
      <c r="G125" s="200"/>
      <c r="H125" s="376"/>
      <c r="I125" s="377"/>
      <c r="J125" s="136"/>
      <c r="N125" t="str">
        <f t="array" ref="N125">IFERROR(
   INDEX($B$9:$B$188,
      SMALL(
         IF($B$9:$B$188&lt;&gt;"",ROW($B$9:$B$188)-MIN(ROW($B$9:$B$188))+1),
         ROWS($Z$1:Z117)
      )
   ),
"")</f>
        <v/>
      </c>
      <c r="O125" t="str">
        <f t="array" ref="O125">IFERROR(
   INDEX('[4]INFO-Ponderacion'!$C$9:$C$13,
      SMALL(
         IF('[4]INFO-Ponderacion'!$C$9:$C$13&lt;&gt;"",ROW('[4]INFO-Ponderacion'!$C$9:$C$13)-MIN(ROW('[4]INFO-Ponderacion'!$C$9:$C$13))+1),
         ROWS($Z$1:Z117)
      )
   ),
"")</f>
        <v/>
      </c>
    </row>
    <row r="126" spans="1:15" ht="30" customHeight="1">
      <c r="A126" s="136"/>
      <c r="B126" s="375"/>
      <c r="C126" s="372"/>
      <c r="D126" s="195" t="s">
        <v>82</v>
      </c>
      <c r="E126" s="194"/>
      <c r="F126" s="150" t="s">
        <v>79</v>
      </c>
      <c r="G126" s="197">
        <v>0</v>
      </c>
      <c r="H126" s="369"/>
      <c r="I126" s="370"/>
      <c r="J126" s="136"/>
      <c r="N126" t="str">
        <f t="array" ref="N126">IFERROR(
   INDEX($B$9:$B$188,
      SMALL(
         IF($B$9:$B$188&lt;&gt;"",ROW($B$9:$B$188)-MIN(ROW($B$9:$B$188))+1),
         ROWS($Z$1:Z118)
      )
   ),
"")</f>
        <v/>
      </c>
      <c r="O126" t="str">
        <f t="array" ref="O126">IFERROR(
   INDEX('[4]INFO-Ponderacion'!$C$9:$C$13,
      SMALL(
         IF('[4]INFO-Ponderacion'!$C$9:$C$13&lt;&gt;"",ROW('[4]INFO-Ponderacion'!$C$9:$C$13)-MIN(ROW('[4]INFO-Ponderacion'!$C$9:$C$13))+1),
         ROWS($Z$1:Z118)
      )
   ),
"")</f>
        <v/>
      </c>
    </row>
    <row r="127" spans="1:15" ht="30" customHeight="1">
      <c r="A127" s="136"/>
      <c r="B127" s="375"/>
      <c r="C127" s="372"/>
      <c r="D127" s="195" t="s">
        <v>83</v>
      </c>
      <c r="E127" s="194"/>
      <c r="F127" s="150" t="s">
        <v>84</v>
      </c>
      <c r="G127" s="195">
        <f>INDEX('INFO-OEE'!$E$18:$CL$18,
        MATCH(B123, 'INFO-OEE'!$E$9:$CL$9, 0)) * 12</f>
        <v>1689.6000000000001</v>
      </c>
      <c r="H127" s="369"/>
      <c r="I127" s="370"/>
      <c r="J127" s="136"/>
      <c r="N127" t="str">
        <f t="array" ref="N127">IFERROR(
   INDEX($B$9:$B$188,
      SMALL(
         IF($B$9:$B$188&lt;&gt;"",ROW($B$9:$B$188)-MIN(ROW($B$9:$B$188))+1),
         ROWS($Z$1:Z119)
      )
   ),
"")</f>
        <v/>
      </c>
      <c r="O127" t="str">
        <f t="array" ref="O127">IFERROR(
   INDEX('[4]INFO-Ponderacion'!$C$9:$C$13,
      SMALL(
         IF('[4]INFO-Ponderacion'!$C$9:$C$13&lt;&gt;"",ROW('[4]INFO-Ponderacion'!$C$9:$C$13)-MIN(ROW('[4]INFO-Ponderacion'!$C$9:$C$13))+1),
         ROWS($Z$1:Z119)
      )
   ),
"")</f>
        <v/>
      </c>
    </row>
    <row r="128" spans="1:15" ht="30" customHeight="1">
      <c r="A128" s="136"/>
      <c r="B128" s="375"/>
      <c r="C128" s="372"/>
      <c r="D128" s="195" t="s">
        <v>85</v>
      </c>
      <c r="E128" s="194"/>
      <c r="F128" s="150" t="s">
        <v>86</v>
      </c>
      <c r="G128" s="198"/>
      <c r="H128" s="369"/>
      <c r="I128" s="370"/>
      <c r="J128" s="136"/>
      <c r="N128" t="str">
        <f t="array" ref="N128">IFERROR(
   INDEX($B$9:$B$188,
      SMALL(
         IF($B$9:$B$188&lt;&gt;"",ROW($B$9:$B$188)-MIN(ROW($B$9:$B$188))+1),
         ROWS($Z$1:Z120)
      )
   ),
"")</f>
        <v/>
      </c>
      <c r="O128" t="str">
        <f t="array" ref="O128">IFERROR(
   INDEX('[4]INFO-Ponderacion'!$C$9:$C$13,
      SMALL(
         IF('[4]INFO-Ponderacion'!$C$9:$C$13&lt;&gt;"",ROW('[4]INFO-Ponderacion'!$C$9:$C$13)-MIN(ROW('[4]INFO-Ponderacion'!$C$9:$C$13))+1),
         ROWS($Z$1:Z120)
      )
   ),
"")</f>
        <v/>
      </c>
    </row>
    <row r="129" spans="1:15" ht="30" customHeight="1">
      <c r="A129" s="136"/>
      <c r="B129" s="375" t="str">
        <f>'ANDEROMETRO IM251'!C3</f>
        <v>ANDEROMETRO IM251</v>
      </c>
      <c r="C129" s="372" t="s">
        <v>77</v>
      </c>
      <c r="D129" s="195" t="s">
        <v>78</v>
      </c>
      <c r="E129" s="194"/>
      <c r="F129" s="150" t="s">
        <v>79</v>
      </c>
      <c r="G129" s="198"/>
      <c r="H129" s="369"/>
      <c r="I129" s="370"/>
      <c r="J129" s="136"/>
      <c r="N129" t="str">
        <f t="array" ref="N129">IFERROR(
   INDEX($B$9:$B$188,
      SMALL(
         IF($B$9:$B$188&lt;&gt;"",ROW($B$9:$B$188)-MIN(ROW($B$9:$B$188))+1),
         ROWS($Z$1:Z121)
      )
   ),
"")</f>
        <v/>
      </c>
      <c r="O129" t="str">
        <f t="array" ref="O129">IFERROR(
   INDEX('[4]INFO-Ponderacion'!$C$9:$C$13,
      SMALL(
         IF('[4]INFO-Ponderacion'!$C$9:$C$13&lt;&gt;"",ROW('[4]INFO-Ponderacion'!$C$9:$C$13)-MIN(ROW('[4]INFO-Ponderacion'!$C$9:$C$13))+1),
         ROWS($Z$1:Z121)
      )
   ),
"")</f>
        <v/>
      </c>
    </row>
    <row r="130" spans="1:15" ht="30" customHeight="1">
      <c r="A130" s="136"/>
      <c r="B130" s="375"/>
      <c r="C130" s="372"/>
      <c r="D130" s="195" t="s">
        <v>136</v>
      </c>
      <c r="E130" s="194"/>
      <c r="F130" s="196" t="s">
        <v>137</v>
      </c>
      <c r="G130" s="199"/>
      <c r="H130" s="192"/>
      <c r="I130" s="193"/>
      <c r="J130" s="136"/>
      <c r="N130" t="str">
        <f t="array" ref="N130">IFERROR(
   INDEX($B$9:$B$188,
      SMALL(
         IF($B$9:$B$188&lt;&gt;"",ROW($B$9:$B$188)-MIN(ROW($B$9:$B$188))+1),
         ROWS($Z$1:Z122)
      )
   ),
"")</f>
        <v/>
      </c>
      <c r="O130" t="str">
        <f t="array" ref="O130">IFERROR(
   INDEX('[4]INFO-Ponderacion'!$C$9:$C$13,
      SMALL(
         IF('[4]INFO-Ponderacion'!$C$9:$C$13&lt;&gt;"",ROW('[4]INFO-Ponderacion'!$C$9:$C$13)-MIN(ROW('[4]INFO-Ponderacion'!$C$9:$C$13))+1),
         ROWS($Z$1:Z122)
      )
   ),
"")</f>
        <v/>
      </c>
    </row>
    <row r="131" spans="1:15" ht="30" customHeight="1">
      <c r="A131" s="136"/>
      <c r="B131" s="375"/>
      <c r="C131" s="372"/>
      <c r="D131" s="195" t="s">
        <v>80</v>
      </c>
      <c r="E131" s="194"/>
      <c r="F131" s="151" t="s">
        <v>81</v>
      </c>
      <c r="G131" s="200"/>
      <c r="H131" s="376"/>
      <c r="I131" s="377"/>
      <c r="J131" s="136"/>
      <c r="N131" t="str">
        <f t="array" ref="N131">IFERROR(
   INDEX($B$9:$B$188,
      SMALL(
         IF($B$9:$B$188&lt;&gt;"",ROW($B$9:$B$188)-MIN(ROW($B$9:$B$188))+1),
         ROWS($Z$1:Z123)
      )
   ),
"")</f>
        <v/>
      </c>
      <c r="O131" t="str">
        <f t="array" ref="O131">IFERROR(
   INDEX('[4]INFO-Ponderacion'!$C$9:$C$13,
      SMALL(
         IF('[4]INFO-Ponderacion'!$C$9:$C$13&lt;&gt;"",ROW('[4]INFO-Ponderacion'!$C$9:$C$13)-MIN(ROW('[4]INFO-Ponderacion'!$C$9:$C$13))+1),
         ROWS($Z$1:Z123)
      )
   ),
"")</f>
        <v/>
      </c>
    </row>
    <row r="132" spans="1:15" ht="30" customHeight="1">
      <c r="A132" s="136"/>
      <c r="B132" s="375"/>
      <c r="C132" s="372"/>
      <c r="D132" s="195" t="s">
        <v>82</v>
      </c>
      <c r="E132" s="194"/>
      <c r="F132" s="150" t="s">
        <v>79</v>
      </c>
      <c r="G132" s="197">
        <v>0</v>
      </c>
      <c r="H132" s="369"/>
      <c r="I132" s="370"/>
      <c r="J132" s="136"/>
      <c r="N132" t="str">
        <f t="array" ref="N132">IFERROR(
   INDEX($B$9:$B$188,
      SMALL(
         IF($B$9:$B$188&lt;&gt;"",ROW($B$9:$B$188)-MIN(ROW($B$9:$B$188))+1),
         ROWS($Z$1:Z124)
      )
   ),
"")</f>
        <v/>
      </c>
      <c r="O132" t="str">
        <f t="array" ref="O132">IFERROR(
   INDEX('[4]INFO-Ponderacion'!$C$9:$C$13,
      SMALL(
         IF('[4]INFO-Ponderacion'!$C$9:$C$13&lt;&gt;"",ROW('[4]INFO-Ponderacion'!$C$9:$C$13)-MIN(ROW('[4]INFO-Ponderacion'!$C$9:$C$13))+1),
         ROWS($Z$1:Z124)
      )
   ),
"")</f>
        <v/>
      </c>
    </row>
    <row r="133" spans="1:15" ht="30" customHeight="1">
      <c r="A133" s="136"/>
      <c r="B133" s="375"/>
      <c r="C133" s="372"/>
      <c r="D133" s="195" t="s">
        <v>83</v>
      </c>
      <c r="E133" s="194"/>
      <c r="F133" s="150" t="s">
        <v>84</v>
      </c>
      <c r="G133" s="195">
        <f>INDEX('INFO-OEE'!$E$18:$CL$18,
        MATCH(B129, 'INFO-OEE'!$E$9:$CL$9, 0)) * 12</f>
        <v>1689.6000000000001</v>
      </c>
      <c r="H133" s="369"/>
      <c r="I133" s="370"/>
      <c r="J133" s="136"/>
      <c r="N133" t="str">
        <f t="array" ref="N133">IFERROR(
   INDEX($B$9:$B$188,
      SMALL(
         IF($B$9:$B$188&lt;&gt;"",ROW($B$9:$B$188)-MIN(ROW($B$9:$B$188))+1),
         ROWS($Z$1:Z125)
      )
   ),
"")</f>
        <v/>
      </c>
      <c r="O133" t="str">
        <f t="array" ref="O133">IFERROR(
   INDEX('[4]INFO-Ponderacion'!$C$9:$C$13,
      SMALL(
         IF('[4]INFO-Ponderacion'!$C$9:$C$13&lt;&gt;"",ROW('[4]INFO-Ponderacion'!$C$9:$C$13)-MIN(ROW('[4]INFO-Ponderacion'!$C$9:$C$13))+1),
         ROWS($Z$1:Z125)
      )
   ),
"")</f>
        <v/>
      </c>
    </row>
    <row r="134" spans="1:15" ht="30" customHeight="1">
      <c r="A134" s="136"/>
      <c r="B134" s="375"/>
      <c r="C134" s="372"/>
      <c r="D134" s="195" t="s">
        <v>85</v>
      </c>
      <c r="E134" s="194"/>
      <c r="F134" s="150" t="s">
        <v>86</v>
      </c>
      <c r="G134" s="198"/>
      <c r="H134" s="369"/>
      <c r="I134" s="370"/>
      <c r="J134" s="136"/>
      <c r="N134" t="str">
        <f t="array" ref="N134">IFERROR(
   INDEX($B$9:$B$188,
      SMALL(
         IF($B$9:$B$188&lt;&gt;"",ROW($B$9:$B$188)-MIN(ROW($B$9:$B$188))+1),
         ROWS($Z$1:Z126)
      )
   ),
"")</f>
        <v/>
      </c>
      <c r="O134" t="str">
        <f t="array" ref="O134">IFERROR(
   INDEX('[4]INFO-Ponderacion'!$C$9:$C$13,
      SMALL(
         IF('[4]INFO-Ponderacion'!$C$9:$C$13&lt;&gt;"",ROW('[4]INFO-Ponderacion'!$C$9:$C$13)-MIN(ROW('[4]INFO-Ponderacion'!$C$9:$C$13))+1),
         ROWS($Z$1:Z126)
      )
   ),
"")</f>
        <v/>
      </c>
    </row>
    <row r="135" spans="1:15" ht="30" customHeight="1">
      <c r="A135" s="136"/>
      <c r="B135" s="375" t="str">
        <f>'HERMANADORA AUT MS05 LHT90'!C3</f>
        <v>HERMANADORA AUT MS05 LHT90</v>
      </c>
      <c r="C135" s="372" t="s">
        <v>77</v>
      </c>
      <c r="D135" s="195" t="s">
        <v>78</v>
      </c>
      <c r="E135" s="194"/>
      <c r="F135" s="150" t="s">
        <v>79</v>
      </c>
      <c r="G135" s="198"/>
      <c r="H135" s="369"/>
      <c r="I135" s="370"/>
      <c r="J135" s="136"/>
      <c r="N135" t="str">
        <f t="array" ref="N135">IFERROR(
   INDEX($B$9:$B$188,
      SMALL(
         IF($B$9:$B$188&lt;&gt;"",ROW($B$9:$B$188)-MIN(ROW($B$9:$B$188))+1),
         ROWS($Z$1:Z127)
      )
   ),
"")</f>
        <v/>
      </c>
      <c r="O135" t="str">
        <f t="array" ref="O135">IFERROR(
   INDEX('[4]INFO-Ponderacion'!$C$9:$C$13,
      SMALL(
         IF('[4]INFO-Ponderacion'!$C$9:$C$13&lt;&gt;"",ROW('[4]INFO-Ponderacion'!$C$9:$C$13)-MIN(ROW('[4]INFO-Ponderacion'!$C$9:$C$13))+1),
         ROWS($Z$1:Z127)
      )
   ),
"")</f>
        <v/>
      </c>
    </row>
    <row r="136" spans="1:15" ht="30" customHeight="1">
      <c r="A136" s="136"/>
      <c r="B136" s="375"/>
      <c r="C136" s="372"/>
      <c r="D136" s="195" t="s">
        <v>136</v>
      </c>
      <c r="E136" s="194"/>
      <c r="F136" s="196" t="s">
        <v>137</v>
      </c>
      <c r="G136" s="199"/>
      <c r="H136" s="192"/>
      <c r="I136" s="193"/>
      <c r="J136" s="136"/>
      <c r="N136" t="str">
        <f t="array" ref="N136">IFERROR(
   INDEX($B$9:$B$188,
      SMALL(
         IF($B$9:$B$188&lt;&gt;"",ROW($B$9:$B$188)-MIN(ROW($B$9:$B$188))+1),
         ROWS($Z$1:Z128)
      )
   ),
"")</f>
        <v/>
      </c>
      <c r="O136" t="str">
        <f t="array" ref="O136">IFERROR(
   INDEX('[4]INFO-Ponderacion'!$C$9:$C$13,
      SMALL(
         IF('[4]INFO-Ponderacion'!$C$9:$C$13&lt;&gt;"",ROW('[4]INFO-Ponderacion'!$C$9:$C$13)-MIN(ROW('[4]INFO-Ponderacion'!$C$9:$C$13))+1),
         ROWS($Z$1:Z128)
      )
   ),
"")</f>
        <v/>
      </c>
    </row>
    <row r="137" spans="1:15" ht="30" customHeight="1">
      <c r="A137" s="136"/>
      <c r="B137" s="375"/>
      <c r="C137" s="372"/>
      <c r="D137" s="195" t="s">
        <v>80</v>
      </c>
      <c r="E137" s="194"/>
      <c r="F137" s="151" t="s">
        <v>81</v>
      </c>
      <c r="G137" s="200"/>
      <c r="H137" s="376"/>
      <c r="I137" s="377"/>
      <c r="J137" s="136"/>
      <c r="N137" t="str">
        <f t="array" ref="N137">IFERROR(
   INDEX($B$9:$B$188,
      SMALL(
         IF($B$9:$B$188&lt;&gt;"",ROW($B$9:$B$188)-MIN(ROW($B$9:$B$188))+1),
         ROWS($Z$1:Z129)
      )
   ),
"")</f>
        <v/>
      </c>
      <c r="O137" t="str">
        <f t="array" ref="O137">IFERROR(
   INDEX('[4]INFO-Ponderacion'!$C$9:$C$13,
      SMALL(
         IF('[4]INFO-Ponderacion'!$C$9:$C$13&lt;&gt;"",ROW('[4]INFO-Ponderacion'!$C$9:$C$13)-MIN(ROW('[4]INFO-Ponderacion'!$C$9:$C$13))+1),
         ROWS($Z$1:Z129)
      )
   ),
"")</f>
        <v/>
      </c>
    </row>
    <row r="138" spans="1:15" ht="30" customHeight="1">
      <c r="A138" s="136"/>
      <c r="B138" s="375"/>
      <c r="C138" s="372"/>
      <c r="D138" s="195" t="s">
        <v>82</v>
      </c>
      <c r="E138" s="194"/>
      <c r="F138" s="150" t="s">
        <v>79</v>
      </c>
      <c r="G138" s="197">
        <v>0</v>
      </c>
      <c r="H138" s="369"/>
      <c r="I138" s="370"/>
      <c r="J138" s="136"/>
      <c r="N138" t="str">
        <f t="array" ref="N138">IFERROR(
   INDEX($B$9:$B$188,
      SMALL(
         IF($B$9:$B$188&lt;&gt;"",ROW($B$9:$B$188)-MIN(ROW($B$9:$B$188))+1),
         ROWS($Z$1:Z130)
      )
   ),
"")</f>
        <v/>
      </c>
      <c r="O138" t="str">
        <f t="array" ref="O138">IFERROR(
   INDEX('[4]INFO-Ponderacion'!$C$9:$C$13,
      SMALL(
         IF('[4]INFO-Ponderacion'!$C$9:$C$13&lt;&gt;"",ROW('[4]INFO-Ponderacion'!$C$9:$C$13)-MIN(ROW('[4]INFO-Ponderacion'!$C$9:$C$13))+1),
         ROWS($Z$1:Z130)
      )
   ),
"")</f>
        <v/>
      </c>
    </row>
    <row r="139" spans="1:15" ht="30" customHeight="1">
      <c r="A139" s="136"/>
      <c r="B139" s="375"/>
      <c r="C139" s="372"/>
      <c r="D139" s="195" t="s">
        <v>83</v>
      </c>
      <c r="E139" s="194"/>
      <c r="F139" s="150" t="s">
        <v>84</v>
      </c>
      <c r="G139" s="195">
        <f>INDEX('INFO-OEE'!$E$18:$CL$18,
        MATCH(B135, 'INFO-OEE'!$E$9:$CL$9, 0)) * 12</f>
        <v>1689.6000000000001</v>
      </c>
      <c r="H139" s="369"/>
      <c r="I139" s="370"/>
      <c r="J139" s="136"/>
      <c r="N139" t="str">
        <f t="array" ref="N139">IFERROR(
   INDEX($B$9:$B$188,
      SMALL(
         IF($B$9:$B$188&lt;&gt;"",ROW($B$9:$B$188)-MIN(ROW($B$9:$B$188))+1),
         ROWS($Z$1:Z131)
      )
   ),
"")</f>
        <v/>
      </c>
      <c r="O139" t="str">
        <f t="array" ref="O139">IFERROR(
   INDEX('[4]INFO-Ponderacion'!$C$9:$C$13,
      SMALL(
         IF('[4]INFO-Ponderacion'!$C$9:$C$13&lt;&gt;"",ROW('[4]INFO-Ponderacion'!$C$9:$C$13)-MIN(ROW('[4]INFO-Ponderacion'!$C$9:$C$13))+1),
         ROWS($Z$1:Z131)
      )
   ),
"")</f>
        <v/>
      </c>
    </row>
    <row r="140" spans="1:15" ht="30" customHeight="1">
      <c r="A140" s="136"/>
      <c r="B140" s="375"/>
      <c r="C140" s="372"/>
      <c r="D140" s="195" t="s">
        <v>85</v>
      </c>
      <c r="E140" s="194"/>
      <c r="F140" s="150" t="s">
        <v>86</v>
      </c>
      <c r="G140" s="198"/>
      <c r="H140" s="369"/>
      <c r="I140" s="370"/>
      <c r="J140" s="136"/>
      <c r="N140" t="str">
        <f t="array" ref="N140">IFERROR(
   INDEX($B$9:$B$188,
      SMALL(
         IF($B$9:$B$188&lt;&gt;"",ROW($B$9:$B$188)-MIN(ROW($B$9:$B$188))+1),
         ROWS($Z$1:Z132)
      )
   ),
"")</f>
        <v/>
      </c>
      <c r="O140" t="str">
        <f t="array" ref="O140">IFERROR(
   INDEX('[4]INFO-Ponderacion'!$C$9:$C$13,
      SMALL(
         IF('[4]INFO-Ponderacion'!$C$9:$C$13&lt;&gt;"",ROW('[4]INFO-Ponderacion'!$C$9:$C$13)-MIN(ROW('[4]INFO-Ponderacion'!$C$9:$C$13))+1),
         ROWS($Z$1:Z132)
      )
   ),
"")</f>
        <v/>
      </c>
    </row>
    <row r="141" spans="1:15" ht="30" customHeight="1">
      <c r="A141" s="136"/>
      <c r="B141" s="375" t="str">
        <f>'HER. AUT JAULA MS05 BCJT03'!$C$3</f>
        <v>HER. AUT JAULA MS05 BCJT03</v>
      </c>
      <c r="C141" s="372" t="s">
        <v>77</v>
      </c>
      <c r="D141" s="195" t="s">
        <v>78</v>
      </c>
      <c r="E141" s="194"/>
      <c r="F141" s="150" t="s">
        <v>79</v>
      </c>
      <c r="G141" s="198"/>
      <c r="H141" s="369"/>
      <c r="I141" s="370"/>
      <c r="J141" s="136"/>
      <c r="N141" t="str">
        <f t="array" ref="N141">IFERROR(
   INDEX($B$9:$B$188,
      SMALL(
         IF($B$9:$B$188&lt;&gt;"",ROW($B$9:$B$188)-MIN(ROW($B$9:$B$188))+1),
         ROWS($Z$1:Z133)
      )
   ),
"")</f>
        <v/>
      </c>
      <c r="O141" t="str">
        <f t="array" ref="O141">IFERROR(
   INDEX('[4]INFO-Ponderacion'!$C$9:$C$13,
      SMALL(
         IF('[4]INFO-Ponderacion'!$C$9:$C$13&lt;&gt;"",ROW('[4]INFO-Ponderacion'!$C$9:$C$13)-MIN(ROW('[4]INFO-Ponderacion'!$C$9:$C$13))+1),
         ROWS($Z$1:Z133)
      )
   ),
"")</f>
        <v/>
      </c>
    </row>
    <row r="142" spans="1:15" ht="30" customHeight="1">
      <c r="A142" s="136"/>
      <c r="B142" s="375"/>
      <c r="C142" s="372"/>
      <c r="D142" s="195" t="s">
        <v>136</v>
      </c>
      <c r="E142" s="194"/>
      <c r="F142" s="196" t="s">
        <v>137</v>
      </c>
      <c r="G142" s="199"/>
      <c r="H142" s="192"/>
      <c r="I142" s="193"/>
      <c r="J142" s="136"/>
      <c r="N142" t="str">
        <f t="array" ref="N142">IFERROR(
   INDEX($B$9:$B$188,
      SMALL(
         IF($B$9:$B$188&lt;&gt;"",ROW($B$9:$B$188)-MIN(ROW($B$9:$B$188))+1),
         ROWS($Z$1:Z134)
      )
   ),
"")</f>
        <v/>
      </c>
      <c r="O142" t="str">
        <f t="array" ref="O142">IFERROR(
   INDEX('[4]INFO-Ponderacion'!$C$9:$C$13,
      SMALL(
         IF('[4]INFO-Ponderacion'!$C$9:$C$13&lt;&gt;"",ROW('[4]INFO-Ponderacion'!$C$9:$C$13)-MIN(ROW('[4]INFO-Ponderacion'!$C$9:$C$13))+1),
         ROWS($Z$1:Z134)
      )
   ),
"")</f>
        <v/>
      </c>
    </row>
    <row r="143" spans="1:15" ht="30" customHeight="1">
      <c r="A143" s="136"/>
      <c r="B143" s="375"/>
      <c r="C143" s="372"/>
      <c r="D143" s="195" t="s">
        <v>80</v>
      </c>
      <c r="E143" s="194"/>
      <c r="F143" s="151" t="s">
        <v>81</v>
      </c>
      <c r="G143" s="200"/>
      <c r="H143" s="376"/>
      <c r="I143" s="377"/>
      <c r="J143" s="136"/>
      <c r="N143" t="str">
        <f t="array" ref="N143">IFERROR(
   INDEX($B$9:$B$188,
      SMALL(
         IF($B$9:$B$188&lt;&gt;"",ROW($B$9:$B$188)-MIN(ROW($B$9:$B$188))+1),
         ROWS($Z$1:Z135)
      )
   ),
"")</f>
        <v/>
      </c>
      <c r="O143" t="str">
        <f t="array" ref="O143">IFERROR(
   INDEX('[4]INFO-Ponderacion'!$C$9:$C$13,
      SMALL(
         IF('[4]INFO-Ponderacion'!$C$9:$C$13&lt;&gt;"",ROW('[4]INFO-Ponderacion'!$C$9:$C$13)-MIN(ROW('[4]INFO-Ponderacion'!$C$9:$C$13))+1),
         ROWS($Z$1:Z135)
      )
   ),
"")</f>
        <v/>
      </c>
    </row>
    <row r="144" spans="1:15" ht="30" customHeight="1">
      <c r="A144" s="136"/>
      <c r="B144" s="375"/>
      <c r="C144" s="372"/>
      <c r="D144" s="195" t="s">
        <v>82</v>
      </c>
      <c r="E144" s="194"/>
      <c r="F144" s="150" t="s">
        <v>79</v>
      </c>
      <c r="G144" s="197">
        <v>0</v>
      </c>
      <c r="H144" s="369"/>
      <c r="I144" s="370"/>
      <c r="J144" s="136"/>
      <c r="N144" t="str">
        <f t="array" ref="N144">IFERROR(
   INDEX($B$9:$B$188,
      SMALL(
         IF($B$9:$B$188&lt;&gt;"",ROW($B$9:$B$188)-MIN(ROW($B$9:$B$188))+1),
         ROWS($Z$1:Z136)
      )
   ),
"")</f>
        <v/>
      </c>
      <c r="O144" t="str">
        <f t="array" ref="O144">IFERROR(
   INDEX('[4]INFO-Ponderacion'!$C$9:$C$13,
      SMALL(
         IF('[4]INFO-Ponderacion'!$C$9:$C$13&lt;&gt;"",ROW('[4]INFO-Ponderacion'!$C$9:$C$13)-MIN(ROW('[4]INFO-Ponderacion'!$C$9:$C$13))+1),
         ROWS($Z$1:Z136)
      )
   ),
"")</f>
        <v/>
      </c>
    </row>
    <row r="145" spans="1:15" ht="30" customHeight="1">
      <c r="A145" s="136"/>
      <c r="B145" s="375"/>
      <c r="C145" s="372"/>
      <c r="D145" s="195" t="s">
        <v>83</v>
      </c>
      <c r="E145" s="194"/>
      <c r="F145" s="150" t="s">
        <v>84</v>
      </c>
      <c r="G145" s="195">
        <f>INDEX('INFO-OEE'!$E$18:$CL$18,
        MATCH(B141, 'INFO-OEE'!$E$9:$CL$9, 0)) * 12</f>
        <v>1689.6000000000001</v>
      </c>
      <c r="H145" s="369"/>
      <c r="I145" s="370"/>
      <c r="J145" s="136"/>
      <c r="N145" t="str">
        <f t="array" ref="N145">IFERROR(
   INDEX($B$9:$B$188,
      SMALL(
         IF($B$9:$B$188&lt;&gt;"",ROW($B$9:$B$188)-MIN(ROW($B$9:$B$188))+1),
         ROWS($Z$1:Z137)
      )
   ),
"")</f>
        <v/>
      </c>
      <c r="O145" t="str">
        <f t="array" ref="O145">IFERROR(
   INDEX('[4]INFO-Ponderacion'!$C$9:$C$13,
      SMALL(
         IF('[4]INFO-Ponderacion'!$C$9:$C$13&lt;&gt;"",ROW('[4]INFO-Ponderacion'!$C$9:$C$13)-MIN(ROW('[4]INFO-Ponderacion'!$C$9:$C$13))+1),
         ROWS($Z$1:Z137)
      )
   ),
"")</f>
        <v/>
      </c>
    </row>
    <row r="146" spans="1:15" ht="30" customHeight="1">
      <c r="A146" s="136"/>
      <c r="B146" s="375"/>
      <c r="C146" s="372"/>
      <c r="D146" s="195" t="s">
        <v>85</v>
      </c>
      <c r="E146" s="194"/>
      <c r="F146" s="150" t="s">
        <v>86</v>
      </c>
      <c r="G146" s="198"/>
      <c r="H146" s="369"/>
      <c r="I146" s="370"/>
      <c r="J146" s="136"/>
      <c r="N146" t="str">
        <f t="array" ref="N146">IFERROR(
   INDEX($B$9:$B$188,
      SMALL(
         IF($B$9:$B$188&lt;&gt;"",ROW($B$9:$B$188)-MIN(ROW($B$9:$B$188))+1),
         ROWS($Z$1:Z138)
      )
   ),
"")</f>
        <v/>
      </c>
      <c r="O146" t="str">
        <f t="array" ref="O146">IFERROR(
   INDEX('[4]INFO-Ponderacion'!$C$9:$C$13,
      SMALL(
         IF('[4]INFO-Ponderacion'!$C$9:$C$13&lt;&gt;"",ROW('[4]INFO-Ponderacion'!$C$9:$C$13)-MIN(ROW('[4]INFO-Ponderacion'!$C$9:$C$13))+1),
         ROWS($Z$1:Z138)
      )
   ),
"")</f>
        <v/>
      </c>
    </row>
    <row r="147" spans="1:15" ht="30" customHeight="1">
      <c r="A147" s="136"/>
      <c r="B147" s="375" t="str">
        <f>'PD52 POACHER'!C3</f>
        <v>PD52 POACHER</v>
      </c>
      <c r="C147" s="372" t="s">
        <v>77</v>
      </c>
      <c r="D147" s="195" t="s">
        <v>78</v>
      </c>
      <c r="E147" s="194"/>
      <c r="F147" s="150" t="s">
        <v>79</v>
      </c>
      <c r="G147" s="198"/>
      <c r="H147" s="369"/>
      <c r="I147" s="370"/>
      <c r="J147" s="136"/>
      <c r="N147" t="str">
        <f t="array" ref="N147">IFERROR(
   INDEX($B$9:$B$188,
      SMALL(
         IF($B$9:$B$188&lt;&gt;"",ROW($B$9:$B$188)-MIN(ROW($B$9:$B$188))+1),
         ROWS($Z$1:Z139)
      )
   ),
"")</f>
        <v/>
      </c>
      <c r="O147" t="str">
        <f t="array" ref="O147">IFERROR(
   INDEX('[4]INFO-Ponderacion'!$C$9:$C$13,
      SMALL(
         IF('[4]INFO-Ponderacion'!$C$9:$C$13&lt;&gt;"",ROW('[4]INFO-Ponderacion'!$C$9:$C$13)-MIN(ROW('[4]INFO-Ponderacion'!$C$9:$C$13))+1),
         ROWS($Z$1:Z139)
      )
   ),
"")</f>
        <v/>
      </c>
    </row>
    <row r="148" spans="1:15" ht="30" customHeight="1">
      <c r="A148" s="136"/>
      <c r="B148" s="375"/>
      <c r="C148" s="372"/>
      <c r="D148" s="195" t="s">
        <v>136</v>
      </c>
      <c r="E148" s="194"/>
      <c r="F148" s="196" t="s">
        <v>137</v>
      </c>
      <c r="G148" s="199"/>
      <c r="H148" s="192"/>
      <c r="I148" s="193"/>
      <c r="J148" s="136"/>
      <c r="N148" t="str">
        <f t="array" ref="N148">IFERROR(
   INDEX($B$9:$B$188,
      SMALL(
         IF($B$9:$B$188&lt;&gt;"",ROW($B$9:$B$188)-MIN(ROW($B$9:$B$188))+1),
         ROWS($Z$1:Z140)
      )
   ),
"")</f>
        <v/>
      </c>
      <c r="O148" t="str">
        <f t="array" ref="O148">IFERROR(
   INDEX('[4]INFO-Ponderacion'!$C$9:$C$13,
      SMALL(
         IF('[4]INFO-Ponderacion'!$C$9:$C$13&lt;&gt;"",ROW('[4]INFO-Ponderacion'!$C$9:$C$13)-MIN(ROW('[4]INFO-Ponderacion'!$C$9:$C$13))+1),
         ROWS($Z$1:Z140)
      )
   ),
"")</f>
        <v/>
      </c>
    </row>
    <row r="149" spans="1:15" ht="27" customHeight="1">
      <c r="A149" s="136"/>
      <c r="B149" s="375"/>
      <c r="C149" s="372"/>
      <c r="D149" s="195" t="s">
        <v>80</v>
      </c>
      <c r="E149" s="194"/>
      <c r="F149" s="151" t="s">
        <v>81</v>
      </c>
      <c r="G149" s="200"/>
      <c r="H149" s="376"/>
      <c r="I149" s="377"/>
      <c r="J149" s="136"/>
      <c r="N149" t="str">
        <f t="array" ref="N149">IFERROR(
   INDEX($B$9:$B$188,
      SMALL(
         IF($B$9:$B$188&lt;&gt;"",ROW($B$9:$B$188)-MIN(ROW($B$9:$B$188))+1),
         ROWS($Z$1:Z141)
      )
   ),
"")</f>
        <v/>
      </c>
      <c r="O149" t="str">
        <f t="array" ref="O149">IFERROR(
   INDEX('[4]INFO-Ponderacion'!$C$9:$C$13,
      SMALL(
         IF('[4]INFO-Ponderacion'!$C$9:$C$13&lt;&gt;"",ROW('[4]INFO-Ponderacion'!$C$9:$C$13)-MIN(ROW('[4]INFO-Ponderacion'!$C$9:$C$13))+1),
         ROWS($Z$1:Z141)
      )
   ),
"")</f>
        <v/>
      </c>
    </row>
    <row r="150" spans="1:15" ht="30" customHeight="1">
      <c r="A150" s="136"/>
      <c r="B150" s="375"/>
      <c r="C150" s="372"/>
      <c r="D150" s="195" t="s">
        <v>82</v>
      </c>
      <c r="E150" s="194"/>
      <c r="F150" s="150" t="s">
        <v>79</v>
      </c>
      <c r="G150" s="197">
        <v>0</v>
      </c>
      <c r="H150" s="369"/>
      <c r="I150" s="370"/>
      <c r="J150" s="136"/>
      <c r="N150" t="str">
        <f t="array" ref="N150">IFERROR(
   INDEX($B$9:$B$188,
      SMALL(
         IF($B$9:$B$188&lt;&gt;"",ROW($B$9:$B$188)-MIN(ROW($B$9:$B$188))+1),
         ROWS($Z$1:Z142)
      )
   ),
"")</f>
        <v/>
      </c>
      <c r="O150" t="str">
        <f t="array" ref="O150">IFERROR(
   INDEX('[4]INFO-Ponderacion'!$C$9:$C$13,
      SMALL(
         IF('[4]INFO-Ponderacion'!$C$9:$C$13&lt;&gt;"",ROW('[4]INFO-Ponderacion'!$C$9:$C$13)-MIN(ROW('[4]INFO-Ponderacion'!$C$9:$C$13))+1),
         ROWS($Z$1:Z142)
      )
   ),
"")</f>
        <v/>
      </c>
    </row>
    <row r="151" spans="1:15" ht="30" customHeight="1">
      <c r="A151" s="136"/>
      <c r="B151" s="375"/>
      <c r="C151" s="372"/>
      <c r="D151" s="195" t="s">
        <v>83</v>
      </c>
      <c r="E151" s="194"/>
      <c r="F151" s="150" t="s">
        <v>84</v>
      </c>
      <c r="G151" s="195">
        <f>INDEX('INFO-OEE'!$E$18:$CL$18,
        MATCH(B147, 'INFO-OEE'!$E$9:$CL$9, 0)) * 12</f>
        <v>1689.6000000000001</v>
      </c>
      <c r="H151" s="369"/>
      <c r="I151" s="370"/>
      <c r="J151" s="136"/>
      <c r="N151" t="str">
        <f t="array" ref="N151">IFERROR(
   INDEX($B$9:$B$188,
      SMALL(
         IF($B$9:$B$188&lt;&gt;"",ROW($B$9:$B$188)-MIN(ROW($B$9:$B$188))+1),
         ROWS($Z$1:Z143)
      )
   ),
"")</f>
        <v/>
      </c>
      <c r="O151" t="str">
        <f t="array" ref="O151">IFERROR(
   INDEX('[4]INFO-Ponderacion'!$C$9:$C$13,
      SMALL(
         IF('[4]INFO-Ponderacion'!$C$9:$C$13&lt;&gt;"",ROW('[4]INFO-Ponderacion'!$C$9:$C$13)-MIN(ROW('[4]INFO-Ponderacion'!$C$9:$C$13))+1),
         ROWS($Z$1:Z143)
      )
   ),
"")</f>
        <v/>
      </c>
    </row>
    <row r="152" spans="1:15" ht="30" customHeight="1">
      <c r="A152" s="136"/>
      <c r="B152" s="375"/>
      <c r="C152" s="372"/>
      <c r="D152" s="195" t="s">
        <v>85</v>
      </c>
      <c r="E152" s="194"/>
      <c r="F152" s="150" t="s">
        <v>86</v>
      </c>
      <c r="G152" s="198"/>
      <c r="H152" s="369"/>
      <c r="I152" s="370"/>
      <c r="J152" s="136"/>
      <c r="N152" t="str">
        <f t="array" ref="N152">IFERROR(
   INDEX($B$9:$B$188,
      SMALL(
         IF($B$9:$B$188&lt;&gt;"",ROW($B$9:$B$188)-MIN(ROW($B$9:$B$188))+1),
         ROWS($Z$1:Z144)
      )
   ),
"")</f>
        <v/>
      </c>
      <c r="O152" t="str">
        <f t="array" ref="O152">IFERROR(
   INDEX('[4]INFO-Ponderacion'!$C$9:$C$13,
      SMALL(
         IF('[4]INFO-Ponderacion'!$C$9:$C$13&lt;&gt;"",ROW('[4]INFO-Ponderacion'!$C$9:$C$13)-MIN(ROW('[4]INFO-Ponderacion'!$C$9:$C$13))+1),
         ROWS($Z$1:Z144)
      )
   ),
"")</f>
        <v/>
      </c>
    </row>
    <row r="153" spans="1:15" ht="30" customHeight="1">
      <c r="A153" s="136"/>
      <c r="B153" s="375" t="str">
        <f>'RADIAL X095B'!C3</f>
        <v>RADIAL X095B</v>
      </c>
      <c r="C153" s="372" t="s">
        <v>77</v>
      </c>
      <c r="D153" s="195" t="s">
        <v>78</v>
      </c>
      <c r="E153" s="194"/>
      <c r="F153" s="150" t="s">
        <v>79</v>
      </c>
      <c r="G153" s="198"/>
      <c r="H153" s="369"/>
      <c r="I153" s="370"/>
      <c r="J153" s="136"/>
      <c r="N153" t="str">
        <f t="array" ref="N153">IFERROR(
   INDEX($B$9:$B$188,
      SMALL(
         IF($B$9:$B$188&lt;&gt;"",ROW($B$9:$B$188)-MIN(ROW($B$9:$B$188))+1),
         ROWS($Z$1:Z145)
      )
   ),
"")</f>
        <v/>
      </c>
      <c r="O153" t="str">
        <f t="array" ref="O153">IFERROR(
   INDEX('[4]INFO-Ponderacion'!$C$9:$C$13,
      SMALL(
         IF('[4]INFO-Ponderacion'!$C$9:$C$13&lt;&gt;"",ROW('[4]INFO-Ponderacion'!$C$9:$C$13)-MIN(ROW('[4]INFO-Ponderacion'!$C$9:$C$13))+1),
         ROWS($Z$1:Z145)
      )
   ),
"")</f>
        <v/>
      </c>
    </row>
    <row r="154" spans="1:15" ht="30" customHeight="1">
      <c r="A154" s="136"/>
      <c r="B154" s="375"/>
      <c r="C154" s="372"/>
      <c r="D154" s="195" t="s">
        <v>136</v>
      </c>
      <c r="E154" s="194"/>
      <c r="F154" s="196" t="s">
        <v>137</v>
      </c>
      <c r="G154" s="199"/>
      <c r="H154" s="192"/>
      <c r="I154" s="193"/>
      <c r="J154" s="136"/>
      <c r="N154" t="str">
        <f t="array" ref="N154">IFERROR(
   INDEX($B$9:$B$188,
      SMALL(
         IF($B$9:$B$188&lt;&gt;"",ROW($B$9:$B$188)-MIN(ROW($B$9:$B$188))+1),
         ROWS($Z$1:Z146)
      )
   ),
"")</f>
        <v/>
      </c>
      <c r="O154" t="str">
        <f t="array" ref="O154">IFERROR(
   INDEX('[4]INFO-Ponderacion'!$C$9:$C$13,
      SMALL(
         IF('[4]INFO-Ponderacion'!$C$9:$C$13&lt;&gt;"",ROW('[4]INFO-Ponderacion'!$C$9:$C$13)-MIN(ROW('[4]INFO-Ponderacion'!$C$9:$C$13))+1),
         ROWS($Z$1:Z146)
      )
   ),
"")</f>
        <v/>
      </c>
    </row>
    <row r="155" spans="1:15" ht="30" customHeight="1">
      <c r="A155" s="136"/>
      <c r="B155" s="375"/>
      <c r="C155" s="372"/>
      <c r="D155" s="195" t="s">
        <v>80</v>
      </c>
      <c r="E155" s="194"/>
      <c r="F155" s="151" t="s">
        <v>81</v>
      </c>
      <c r="G155" s="200"/>
      <c r="H155" s="376"/>
      <c r="I155" s="377"/>
      <c r="J155" s="136"/>
      <c r="N155" t="str">
        <f t="array" ref="N155">IFERROR(
   INDEX($B$9:$B$188,
      SMALL(
         IF($B$9:$B$188&lt;&gt;"",ROW($B$9:$B$188)-MIN(ROW($B$9:$B$188))+1),
         ROWS($Z$1:Z147)
      )
   ),
"")</f>
        <v/>
      </c>
      <c r="O155" t="str">
        <f t="array" ref="O155">IFERROR(
   INDEX('[4]INFO-Ponderacion'!$C$9:$C$13,
      SMALL(
         IF('[4]INFO-Ponderacion'!$C$9:$C$13&lt;&gt;"",ROW('[4]INFO-Ponderacion'!$C$9:$C$13)-MIN(ROW('[4]INFO-Ponderacion'!$C$9:$C$13))+1),
         ROWS($Z$1:Z147)
      )
   ),
"")</f>
        <v/>
      </c>
    </row>
    <row r="156" spans="1:15" ht="30" customHeight="1">
      <c r="A156" s="136"/>
      <c r="B156" s="375"/>
      <c r="C156" s="372"/>
      <c r="D156" s="195" t="s">
        <v>82</v>
      </c>
      <c r="E156" s="194"/>
      <c r="F156" s="150" t="s">
        <v>79</v>
      </c>
      <c r="G156" s="197">
        <v>0</v>
      </c>
      <c r="H156" s="369"/>
      <c r="I156" s="370"/>
      <c r="J156" s="136"/>
      <c r="N156" t="str">
        <f t="array" ref="N156">IFERROR(
   INDEX($B$9:$B$188,
      SMALL(
         IF($B$9:$B$188&lt;&gt;"",ROW($B$9:$B$188)-MIN(ROW($B$9:$B$188))+1),
         ROWS($Z$1:Z148)
      )
   ),
"")</f>
        <v/>
      </c>
      <c r="O156" t="str">
        <f t="array" ref="O156">IFERROR(
   INDEX('[4]INFO-Ponderacion'!$C$9:$C$13,
      SMALL(
         IF('[4]INFO-Ponderacion'!$C$9:$C$13&lt;&gt;"",ROW('[4]INFO-Ponderacion'!$C$9:$C$13)-MIN(ROW('[4]INFO-Ponderacion'!$C$9:$C$13))+1),
         ROWS($Z$1:Z148)
      )
   ),
"")</f>
        <v/>
      </c>
    </row>
    <row r="157" spans="1:15" ht="30" customHeight="1">
      <c r="A157" s="136"/>
      <c r="B157" s="375"/>
      <c r="C157" s="372"/>
      <c r="D157" s="195" t="s">
        <v>83</v>
      </c>
      <c r="E157" s="194"/>
      <c r="F157" s="150" t="s">
        <v>84</v>
      </c>
      <c r="G157" s="195">
        <f>INDEX('INFO-OEE'!$E$18:$CL$18,
        MATCH(B153, 'INFO-OEE'!$E$9:$CL$9, 0)) * 12</f>
        <v>1689.6000000000001</v>
      </c>
      <c r="H157" s="369"/>
      <c r="I157" s="370"/>
      <c r="J157" s="136"/>
      <c r="N157" t="str">
        <f t="array" ref="N157">IFERROR(
   INDEX($B$9:$B$188,
      SMALL(
         IF($B$9:$B$188&lt;&gt;"",ROW($B$9:$B$188)-MIN(ROW($B$9:$B$188))+1),
         ROWS($Z$1:Z149)
      )
   ),
"")</f>
        <v/>
      </c>
      <c r="O157" t="str">
        <f t="array" ref="O157">IFERROR(
   INDEX('[4]INFO-Ponderacion'!$C$9:$C$13,
      SMALL(
         IF('[4]INFO-Ponderacion'!$C$9:$C$13&lt;&gt;"",ROW('[4]INFO-Ponderacion'!$C$9:$C$13)-MIN(ROW('[4]INFO-Ponderacion'!$C$9:$C$13))+1),
         ROWS($Z$1:Z149)
      )
   ),
"")</f>
        <v/>
      </c>
    </row>
    <row r="158" spans="1:15" ht="30" customHeight="1">
      <c r="A158" s="136"/>
      <c r="B158" s="375"/>
      <c r="C158" s="372"/>
      <c r="D158" s="195" t="s">
        <v>85</v>
      </c>
      <c r="E158" s="194"/>
      <c r="F158" s="150" t="s">
        <v>86</v>
      </c>
      <c r="G158" s="198"/>
      <c r="H158" s="369"/>
      <c r="I158" s="370"/>
      <c r="J158" s="136"/>
      <c r="N158" t="str">
        <f t="array" ref="N158">IFERROR(
   INDEX($B$9:$B$188,
      SMALL(
         IF($B$9:$B$188&lt;&gt;"",ROW($B$9:$B$188)-MIN(ROW($B$9:$B$188))+1),
         ROWS($Z$1:Z150)
      )
   ),
"")</f>
        <v/>
      </c>
      <c r="O158" t="str">
        <f t="array" ref="O158">IFERROR(
   INDEX('[4]INFO-Ponderacion'!$C$9:$C$13,
      SMALL(
         IF('[4]INFO-Ponderacion'!$C$9:$C$13&lt;&gt;"",ROW('[4]INFO-Ponderacion'!$C$9:$C$13)-MIN(ROW('[4]INFO-Ponderacion'!$C$9:$C$13))+1),
         ROWS($Z$1:Z150)
      )
   ),
"")</f>
        <v/>
      </c>
    </row>
    <row r="159" spans="1:15" ht="30" customHeight="1">
      <c r="A159" s="136"/>
      <c r="B159" s="375" t="str">
        <f>'LAVADO MANUAL PMT25-36'!C3</f>
        <v>LAVADO MANUAL PMT25-36</v>
      </c>
      <c r="C159" s="372" t="s">
        <v>77</v>
      </c>
      <c r="D159" s="195" t="s">
        <v>78</v>
      </c>
      <c r="E159" s="194"/>
      <c r="F159" s="150" t="s">
        <v>79</v>
      </c>
      <c r="G159" s="198"/>
      <c r="H159" s="369"/>
      <c r="I159" s="370"/>
      <c r="J159" s="136"/>
      <c r="N159" t="str">
        <f t="array" ref="N159">IFERROR(
   INDEX($B$9:$B$188,
      SMALL(
         IF($B$9:$B$188&lt;&gt;"",ROW($B$9:$B$188)-MIN(ROW($B$9:$B$188))+1),
         ROWS($Z$1:Z151)
      )
   ),
"")</f>
        <v/>
      </c>
      <c r="O159" t="str">
        <f t="array" ref="O159">IFERROR(
   INDEX('[4]INFO-Ponderacion'!$C$9:$C$13,
      SMALL(
         IF('[4]INFO-Ponderacion'!$C$9:$C$13&lt;&gt;"",ROW('[4]INFO-Ponderacion'!$C$9:$C$13)-MIN(ROW('[4]INFO-Ponderacion'!$C$9:$C$13))+1),
         ROWS($Z$1:Z151)
      )
   ),
"")</f>
        <v/>
      </c>
    </row>
    <row r="160" spans="1:15" ht="30" customHeight="1">
      <c r="A160" s="136"/>
      <c r="B160" s="375"/>
      <c r="C160" s="372"/>
      <c r="D160" s="195" t="s">
        <v>136</v>
      </c>
      <c r="E160" s="194"/>
      <c r="F160" s="196" t="s">
        <v>137</v>
      </c>
      <c r="G160" s="199"/>
      <c r="H160" s="192"/>
      <c r="I160" s="193"/>
      <c r="J160" s="136"/>
      <c r="N160" t="str">
        <f t="array" ref="N160">IFERROR(
   INDEX($B$9:$B$188,
      SMALL(
         IF($B$9:$B$188&lt;&gt;"",ROW($B$9:$B$188)-MIN(ROW($B$9:$B$188))+1),
         ROWS($Z$1:Z152)
      )
   ),
"")</f>
        <v/>
      </c>
      <c r="O160" t="str">
        <f t="array" ref="O160">IFERROR(
   INDEX('[4]INFO-Ponderacion'!$C$9:$C$13,
      SMALL(
         IF('[4]INFO-Ponderacion'!$C$9:$C$13&lt;&gt;"",ROW('[4]INFO-Ponderacion'!$C$9:$C$13)-MIN(ROW('[4]INFO-Ponderacion'!$C$9:$C$13))+1),
         ROWS($Z$1:Z152)
      )
   ),
"")</f>
        <v/>
      </c>
    </row>
    <row r="161" spans="1:15" ht="30" customHeight="1">
      <c r="A161" s="136"/>
      <c r="B161" s="375"/>
      <c r="C161" s="372"/>
      <c r="D161" s="195" t="s">
        <v>80</v>
      </c>
      <c r="E161" s="194"/>
      <c r="F161" s="151" t="s">
        <v>81</v>
      </c>
      <c r="G161" s="200"/>
      <c r="H161" s="376"/>
      <c r="I161" s="377"/>
      <c r="J161" s="136"/>
      <c r="N161" t="str">
        <f t="array" ref="N161">IFERROR(
   INDEX($B$9:$B$188,
      SMALL(
         IF($B$9:$B$188&lt;&gt;"",ROW($B$9:$B$188)-MIN(ROW($B$9:$B$188))+1),
         ROWS($Z$1:Z153)
      )
   ),
"")</f>
        <v/>
      </c>
      <c r="O161" t="str">
        <f t="array" ref="O161">IFERROR(
   INDEX('[4]INFO-Ponderacion'!$C$9:$C$13,
      SMALL(
         IF('[4]INFO-Ponderacion'!$C$9:$C$13&lt;&gt;"",ROW('[4]INFO-Ponderacion'!$C$9:$C$13)-MIN(ROW('[4]INFO-Ponderacion'!$C$9:$C$13))+1),
         ROWS($Z$1:Z153)
      )
   ),
"")</f>
        <v/>
      </c>
    </row>
    <row r="162" spans="1:15" ht="30" customHeight="1">
      <c r="A162" s="136"/>
      <c r="B162" s="375"/>
      <c r="C162" s="372"/>
      <c r="D162" s="195" t="s">
        <v>82</v>
      </c>
      <c r="E162" s="194"/>
      <c r="F162" s="150" t="s">
        <v>79</v>
      </c>
      <c r="G162" s="197">
        <v>0</v>
      </c>
      <c r="H162" s="369"/>
      <c r="I162" s="370"/>
      <c r="J162" s="136"/>
      <c r="N162" t="str">
        <f t="array" ref="N162">IFERROR(
   INDEX($B$9:$B$188,
      SMALL(
         IF($B$9:$B$188&lt;&gt;"",ROW($B$9:$B$188)-MIN(ROW($B$9:$B$188))+1),
         ROWS($Z$1:Z154)
      )
   ),
"")</f>
        <v/>
      </c>
      <c r="O162" t="str">
        <f t="array" ref="O162">IFERROR(
   INDEX('[4]INFO-Ponderacion'!$C$9:$C$13,
      SMALL(
         IF('[4]INFO-Ponderacion'!$C$9:$C$13&lt;&gt;"",ROW('[4]INFO-Ponderacion'!$C$9:$C$13)-MIN(ROW('[4]INFO-Ponderacion'!$C$9:$C$13))+1),
         ROWS($Z$1:Z154)
      )
   ),
"")</f>
        <v/>
      </c>
    </row>
    <row r="163" spans="1:15" ht="30" customHeight="1">
      <c r="A163" s="136"/>
      <c r="B163" s="375"/>
      <c r="C163" s="372"/>
      <c r="D163" s="195" t="s">
        <v>83</v>
      </c>
      <c r="E163" s="194"/>
      <c r="F163" s="150" t="s">
        <v>84</v>
      </c>
      <c r="G163" s="195">
        <f>INDEX('INFO-OEE'!$E$18:$CL$18,
        MATCH(B159, 'INFO-OEE'!$E$9:$CL$9, 0)) * 12</f>
        <v>1689.6000000000001</v>
      </c>
      <c r="H163" s="369"/>
      <c r="I163" s="370"/>
      <c r="J163" s="136"/>
      <c r="N163" t="str">
        <f t="array" ref="N163">IFERROR(
   INDEX($B$9:$B$188,
      SMALL(
         IF($B$9:$B$188&lt;&gt;"",ROW($B$9:$B$188)-MIN(ROW($B$9:$B$188))+1),
         ROWS($Z$1:Z155)
      )
   ),
"")</f>
        <v/>
      </c>
      <c r="O163" t="str">
        <f t="array" ref="O163">IFERROR(
   INDEX('[4]INFO-Ponderacion'!$C$9:$C$13,
      SMALL(
         IF('[4]INFO-Ponderacion'!$C$9:$C$13&lt;&gt;"",ROW('[4]INFO-Ponderacion'!$C$9:$C$13)-MIN(ROW('[4]INFO-Ponderacion'!$C$9:$C$13))+1),
         ROWS($Z$1:Z155)
      )
   ),
"")</f>
        <v/>
      </c>
    </row>
    <row r="164" spans="1:15" ht="30" customHeight="1">
      <c r="A164" s="136"/>
      <c r="B164" s="375"/>
      <c r="C164" s="372"/>
      <c r="D164" s="195" t="s">
        <v>85</v>
      </c>
      <c r="E164" s="194"/>
      <c r="F164" s="150" t="s">
        <v>86</v>
      </c>
      <c r="G164" s="198"/>
      <c r="H164" s="369"/>
      <c r="I164" s="370"/>
      <c r="J164" s="136"/>
      <c r="N164" t="str">
        <f t="array" ref="N164">IFERROR(
   INDEX($B$9:$B$188,
      SMALL(
         IF($B$9:$B$188&lt;&gt;"",ROW($B$9:$B$188)-MIN(ROW($B$9:$B$188))+1),
         ROWS($Z$1:Z156)
      )
   ),
"")</f>
        <v/>
      </c>
      <c r="O164" t="str">
        <f t="array" ref="O164">IFERROR(
   INDEX('[4]INFO-Ponderacion'!$C$9:$C$13,
      SMALL(
         IF('[4]INFO-Ponderacion'!$C$9:$C$13&lt;&gt;"",ROW('[4]INFO-Ponderacion'!$C$9:$C$13)-MIN(ROW('[4]INFO-Ponderacion'!$C$9:$C$13))+1),
         ROWS($Z$1:Z156)
      )
   ),
"")</f>
        <v/>
      </c>
    </row>
    <row r="165" spans="1:15" ht="30" customHeight="1">
      <c r="A165" s="136"/>
      <c r="B165" s="375" t="str">
        <f>'HERMANADORA MANUAL IM248'!C3</f>
        <v>HERMANADORA MANUAL IM248</v>
      </c>
      <c r="C165" s="372" t="s">
        <v>77</v>
      </c>
      <c r="D165" s="195" t="s">
        <v>78</v>
      </c>
      <c r="E165" s="194"/>
      <c r="F165" s="150" t="s">
        <v>79</v>
      </c>
      <c r="G165" s="198"/>
      <c r="H165" s="369"/>
      <c r="I165" s="370"/>
      <c r="J165" s="136"/>
      <c r="N165" t="str">
        <f t="array" ref="N165">IFERROR(
   INDEX($B$9:$B$188,
      SMALL(
         IF($B$9:$B$188&lt;&gt;"",ROW($B$9:$B$188)-MIN(ROW($B$9:$B$188))+1),
         ROWS($Z$1:Z157)
      )
   ),
"")</f>
        <v/>
      </c>
      <c r="O165" t="str">
        <f t="array" ref="O165">IFERROR(
   INDEX('[4]INFO-Ponderacion'!$C$9:$C$13,
      SMALL(
         IF('[4]INFO-Ponderacion'!$C$9:$C$13&lt;&gt;"",ROW('[4]INFO-Ponderacion'!$C$9:$C$13)-MIN(ROW('[4]INFO-Ponderacion'!$C$9:$C$13))+1),
         ROWS($Z$1:Z157)
      )
   ),
"")</f>
        <v/>
      </c>
    </row>
    <row r="166" spans="1:15" ht="30" customHeight="1">
      <c r="A166" s="136"/>
      <c r="B166" s="375"/>
      <c r="C166" s="372"/>
      <c r="D166" s="195" t="s">
        <v>136</v>
      </c>
      <c r="E166" s="194"/>
      <c r="F166" s="196" t="s">
        <v>137</v>
      </c>
      <c r="G166" s="199"/>
      <c r="H166" s="192"/>
      <c r="I166" s="193"/>
      <c r="J166" s="136"/>
      <c r="N166" t="str">
        <f t="array" ref="N166">IFERROR(
   INDEX($B$9:$B$188,
      SMALL(
         IF($B$9:$B$188&lt;&gt;"",ROW($B$9:$B$188)-MIN(ROW($B$9:$B$188))+1),
         ROWS($Z$1:Z158)
      )
   ),
"")</f>
        <v/>
      </c>
      <c r="O166" t="str">
        <f t="array" ref="O166">IFERROR(
   INDEX('[4]INFO-Ponderacion'!$C$9:$C$13,
      SMALL(
         IF('[4]INFO-Ponderacion'!$C$9:$C$13&lt;&gt;"",ROW('[4]INFO-Ponderacion'!$C$9:$C$13)-MIN(ROW('[4]INFO-Ponderacion'!$C$9:$C$13))+1),
         ROWS($Z$1:Z158)
      )
   ),
"")</f>
        <v/>
      </c>
    </row>
    <row r="167" spans="1:15" ht="30" customHeight="1">
      <c r="A167" s="136"/>
      <c r="B167" s="375"/>
      <c r="C167" s="372"/>
      <c r="D167" s="195" t="s">
        <v>80</v>
      </c>
      <c r="E167" s="194"/>
      <c r="F167" s="151" t="s">
        <v>81</v>
      </c>
      <c r="G167" s="200"/>
      <c r="H167" s="376"/>
      <c r="I167" s="377"/>
      <c r="J167" s="136"/>
      <c r="N167" t="str">
        <f t="array" ref="N167">IFERROR(
   INDEX($B$9:$B$188,
      SMALL(
         IF($B$9:$B$188&lt;&gt;"",ROW($B$9:$B$188)-MIN(ROW($B$9:$B$188))+1),
         ROWS($Z$1:Z159)
      )
   ),
"")</f>
        <v/>
      </c>
      <c r="O167" t="str">
        <f t="array" ref="O167">IFERROR(
   INDEX('[4]INFO-Ponderacion'!$C$9:$C$13,
      SMALL(
         IF('[4]INFO-Ponderacion'!$C$9:$C$13&lt;&gt;"",ROW('[4]INFO-Ponderacion'!$C$9:$C$13)-MIN(ROW('[4]INFO-Ponderacion'!$C$9:$C$13))+1),
         ROWS($Z$1:Z159)
      )
   ),
"")</f>
        <v/>
      </c>
    </row>
    <row r="168" spans="1:15" ht="30" customHeight="1">
      <c r="A168" s="136"/>
      <c r="B168" s="375"/>
      <c r="C168" s="372"/>
      <c r="D168" s="195" t="s">
        <v>82</v>
      </c>
      <c r="E168" s="194"/>
      <c r="F168" s="150" t="s">
        <v>79</v>
      </c>
      <c r="G168" s="197">
        <v>0</v>
      </c>
      <c r="H168" s="369"/>
      <c r="I168" s="370"/>
      <c r="J168" s="136"/>
      <c r="N168" t="str">
        <f t="array" ref="N168">IFERROR(
   INDEX($B$9:$B$188,
      SMALL(
         IF($B$9:$B$188&lt;&gt;"",ROW($B$9:$B$188)-MIN(ROW($B$9:$B$188))+1),
         ROWS($Z$1:Z160)
      )
   ),
"")</f>
        <v/>
      </c>
      <c r="O168" t="str">
        <f t="array" ref="O168">IFERROR(
   INDEX('[4]INFO-Ponderacion'!$C$9:$C$13,
      SMALL(
         IF('[4]INFO-Ponderacion'!$C$9:$C$13&lt;&gt;"",ROW('[4]INFO-Ponderacion'!$C$9:$C$13)-MIN(ROW('[4]INFO-Ponderacion'!$C$9:$C$13))+1),
         ROWS($Z$1:Z160)
      )
   ),
"")</f>
        <v/>
      </c>
    </row>
    <row r="169" spans="1:15" ht="30" customHeight="1">
      <c r="A169" s="136"/>
      <c r="B169" s="375"/>
      <c r="C169" s="372"/>
      <c r="D169" s="195" t="s">
        <v>83</v>
      </c>
      <c r="E169" s="194"/>
      <c r="F169" s="150" t="s">
        <v>84</v>
      </c>
      <c r="G169" s="195">
        <f>INDEX('INFO-OEE'!$E$18:$CL$18,
        MATCH(B165, 'INFO-OEE'!$E$9:$CL$9, 0)) * 12</f>
        <v>1689.6000000000001</v>
      </c>
      <c r="H169" s="369"/>
      <c r="I169" s="370"/>
      <c r="J169" s="136"/>
      <c r="N169" t="str">
        <f t="array" ref="N169">IFERROR(
   INDEX($B$9:$B$188,
      SMALL(
         IF($B$9:$B$188&lt;&gt;"",ROW($B$9:$B$188)-MIN(ROW($B$9:$B$188))+1),
         ROWS($Z$1:Z161)
      )
   ),
"")</f>
        <v/>
      </c>
      <c r="O169" t="str">
        <f t="array" ref="O169">IFERROR(
   INDEX('[4]INFO-Ponderacion'!$C$9:$C$13,
      SMALL(
         IF('[4]INFO-Ponderacion'!$C$9:$C$13&lt;&gt;"",ROW('[4]INFO-Ponderacion'!$C$9:$C$13)-MIN(ROW('[4]INFO-Ponderacion'!$C$9:$C$13))+1),
         ROWS($Z$1:Z161)
      )
   ),
"")</f>
        <v/>
      </c>
    </row>
    <row r="170" spans="1:15" ht="30" customHeight="1">
      <c r="A170" s="136"/>
      <c r="B170" s="375"/>
      <c r="C170" s="372"/>
      <c r="D170" s="195" t="s">
        <v>85</v>
      </c>
      <c r="E170" s="194"/>
      <c r="F170" s="150" t="s">
        <v>86</v>
      </c>
      <c r="G170" s="198"/>
      <c r="H170" s="369"/>
      <c r="I170" s="370"/>
      <c r="J170" s="136"/>
      <c r="N170" t="str">
        <f t="array" ref="N170">IFERROR(
   INDEX($B$9:$B$188,
      SMALL(
         IF($B$9:$B$188&lt;&gt;"",ROW($B$9:$B$188)-MIN(ROW($B$9:$B$188))+1),
         ROWS($Z$1:Z162)
      )
   ),
"")</f>
        <v/>
      </c>
      <c r="O170" t="str">
        <f t="array" ref="O170">IFERROR(
   INDEX('[4]INFO-Ponderacion'!$C$9:$C$13,
      SMALL(
         IF('[4]INFO-Ponderacion'!$C$9:$C$13&lt;&gt;"",ROW('[4]INFO-Ponderacion'!$C$9:$C$13)-MIN(ROW('[4]INFO-Ponderacion'!$C$9:$C$13))+1),
         ROWS($Z$1:Z162)
      )
   ),
"")</f>
        <v/>
      </c>
    </row>
    <row r="171" spans="1:15" ht="30" customHeight="1">
      <c r="A171" s="136"/>
      <c r="B171" s="375" t="str">
        <f>'RADIAL X095A'!C3</f>
        <v>RADIAL X095A</v>
      </c>
      <c r="C171" s="372" t="s">
        <v>77</v>
      </c>
      <c r="D171" s="195" t="s">
        <v>78</v>
      </c>
      <c r="E171" s="194"/>
      <c r="F171" s="150" t="s">
        <v>79</v>
      </c>
      <c r="G171" s="198"/>
      <c r="H171" s="369"/>
      <c r="I171" s="370"/>
      <c r="J171" s="136"/>
      <c r="N171" t="str">
        <f t="array" ref="N171">IFERROR(
   INDEX($B$9:$B$188,
      SMALL(
         IF($B$9:$B$188&lt;&gt;"",ROW($B$9:$B$188)-MIN(ROW($B$9:$B$188))+1),
         ROWS($Z$1:Z163)
      )
   ),
"")</f>
        <v/>
      </c>
      <c r="O171" t="str">
        <f t="array" ref="O171">IFERROR(
   INDEX('[4]INFO-Ponderacion'!$C$9:$C$13,
      SMALL(
         IF('[4]INFO-Ponderacion'!$C$9:$C$13&lt;&gt;"",ROW('[4]INFO-Ponderacion'!$C$9:$C$13)-MIN(ROW('[4]INFO-Ponderacion'!$C$9:$C$13))+1),
         ROWS($Z$1:Z163)
      )
   ),
"")</f>
        <v/>
      </c>
    </row>
    <row r="172" spans="1:15" ht="30" customHeight="1">
      <c r="A172" s="136"/>
      <c r="B172" s="375"/>
      <c r="C172" s="372"/>
      <c r="D172" s="195" t="s">
        <v>136</v>
      </c>
      <c r="E172" s="194"/>
      <c r="F172" s="196" t="s">
        <v>137</v>
      </c>
      <c r="G172" s="199"/>
      <c r="H172" s="192"/>
      <c r="I172" s="193"/>
      <c r="J172" s="136"/>
      <c r="N172" t="str">
        <f t="array" ref="N172">IFERROR(
   INDEX($B$9:$B$188,
      SMALL(
         IF($B$9:$B$188&lt;&gt;"",ROW($B$9:$B$188)-MIN(ROW($B$9:$B$188))+1),
         ROWS($Z$1:Z164)
      )
   ),
"")</f>
        <v/>
      </c>
      <c r="O172" t="str">
        <f t="array" ref="O172">IFERROR(
   INDEX('[4]INFO-Ponderacion'!$C$9:$C$13,
      SMALL(
         IF('[4]INFO-Ponderacion'!$C$9:$C$13&lt;&gt;"",ROW('[4]INFO-Ponderacion'!$C$9:$C$13)-MIN(ROW('[4]INFO-Ponderacion'!$C$9:$C$13))+1),
         ROWS($Z$1:Z164)
      )
   ),
"")</f>
        <v/>
      </c>
    </row>
    <row r="173" spans="1:15" ht="30" customHeight="1">
      <c r="A173" s="136"/>
      <c r="B173" s="375"/>
      <c r="C173" s="372"/>
      <c r="D173" s="195" t="s">
        <v>80</v>
      </c>
      <c r="E173" s="194"/>
      <c r="F173" s="151" t="s">
        <v>81</v>
      </c>
      <c r="G173" s="200"/>
      <c r="H173" s="376"/>
      <c r="I173" s="377"/>
      <c r="J173" s="136"/>
      <c r="N173" t="str">
        <f t="array" ref="N173">IFERROR(
   INDEX($B$9:$B$188,
      SMALL(
         IF($B$9:$B$188&lt;&gt;"",ROW($B$9:$B$188)-MIN(ROW($B$9:$B$188))+1),
         ROWS($Z$1:Z165)
      )
   ),
"")</f>
        <v/>
      </c>
      <c r="O173" t="str">
        <f t="array" ref="O173">IFERROR(
   INDEX('[4]INFO-Ponderacion'!$C$9:$C$13,
      SMALL(
         IF('[4]INFO-Ponderacion'!$C$9:$C$13&lt;&gt;"",ROW('[4]INFO-Ponderacion'!$C$9:$C$13)-MIN(ROW('[4]INFO-Ponderacion'!$C$9:$C$13))+1),
         ROWS($Z$1:Z165)
      )
   ),
"")</f>
        <v/>
      </c>
    </row>
    <row r="174" spans="1:15" ht="30" customHeight="1">
      <c r="A174" s="136"/>
      <c r="B174" s="375"/>
      <c r="C174" s="372"/>
      <c r="D174" s="195" t="s">
        <v>82</v>
      </c>
      <c r="E174" s="194"/>
      <c r="F174" s="150" t="s">
        <v>79</v>
      </c>
      <c r="G174" s="197">
        <v>0</v>
      </c>
      <c r="H174" s="369"/>
      <c r="I174" s="370"/>
      <c r="J174" s="136"/>
      <c r="N174" t="str">
        <f t="array" ref="N174">IFERROR(
   INDEX($B$9:$B$188,
      SMALL(
         IF($B$9:$B$188&lt;&gt;"",ROW($B$9:$B$188)-MIN(ROW($B$9:$B$188))+1),
         ROWS($Z$1:Z166)
      )
   ),
"")</f>
        <v/>
      </c>
      <c r="O174" t="str">
        <f t="array" ref="O174">IFERROR(
   INDEX('[4]INFO-Ponderacion'!$C$9:$C$13,
      SMALL(
         IF('[4]INFO-Ponderacion'!$C$9:$C$13&lt;&gt;"",ROW('[4]INFO-Ponderacion'!$C$9:$C$13)-MIN(ROW('[4]INFO-Ponderacion'!$C$9:$C$13))+1),
         ROWS($Z$1:Z166)
      )
   ),
"")</f>
        <v/>
      </c>
    </row>
    <row r="175" spans="1:15" ht="30" customHeight="1">
      <c r="A175" s="136"/>
      <c r="B175" s="375"/>
      <c r="C175" s="372"/>
      <c r="D175" s="195" t="s">
        <v>83</v>
      </c>
      <c r="E175" s="194"/>
      <c r="F175" s="150" t="s">
        <v>84</v>
      </c>
      <c r="G175" s="195">
        <f>INDEX('INFO-OEE'!$E$18:$CL$18,
        MATCH(B171, 'INFO-OEE'!$E$9:$CL$9, 0)) * 12</f>
        <v>1689.6000000000001</v>
      </c>
      <c r="H175" s="369"/>
      <c r="I175" s="370"/>
      <c r="J175" s="136"/>
      <c r="N175" t="str">
        <f t="array" ref="N175">IFERROR(
   INDEX($B$9:$B$188,
      SMALL(
         IF($B$9:$B$188&lt;&gt;"",ROW($B$9:$B$188)-MIN(ROW($B$9:$B$188))+1),
         ROWS($Z$1:Z167)
      )
   ),
"")</f>
        <v/>
      </c>
      <c r="O175" t="str">
        <f t="array" ref="O175">IFERROR(
   INDEX('[4]INFO-Ponderacion'!$C$9:$C$13,
      SMALL(
         IF('[4]INFO-Ponderacion'!$C$9:$C$13&lt;&gt;"",ROW('[4]INFO-Ponderacion'!$C$9:$C$13)-MIN(ROW('[4]INFO-Ponderacion'!$C$9:$C$13))+1),
         ROWS($Z$1:Z167)
      )
   ),
"")</f>
        <v/>
      </c>
    </row>
    <row r="176" spans="1:15" ht="30" customHeight="1">
      <c r="A176" s="136"/>
      <c r="B176" s="375"/>
      <c r="C176" s="372"/>
      <c r="D176" s="195" t="s">
        <v>85</v>
      </c>
      <c r="E176" s="194"/>
      <c r="F176" s="150" t="s">
        <v>86</v>
      </c>
      <c r="G176" s="198"/>
      <c r="H176" s="369"/>
      <c r="I176" s="370"/>
      <c r="J176" s="136"/>
      <c r="N176" t="str">
        <f t="array" ref="N176">IFERROR(
   INDEX($B$9:$B$188,
      SMALL(
         IF($B$9:$B$188&lt;&gt;"",ROW($B$9:$B$188)-MIN(ROW($B$9:$B$188))+1),
         ROWS($Z$1:Z168)
      )
   ),
"")</f>
        <v/>
      </c>
      <c r="O176" t="str">
        <f t="array" ref="O176">IFERROR(
   INDEX('[4]INFO-Ponderacion'!$C$9:$C$13,
      SMALL(
         IF('[4]INFO-Ponderacion'!$C$9:$C$13&lt;&gt;"",ROW('[4]INFO-Ponderacion'!$C$9:$C$13)-MIN(ROW('[4]INFO-Ponderacion'!$C$9:$C$13))+1),
         ROWS($Z$1:Z168)
      )
   ),
"")</f>
        <v/>
      </c>
    </row>
    <row r="177" spans="1:15" ht="30" customHeight="1">
      <c r="A177" s="136"/>
      <c r="B177" s="375" t="str">
        <f>'DESIMANTADOR NS-400-B1'!C3</f>
        <v>DESIMANTADOR NS-400-B1</v>
      </c>
      <c r="C177" s="372" t="s">
        <v>77</v>
      </c>
      <c r="D177" s="195" t="s">
        <v>78</v>
      </c>
      <c r="E177" s="194"/>
      <c r="F177" s="150" t="s">
        <v>79</v>
      </c>
      <c r="G177" s="198"/>
      <c r="H177" s="369"/>
      <c r="I177" s="370"/>
      <c r="J177" s="136"/>
      <c r="N177" t="str">
        <f t="array" ref="N177">IFERROR(
   INDEX($B$9:$B$188,
      SMALL(
         IF($B$9:$B$188&lt;&gt;"",ROW($B$9:$B$188)-MIN(ROW($B$9:$B$188))+1),
         ROWS($Z$1:Z169)
      )
   ),
"")</f>
        <v/>
      </c>
      <c r="O177" t="str">
        <f t="array" ref="O177">IFERROR(
   INDEX('[4]INFO-Ponderacion'!$C$9:$C$13,
      SMALL(
         IF('[4]INFO-Ponderacion'!$C$9:$C$13&lt;&gt;"",ROW('[4]INFO-Ponderacion'!$C$9:$C$13)-MIN(ROW('[4]INFO-Ponderacion'!$C$9:$C$13))+1),
         ROWS($Z$1:Z169)
      )
   ),
"")</f>
        <v/>
      </c>
    </row>
    <row r="178" spans="1:15" ht="30" customHeight="1">
      <c r="A178" s="136"/>
      <c r="B178" s="375"/>
      <c r="C178" s="372"/>
      <c r="D178" s="195" t="s">
        <v>136</v>
      </c>
      <c r="E178" s="194"/>
      <c r="F178" s="196" t="s">
        <v>137</v>
      </c>
      <c r="G178" s="199"/>
      <c r="H178" s="192"/>
      <c r="I178" s="193"/>
      <c r="J178" s="136"/>
      <c r="N178" t="str">
        <f t="array" ref="N178">IFERROR(
   INDEX($B$9:$B$188,
      SMALL(
         IF($B$9:$B$188&lt;&gt;"",ROW($B$9:$B$188)-MIN(ROW($B$9:$B$188))+1),
         ROWS($Z$1:Z170)
      )
   ),
"")</f>
        <v/>
      </c>
      <c r="O178" t="str">
        <f t="array" ref="O178">IFERROR(
   INDEX('[4]INFO-Ponderacion'!$C$9:$C$13,
      SMALL(
         IF('[4]INFO-Ponderacion'!$C$9:$C$13&lt;&gt;"",ROW('[4]INFO-Ponderacion'!$C$9:$C$13)-MIN(ROW('[4]INFO-Ponderacion'!$C$9:$C$13))+1),
         ROWS($Z$1:Z170)
      )
   ),
"")</f>
        <v/>
      </c>
    </row>
    <row r="179" spans="1:15" ht="27" customHeight="1">
      <c r="A179" s="136"/>
      <c r="B179" s="375"/>
      <c r="C179" s="372"/>
      <c r="D179" s="195" t="s">
        <v>80</v>
      </c>
      <c r="E179" s="194"/>
      <c r="F179" s="151" t="s">
        <v>81</v>
      </c>
      <c r="G179" s="200"/>
      <c r="H179" s="376"/>
      <c r="I179" s="377"/>
      <c r="J179" s="136"/>
      <c r="N179" t="str">
        <f t="array" ref="N179">IFERROR(
   INDEX($B$9:$B$188,
      SMALL(
         IF($B$9:$B$188&lt;&gt;"",ROW($B$9:$B$188)-MIN(ROW($B$9:$B$188))+1),
         ROWS($Z$1:Z171)
      )
   ),
"")</f>
        <v/>
      </c>
      <c r="O179" t="str">
        <f t="array" ref="O179">IFERROR(
   INDEX('[4]INFO-Ponderacion'!$C$9:$C$13,
      SMALL(
         IF('[4]INFO-Ponderacion'!$C$9:$C$13&lt;&gt;"",ROW('[4]INFO-Ponderacion'!$C$9:$C$13)-MIN(ROW('[4]INFO-Ponderacion'!$C$9:$C$13))+1),
         ROWS($Z$1:Z171)
      )
   ),
"")</f>
        <v/>
      </c>
    </row>
    <row r="180" spans="1:15" ht="30" customHeight="1">
      <c r="A180" s="136"/>
      <c r="B180" s="375"/>
      <c r="C180" s="372"/>
      <c r="D180" s="195" t="s">
        <v>82</v>
      </c>
      <c r="E180" s="194"/>
      <c r="F180" s="150" t="s">
        <v>79</v>
      </c>
      <c r="G180" s="197">
        <v>0</v>
      </c>
      <c r="H180" s="369"/>
      <c r="I180" s="370"/>
      <c r="J180" s="136"/>
      <c r="N180" t="str">
        <f t="array" ref="N180">IFERROR(
   INDEX($B$9:$B$188,
      SMALL(
         IF($B$9:$B$188&lt;&gt;"",ROW($B$9:$B$188)-MIN(ROW($B$9:$B$188))+1),
         ROWS($Z$1:Z172)
      )
   ),
"")</f>
        <v/>
      </c>
      <c r="O180" t="str">
        <f t="array" ref="O180">IFERROR(
   INDEX('[4]INFO-Ponderacion'!$C$9:$C$13,
      SMALL(
         IF('[4]INFO-Ponderacion'!$C$9:$C$13&lt;&gt;"",ROW('[4]INFO-Ponderacion'!$C$9:$C$13)-MIN(ROW('[4]INFO-Ponderacion'!$C$9:$C$13))+1),
         ROWS($Z$1:Z172)
      )
   ),
"")</f>
        <v/>
      </c>
    </row>
    <row r="181" spans="1:15" ht="30" customHeight="1">
      <c r="A181" s="136"/>
      <c r="B181" s="375"/>
      <c r="C181" s="372"/>
      <c r="D181" s="195" t="s">
        <v>83</v>
      </c>
      <c r="E181" s="194"/>
      <c r="F181" s="150" t="s">
        <v>84</v>
      </c>
      <c r="G181" s="195">
        <f>INDEX('INFO-OEE'!$E$18:$CL$18,
        MATCH(B177, 'INFO-OEE'!$E$9:$CL$9, 0)) * 12</f>
        <v>1689.6000000000001</v>
      </c>
      <c r="H181" s="369"/>
      <c r="I181" s="370"/>
      <c r="J181" s="136"/>
      <c r="N181" t="str">
        <f t="array" ref="N181">IFERROR(
   INDEX($B$9:$B$188,
      SMALL(
         IF($B$9:$B$188&lt;&gt;"",ROW($B$9:$B$188)-MIN(ROW($B$9:$B$188))+1),
         ROWS($Z$1:Z173)
      )
   ),
"")</f>
        <v/>
      </c>
      <c r="O181" t="str">
        <f t="array" ref="O181">IFERROR(
   INDEX('[4]INFO-Ponderacion'!$C$9:$C$13,
      SMALL(
         IF('[4]INFO-Ponderacion'!$C$9:$C$13&lt;&gt;"",ROW('[4]INFO-Ponderacion'!$C$9:$C$13)-MIN(ROW('[4]INFO-Ponderacion'!$C$9:$C$13))+1),
         ROWS($Z$1:Z173)
      )
   ),
"")</f>
        <v/>
      </c>
    </row>
    <row r="182" spans="1:15" ht="30" customHeight="1">
      <c r="A182" s="136"/>
      <c r="B182" s="375"/>
      <c r="C182" s="372"/>
      <c r="D182" s="195" t="s">
        <v>85</v>
      </c>
      <c r="E182" s="194"/>
      <c r="F182" s="150" t="s">
        <v>86</v>
      </c>
      <c r="G182" s="198"/>
      <c r="H182" s="369"/>
      <c r="I182" s="370"/>
      <c r="J182" s="136"/>
      <c r="N182" t="str">
        <f t="array" ref="N182">IFERROR(
   INDEX($B$9:$B$188,
      SMALL(
         IF($B$9:$B$188&lt;&gt;"",ROW($B$9:$B$188)-MIN(ROW($B$9:$B$188))+1),
         ROWS($Z$1:Z174)
      )
   ),
"")</f>
        <v/>
      </c>
      <c r="O182" t="str">
        <f t="array" ref="O182">IFERROR(
   INDEX('[4]INFO-Ponderacion'!$C$9:$C$13,
      SMALL(
         IF('[4]INFO-Ponderacion'!$C$9:$C$13&lt;&gt;"",ROW('[4]INFO-Ponderacion'!$C$9:$C$13)-MIN(ROW('[4]INFO-Ponderacion'!$C$9:$C$13))+1),
         ROWS($Z$1:Z174)
      )
   ),
"")</f>
        <v/>
      </c>
    </row>
    <row r="183" spans="1:15" ht="30" customHeight="1">
      <c r="A183" s="136"/>
      <c r="B183" s="375" t="str">
        <f>'LAVADORA GRANDE PMD-SJ'!C3</f>
        <v>LAVADORA GRANDE PMD-SJ</v>
      </c>
      <c r="C183" s="372" t="s">
        <v>77</v>
      </c>
      <c r="D183" s="195" t="s">
        <v>78</v>
      </c>
      <c r="E183" s="194"/>
      <c r="F183" s="150" t="s">
        <v>79</v>
      </c>
      <c r="G183" s="198"/>
      <c r="H183" s="369"/>
      <c r="I183" s="370"/>
      <c r="J183" s="136"/>
      <c r="N183" t="str">
        <f t="array" ref="N183">IFERROR(
   INDEX($B$9:$B$188,
      SMALL(
         IF($B$9:$B$188&lt;&gt;"",ROW($B$9:$B$188)-MIN(ROW($B$9:$B$188))+1),
         ROWS($Z$1:Z175)
      )
   ),
"")</f>
        <v/>
      </c>
      <c r="O183" t="str">
        <f t="array" ref="O183">IFERROR(
   INDEX('[4]INFO-Ponderacion'!$C$9:$C$13,
      SMALL(
         IF('[4]INFO-Ponderacion'!$C$9:$C$13&lt;&gt;"",ROW('[4]INFO-Ponderacion'!$C$9:$C$13)-MIN(ROW('[4]INFO-Ponderacion'!$C$9:$C$13))+1),
         ROWS($Z$1:Z175)
      )
   ),
"")</f>
        <v/>
      </c>
    </row>
    <row r="184" spans="1:15" ht="30" customHeight="1">
      <c r="A184" s="136"/>
      <c r="B184" s="375"/>
      <c r="C184" s="372"/>
      <c r="D184" s="195" t="s">
        <v>136</v>
      </c>
      <c r="E184" s="194"/>
      <c r="F184" s="196" t="s">
        <v>137</v>
      </c>
      <c r="G184" s="199"/>
      <c r="H184" s="192"/>
      <c r="I184" s="193"/>
      <c r="J184" s="136"/>
      <c r="N184" t="str">
        <f t="array" ref="N184">IFERROR(
   INDEX($B$9:$B$188,
      SMALL(
         IF($B$9:$B$188&lt;&gt;"",ROW($B$9:$B$188)-MIN(ROW($B$9:$B$188))+1),
         ROWS($Z$1:Z176)
      )
   ),
"")</f>
        <v/>
      </c>
      <c r="O184" t="str">
        <f t="array" ref="O184">IFERROR(
   INDEX('[4]INFO-Ponderacion'!$C$9:$C$13,
      SMALL(
         IF('[4]INFO-Ponderacion'!$C$9:$C$13&lt;&gt;"",ROW('[4]INFO-Ponderacion'!$C$9:$C$13)-MIN(ROW('[4]INFO-Ponderacion'!$C$9:$C$13))+1),
         ROWS($Z$1:Z176)
      )
   ),
"")</f>
        <v/>
      </c>
    </row>
    <row r="185" spans="1:15" ht="30" customHeight="1">
      <c r="A185" s="136"/>
      <c r="B185" s="375"/>
      <c r="C185" s="372"/>
      <c r="D185" s="195" t="s">
        <v>80</v>
      </c>
      <c r="E185" s="194"/>
      <c r="F185" s="151" t="s">
        <v>81</v>
      </c>
      <c r="G185" s="200"/>
      <c r="H185" s="376"/>
      <c r="I185" s="377"/>
      <c r="J185" s="136"/>
      <c r="N185" t="str">
        <f t="array" ref="N185">IFERROR(
   INDEX($B$9:$B$188,
      SMALL(
         IF($B$9:$B$188&lt;&gt;"",ROW($B$9:$B$188)-MIN(ROW($B$9:$B$188))+1),
         ROWS($Z$1:Z177)
      )
   ),
"")</f>
        <v/>
      </c>
      <c r="O185" t="str">
        <f t="array" ref="O185">IFERROR(
   INDEX('[4]INFO-Ponderacion'!$C$9:$C$13,
      SMALL(
         IF('[4]INFO-Ponderacion'!$C$9:$C$13&lt;&gt;"",ROW('[4]INFO-Ponderacion'!$C$9:$C$13)-MIN(ROW('[4]INFO-Ponderacion'!$C$9:$C$13))+1),
         ROWS($Z$1:Z177)
      )
   ),
"")</f>
        <v/>
      </c>
    </row>
    <row r="186" spans="1:15" ht="30" customHeight="1">
      <c r="A186" s="136"/>
      <c r="B186" s="375"/>
      <c r="C186" s="372"/>
      <c r="D186" s="195" t="s">
        <v>82</v>
      </c>
      <c r="E186" s="194"/>
      <c r="F186" s="150" t="s">
        <v>79</v>
      </c>
      <c r="G186" s="197">
        <v>0</v>
      </c>
      <c r="H186" s="369"/>
      <c r="I186" s="370"/>
      <c r="J186" s="136"/>
      <c r="N186" t="str">
        <f t="array" ref="N186">IFERROR(
   INDEX($B$9:$B$188,
      SMALL(
         IF($B$9:$B$188&lt;&gt;"",ROW($B$9:$B$188)-MIN(ROW($B$9:$B$188))+1),
         ROWS($Z$1:Z178)
      )
   ),
"")</f>
        <v/>
      </c>
      <c r="O186" t="str">
        <f t="array" ref="O186">IFERROR(
   INDEX('[4]INFO-Ponderacion'!$C$9:$C$13,
      SMALL(
         IF('[4]INFO-Ponderacion'!$C$9:$C$13&lt;&gt;"",ROW('[4]INFO-Ponderacion'!$C$9:$C$13)-MIN(ROW('[4]INFO-Ponderacion'!$C$9:$C$13))+1),
         ROWS($Z$1:Z178)
      )
   ),
"")</f>
        <v/>
      </c>
    </row>
    <row r="187" spans="1:15" ht="30" customHeight="1">
      <c r="A187" s="136"/>
      <c r="B187" s="375"/>
      <c r="C187" s="372"/>
      <c r="D187" s="195" t="s">
        <v>83</v>
      </c>
      <c r="E187" s="194"/>
      <c r="F187" s="150" t="s">
        <v>84</v>
      </c>
      <c r="G187" s="195">
        <f>INDEX('INFO-OEE'!$E$18:$CL$18,
        MATCH(B183, 'INFO-OEE'!$E$9:$CL$9, 0)) * 12</f>
        <v>1689.6000000000001</v>
      </c>
      <c r="H187" s="369"/>
      <c r="I187" s="370"/>
      <c r="J187" s="136"/>
      <c r="N187" t="str">
        <f t="array" ref="N187">IFERROR(
   INDEX($B$9:$B$188,
      SMALL(
         IF($B$9:$B$188&lt;&gt;"",ROW($B$9:$B$188)-MIN(ROW($B$9:$B$188))+1),
         ROWS($Z$1:Z179)
      )
   ),
"")</f>
        <v/>
      </c>
      <c r="O187" t="str">
        <f t="array" ref="O187">IFERROR(
   INDEX('[4]INFO-Ponderacion'!$C$9:$C$13,
      SMALL(
         IF('[4]INFO-Ponderacion'!$C$9:$C$13&lt;&gt;"",ROW('[4]INFO-Ponderacion'!$C$9:$C$13)-MIN(ROW('[4]INFO-Ponderacion'!$C$9:$C$13))+1),
         ROWS($Z$1:Z179)
      )
   ),
"")</f>
        <v/>
      </c>
    </row>
    <row r="188" spans="1:15" ht="30" customHeight="1">
      <c r="A188" s="136"/>
      <c r="B188" s="375"/>
      <c r="C188" s="372"/>
      <c r="D188" s="195" t="s">
        <v>85</v>
      </c>
      <c r="E188" s="194"/>
      <c r="F188" s="150" t="s">
        <v>86</v>
      </c>
      <c r="G188" s="198"/>
      <c r="H188" s="369"/>
      <c r="I188" s="370"/>
      <c r="J188" s="136"/>
      <c r="N188" t="str">
        <f t="array" ref="N188">IFERROR(
   INDEX($B$9:$B$188,
      SMALL(
         IF($B$9:$B$188&lt;&gt;"",ROW($B$9:$B$188)-MIN(ROW($B$9:$B$188))+1),
         ROWS($Z$1:Z180)
      )
   ),
"")</f>
        <v/>
      </c>
      <c r="O188" t="str">
        <f t="array" ref="O188">IFERROR(
   INDEX('[4]INFO-Ponderacion'!$C$9:$C$13,
      SMALL(
         IF('[4]INFO-Ponderacion'!$C$9:$C$13&lt;&gt;"",ROW('[4]INFO-Ponderacion'!$C$9:$C$13)-MIN(ROW('[4]INFO-Ponderacion'!$C$9:$C$13))+1),
         ROWS($Z$1:Z180)
      )
   ),
"")</f>
        <v/>
      </c>
    </row>
    <row r="189" spans="1:15" ht="30" customHeight="1">
      <c r="A189" s="136"/>
      <c r="B189" s="172"/>
      <c r="C189" s="173"/>
      <c r="D189" s="174"/>
      <c r="E189" s="174"/>
      <c r="F189" s="175"/>
      <c r="G189" s="176"/>
      <c r="H189" s="373"/>
      <c r="I189" s="374"/>
      <c r="J189" s="136"/>
    </row>
    <row r="190" spans="1:15" ht="30" customHeight="1">
      <c r="A190" s="136"/>
      <c r="B190" s="371" t="s">
        <v>138</v>
      </c>
      <c r="C190" s="372" t="s">
        <v>77</v>
      </c>
      <c r="D190" s="195" t="s">
        <v>78</v>
      </c>
      <c r="E190" s="194"/>
      <c r="F190" s="150" t="s">
        <v>79</v>
      </c>
      <c r="G190" s="198"/>
      <c r="H190" s="369"/>
      <c r="I190" s="370"/>
      <c r="J190" s="136"/>
      <c r="N190" t="str">
        <f t="array" ref="N190">IFERROR(
   INDEX($B$190:$B$219,
      SMALL(
         IF($B$190:$B$219&gt;"",ROW($B$190:$B$219)-MIN(ROW($B$190:$B$219))+1),
         ROWS($Z$1:Z1)
      )
   ),
"")</f>
        <v>Compresor</v>
      </c>
    </row>
    <row r="191" spans="1:15" ht="30" customHeight="1">
      <c r="A191" s="136"/>
      <c r="B191" s="371"/>
      <c r="C191" s="372"/>
      <c r="D191" s="195" t="s">
        <v>136</v>
      </c>
      <c r="E191" s="194"/>
      <c r="F191" s="196" t="s">
        <v>137</v>
      </c>
      <c r="G191" s="199"/>
      <c r="H191" s="369"/>
      <c r="I191" s="370"/>
      <c r="J191" s="136"/>
    </row>
    <row r="192" spans="1:15" ht="30" customHeight="1">
      <c r="A192" s="136"/>
      <c r="B192" s="371"/>
      <c r="C192" s="372"/>
      <c r="D192" s="195" t="s">
        <v>80</v>
      </c>
      <c r="E192" s="194"/>
      <c r="F192" s="151" t="s">
        <v>81</v>
      </c>
      <c r="G192" s="200"/>
      <c r="H192" s="369"/>
      <c r="I192" s="370"/>
      <c r="J192" s="136"/>
      <c r="N192" t="str">
        <f t="array" ref="N192">IFERROR(
   INDEX($B$190:$B$219,
      SMALL(
         IF($B$190:$B$219&gt;"",ROW($B$190:$B$219)-MIN(ROW($B$190:$B$219))+1),
         ROWS($Z$1:Z2)
      )
   ),
"")</f>
        <v>Caja de Herramientas</v>
      </c>
    </row>
    <row r="193" spans="1:14" ht="30" customHeight="1">
      <c r="A193" s="136"/>
      <c r="B193" s="371"/>
      <c r="C193" s="372"/>
      <c r="D193" s="195" t="s">
        <v>82</v>
      </c>
      <c r="E193" s="194"/>
      <c r="F193" s="150" t="s">
        <v>79</v>
      </c>
      <c r="G193" s="197">
        <v>0</v>
      </c>
      <c r="H193" s="369"/>
      <c r="I193" s="370"/>
      <c r="J193" s="136"/>
      <c r="N193" t="str">
        <f t="array" ref="N193">IFERROR(
   INDEX($B$190:$B$219,
      SMALL(
         IF($B$190:$B$219&gt;"",ROW($B$190:$B$219)-MIN(ROW($B$190:$B$219))+1),
         ROWS($Z$1:Z3)
      )
   ),
"")</f>
        <v>Herramienta 3</v>
      </c>
    </row>
    <row r="194" spans="1:14" ht="30" customHeight="1">
      <c r="A194" s="136"/>
      <c r="B194" s="371"/>
      <c r="C194" s="372"/>
      <c r="D194" s="195" t="s">
        <v>83</v>
      </c>
      <c r="E194" s="194"/>
      <c r="F194" s="150" t="s">
        <v>84</v>
      </c>
      <c r="G194" s="195">
        <f>160 * 12</f>
        <v>1920</v>
      </c>
      <c r="H194" s="369"/>
      <c r="I194" s="370"/>
      <c r="J194" s="136"/>
      <c r="N194" t="str">
        <f t="array" ref="N194">IFERROR(
   INDEX($B$190:$B$219,
      SMALL(
         IF($B$190:$B$219&gt;"",ROW($B$190:$B$219)-MIN(ROW($B$190:$B$219))+1),
         ROWS($Z$1:Z4)
      )
   ),
"")</f>
        <v>Herramienta 4</v>
      </c>
    </row>
    <row r="195" spans="1:14" ht="30" customHeight="1">
      <c r="A195" s="136"/>
      <c r="B195" s="371"/>
      <c r="C195" s="372"/>
      <c r="D195" s="195" t="s">
        <v>85</v>
      </c>
      <c r="E195" s="194"/>
      <c r="F195" s="150" t="s">
        <v>86</v>
      </c>
      <c r="G195" s="198"/>
      <c r="H195" s="369"/>
      <c r="I195" s="370"/>
      <c r="J195" s="136"/>
      <c r="N195" t="str">
        <f t="array" ref="N195">IFERROR(
   INDEX($B$190:$B$219,
      SMALL(
         IF($B$190:$B$219&gt;"",ROW($B$190:$B$219)-MIN(ROW($B$190:$B$219))+1),
         ROWS($Z$1:Z5)
      )
   ),
"")</f>
        <v>Herramienta 5</v>
      </c>
    </row>
    <row r="196" spans="1:14" ht="30" customHeight="1">
      <c r="A196" s="136"/>
      <c r="B196" s="371" t="s">
        <v>177</v>
      </c>
      <c r="C196" s="372" t="s">
        <v>77</v>
      </c>
      <c r="D196" s="195" t="s">
        <v>78</v>
      </c>
      <c r="E196" s="194"/>
      <c r="F196" s="150" t="s">
        <v>79</v>
      </c>
      <c r="G196" s="198"/>
      <c r="H196" s="369"/>
      <c r="I196" s="370"/>
      <c r="J196" s="136"/>
      <c r="N196" t="str">
        <f t="array" ref="N196">IFERROR(
   INDEX($B$190:$B$219,
      SMALL(
         IF($B$190:$B$219&gt;"",ROW($B$190:$B$219)-MIN(ROW($B$190:$B$219))+1),
         ROWS($Z$1:Z6)
      )
   ),
"")</f>
        <v/>
      </c>
    </row>
    <row r="197" spans="1:14" ht="30" customHeight="1">
      <c r="A197" s="136"/>
      <c r="B197" s="371"/>
      <c r="C197" s="372"/>
      <c r="D197" s="195" t="s">
        <v>136</v>
      </c>
      <c r="E197" s="194"/>
      <c r="F197" s="196" t="s">
        <v>137</v>
      </c>
      <c r="G197" s="199"/>
      <c r="H197" s="369"/>
      <c r="I197" s="370"/>
      <c r="J197" s="136"/>
    </row>
    <row r="198" spans="1:14" ht="30" customHeight="1">
      <c r="A198" s="136"/>
      <c r="B198" s="371"/>
      <c r="C198" s="372"/>
      <c r="D198" s="195" t="s">
        <v>80</v>
      </c>
      <c r="E198" s="194"/>
      <c r="F198" s="151" t="s">
        <v>81</v>
      </c>
      <c r="G198" s="200"/>
      <c r="H198" s="369"/>
      <c r="I198" s="370"/>
      <c r="J198" s="136"/>
      <c r="N198" t="str">
        <f t="array" ref="N198">IFERROR(
   INDEX($B$190:$B$219,
      SMALL(
         IF($B$190:$B$219&gt;"",ROW($B$190:$B$219)-MIN(ROW($B$190:$B$219))+1),
         ROWS($Z$1:Z7)
      )
   ),
"")</f>
        <v/>
      </c>
    </row>
    <row r="199" spans="1:14" ht="30" customHeight="1">
      <c r="A199" s="136"/>
      <c r="B199" s="371"/>
      <c r="C199" s="372"/>
      <c r="D199" s="195" t="s">
        <v>82</v>
      </c>
      <c r="E199" s="194"/>
      <c r="F199" s="150" t="s">
        <v>79</v>
      </c>
      <c r="G199" s="197">
        <v>0</v>
      </c>
      <c r="H199" s="369"/>
      <c r="I199" s="370"/>
      <c r="J199" s="136"/>
      <c r="N199" t="str">
        <f t="array" ref="N199">IFERROR(
   INDEX($B$190:$B$219,
      SMALL(
         IF($B$190:$B$219&gt;"",ROW($B$190:$B$219)-MIN(ROW($B$190:$B$219))+1),
         ROWS($Z$1:Z8)
      )
   ),
"")</f>
        <v/>
      </c>
    </row>
    <row r="200" spans="1:14" ht="30" customHeight="1">
      <c r="A200" s="136"/>
      <c r="B200" s="371"/>
      <c r="C200" s="372"/>
      <c r="D200" s="195" t="s">
        <v>83</v>
      </c>
      <c r="E200" s="194"/>
      <c r="F200" s="150" t="s">
        <v>84</v>
      </c>
      <c r="G200" s="195">
        <f>160 * 12</f>
        <v>1920</v>
      </c>
      <c r="H200" s="369"/>
      <c r="I200" s="370"/>
      <c r="J200" s="136"/>
      <c r="N200" t="str">
        <f t="array" ref="N200">IFERROR(
   INDEX($B$190:$B$219,
      SMALL(
         IF($B$190:$B$219&gt;"",ROW($B$190:$B$219)-MIN(ROW($B$190:$B$219))+1),
         ROWS($Z$1:Z9)
      )
   ),
"")</f>
        <v/>
      </c>
    </row>
    <row r="201" spans="1:14" ht="30" customHeight="1">
      <c r="A201" s="136"/>
      <c r="B201" s="371"/>
      <c r="C201" s="372"/>
      <c r="D201" s="195" t="s">
        <v>85</v>
      </c>
      <c r="E201" s="194"/>
      <c r="F201" s="150" t="s">
        <v>86</v>
      </c>
      <c r="G201" s="198"/>
      <c r="H201" s="369"/>
      <c r="I201" s="370"/>
      <c r="J201" s="136"/>
      <c r="N201" t="str">
        <f t="array" ref="N201">IFERROR(
   INDEX($B$190:$B$219,
      SMALL(
         IF($B$190:$B$219&gt;"",ROW($B$190:$B$219)-MIN(ROW($B$190:$B$219))+1),
         ROWS($Z$1:Z10)
      )
   ),
"")</f>
        <v/>
      </c>
    </row>
    <row r="202" spans="1:14" ht="30" customHeight="1">
      <c r="A202" s="136"/>
      <c r="B202" s="371" t="s">
        <v>104</v>
      </c>
      <c r="C202" s="372" t="s">
        <v>77</v>
      </c>
      <c r="D202" s="195" t="s">
        <v>78</v>
      </c>
      <c r="E202" s="194"/>
      <c r="F202" s="150" t="s">
        <v>79</v>
      </c>
      <c r="G202" s="198"/>
      <c r="H202" s="369"/>
      <c r="I202" s="370"/>
      <c r="J202" s="136"/>
      <c r="N202" t="str">
        <f t="array" ref="N202">IFERROR(
   INDEX($B$190:$B$219,
      SMALL(
         IF($B$190:$B$219&gt;"",ROW($B$190:$B$219)-MIN(ROW($B$190:$B$219))+1),
         ROWS($Z$1:Z11)
      )
   ),
"")</f>
        <v/>
      </c>
    </row>
    <row r="203" spans="1:14" ht="30" customHeight="1">
      <c r="A203" s="136"/>
      <c r="B203" s="371"/>
      <c r="C203" s="372"/>
      <c r="D203" s="195" t="s">
        <v>136</v>
      </c>
      <c r="E203" s="194"/>
      <c r="F203" s="196" t="s">
        <v>137</v>
      </c>
      <c r="G203" s="199"/>
      <c r="H203" s="369"/>
      <c r="I203" s="370"/>
      <c r="J203" s="136"/>
    </row>
    <row r="204" spans="1:14" ht="30" customHeight="1">
      <c r="A204" s="136"/>
      <c r="B204" s="371"/>
      <c r="C204" s="372"/>
      <c r="D204" s="195" t="s">
        <v>80</v>
      </c>
      <c r="E204" s="194"/>
      <c r="F204" s="151" t="s">
        <v>81</v>
      </c>
      <c r="G204" s="200"/>
      <c r="H204" s="369"/>
      <c r="I204" s="370"/>
      <c r="J204" s="136"/>
      <c r="N204" t="str">
        <f t="array" ref="N204">IFERROR(
   INDEX($B$190:$B$219,
      SMALL(
         IF($B$190:$B$219&gt;"",ROW($B$190:$B$219)-MIN(ROW($B$190:$B$219))+1),
         ROWS($Z$1:Z12)
      )
   ),
"")</f>
        <v/>
      </c>
    </row>
    <row r="205" spans="1:14" ht="30" customHeight="1">
      <c r="A205" s="136"/>
      <c r="B205" s="371"/>
      <c r="C205" s="372"/>
      <c r="D205" s="195" t="s">
        <v>82</v>
      </c>
      <c r="E205" s="194"/>
      <c r="F205" s="150" t="s">
        <v>79</v>
      </c>
      <c r="G205" s="197">
        <v>0</v>
      </c>
      <c r="H205" s="369"/>
      <c r="I205" s="370"/>
      <c r="J205" s="136"/>
      <c r="N205" t="str">
        <f t="array" ref="N205">IFERROR(
   INDEX($B$190:$B$219,
      SMALL(
         IF($B$190:$B$219&gt;"",ROW($B$190:$B$219)-MIN(ROW($B$190:$B$219))+1),
         ROWS($Z$1:Z13)
      )
   ),
"")</f>
        <v/>
      </c>
    </row>
    <row r="206" spans="1:14" ht="30" customHeight="1">
      <c r="A206" s="136"/>
      <c r="B206" s="371"/>
      <c r="C206" s="372"/>
      <c r="D206" s="195" t="s">
        <v>83</v>
      </c>
      <c r="E206" s="194"/>
      <c r="F206" s="150" t="s">
        <v>84</v>
      </c>
      <c r="G206" s="195">
        <f>160 * 12</f>
        <v>1920</v>
      </c>
      <c r="H206" s="369"/>
      <c r="I206" s="370"/>
      <c r="J206" s="136"/>
      <c r="N206" t="str">
        <f t="array" ref="N206">IFERROR(
   INDEX($B$190:$B$219,
      SMALL(
         IF($B$190:$B$219&gt;"",ROW($B$190:$B$219)-MIN(ROW($B$190:$B$219))+1),
         ROWS($Z$1:Z14)
      )
   ),
"")</f>
        <v/>
      </c>
    </row>
    <row r="207" spans="1:14" ht="30" customHeight="1">
      <c r="A207" s="136"/>
      <c r="B207" s="371"/>
      <c r="C207" s="372"/>
      <c r="D207" s="195" t="s">
        <v>85</v>
      </c>
      <c r="E207" s="194"/>
      <c r="F207" s="150" t="s">
        <v>86</v>
      </c>
      <c r="G207" s="198"/>
      <c r="H207" s="369"/>
      <c r="I207" s="370"/>
      <c r="J207" s="136"/>
      <c r="N207" t="str">
        <f t="array" ref="N207">IFERROR(
   INDEX($B$190:$B$219,
      SMALL(
         IF($B$190:$B$219&gt;"",ROW($B$190:$B$219)-MIN(ROW($B$190:$B$219))+1),
         ROWS($Z$1:Z15)
      )
   ),
"")</f>
        <v/>
      </c>
    </row>
    <row r="208" spans="1:14" ht="30" customHeight="1">
      <c r="A208" s="136"/>
      <c r="B208" s="371" t="s">
        <v>105</v>
      </c>
      <c r="C208" s="372" t="s">
        <v>77</v>
      </c>
      <c r="D208" s="195" t="s">
        <v>78</v>
      </c>
      <c r="E208" s="194"/>
      <c r="F208" s="150" t="s">
        <v>79</v>
      </c>
      <c r="G208" s="198"/>
      <c r="H208" s="369"/>
      <c r="I208" s="370"/>
      <c r="J208" s="136"/>
      <c r="N208" t="str">
        <f t="array" ref="N208">IFERROR(
   INDEX($B$190:$B$219,
      SMALL(
         IF($B$190:$B$219&gt;"",ROW($B$190:$B$219)-MIN(ROW($B$190:$B$219))+1),
         ROWS($Z$1:Z16)
      )
   ),
"")</f>
        <v/>
      </c>
    </row>
    <row r="209" spans="1:14" ht="30" customHeight="1">
      <c r="A209" s="136"/>
      <c r="B209" s="371"/>
      <c r="C209" s="372"/>
      <c r="D209" s="195" t="s">
        <v>136</v>
      </c>
      <c r="E209" s="194"/>
      <c r="F209" s="196" t="s">
        <v>137</v>
      </c>
      <c r="G209" s="199"/>
      <c r="H209" s="369"/>
      <c r="I209" s="370"/>
      <c r="J209" s="136"/>
    </row>
    <row r="210" spans="1:14" ht="30" customHeight="1">
      <c r="A210" s="136"/>
      <c r="B210" s="371"/>
      <c r="C210" s="372"/>
      <c r="D210" s="195" t="s">
        <v>80</v>
      </c>
      <c r="E210" s="194"/>
      <c r="F210" s="151" t="s">
        <v>81</v>
      </c>
      <c r="G210" s="200"/>
      <c r="H210" s="369"/>
      <c r="I210" s="370"/>
      <c r="J210" s="136"/>
      <c r="N210" t="str">
        <f t="array" ref="N210">IFERROR(
   INDEX($B$190:$B$219,
      SMALL(
         IF($B$190:$B$219&gt;"",ROW($B$190:$B$219)-MIN(ROW($B$190:$B$219))+1),
         ROWS($Z$1:Z17)
      )
   ),
"")</f>
        <v/>
      </c>
    </row>
    <row r="211" spans="1:14" ht="30" customHeight="1">
      <c r="A211" s="136"/>
      <c r="B211" s="371"/>
      <c r="C211" s="372"/>
      <c r="D211" s="195" t="s">
        <v>82</v>
      </c>
      <c r="E211" s="194"/>
      <c r="F211" s="150" t="s">
        <v>79</v>
      </c>
      <c r="G211" s="197">
        <v>0</v>
      </c>
      <c r="H211" s="369"/>
      <c r="I211" s="370"/>
      <c r="J211" s="136"/>
      <c r="N211" t="str">
        <f t="array" ref="N211">IFERROR(
   INDEX($B$190:$B$219,
      SMALL(
         IF($B$190:$B$219&gt;"",ROW($B$190:$B$219)-MIN(ROW($B$190:$B$219))+1),
         ROWS($Z$1:Z18)
      )
   ),
"")</f>
        <v/>
      </c>
    </row>
    <row r="212" spans="1:14" ht="30" customHeight="1">
      <c r="A212" s="136"/>
      <c r="B212" s="371"/>
      <c r="C212" s="372"/>
      <c r="D212" s="195" t="s">
        <v>83</v>
      </c>
      <c r="E212" s="194"/>
      <c r="F212" s="150" t="s">
        <v>84</v>
      </c>
      <c r="G212" s="195">
        <f>160 * 12</f>
        <v>1920</v>
      </c>
      <c r="H212" s="369"/>
      <c r="I212" s="370"/>
      <c r="J212" s="136"/>
      <c r="N212" t="str">
        <f t="array" ref="N212">IFERROR(
   INDEX($B$190:$B$219,
      SMALL(
         IF($B$190:$B$219&gt;"",ROW($B$190:$B$219)-MIN(ROW($B$190:$B$219))+1),
         ROWS($Z$1:Z19)
      )
   ),
"")</f>
        <v/>
      </c>
    </row>
    <row r="213" spans="1:14" ht="30" customHeight="1">
      <c r="A213" s="136"/>
      <c r="B213" s="371"/>
      <c r="C213" s="372"/>
      <c r="D213" s="195" t="s">
        <v>85</v>
      </c>
      <c r="E213" s="194"/>
      <c r="F213" s="150" t="s">
        <v>86</v>
      </c>
      <c r="G213" s="198"/>
      <c r="H213" s="369"/>
      <c r="I213" s="370"/>
      <c r="J213" s="136"/>
      <c r="N213" t="str">
        <f t="array" ref="N213">IFERROR(
   INDEX($B$190:$B$219,
      SMALL(
         IF($B$190:$B$219&gt;"",ROW($B$190:$B$219)-MIN(ROW($B$190:$B$219))+1),
         ROWS($Z$1:Z20)
      )
   ),
"")</f>
        <v/>
      </c>
    </row>
    <row r="214" spans="1:14" ht="30" customHeight="1">
      <c r="A214" s="136"/>
      <c r="B214" s="371" t="s">
        <v>135</v>
      </c>
      <c r="C214" s="372" t="s">
        <v>77</v>
      </c>
      <c r="D214" s="195" t="s">
        <v>78</v>
      </c>
      <c r="E214" s="194"/>
      <c r="F214" s="150" t="s">
        <v>79</v>
      </c>
      <c r="G214" s="198"/>
      <c r="H214" s="369"/>
      <c r="I214" s="370"/>
      <c r="J214" s="136"/>
      <c r="N214" t="str">
        <f t="array" ref="N214">IFERROR(
   INDEX($B$190:$B$219,
      SMALL(
         IF($B$190:$B$219&gt;"",ROW($B$190:$B$219)-MIN(ROW($B$190:$B$219))+1),
         ROWS($Z$1:Z21)
      )
   ),
"")</f>
        <v/>
      </c>
    </row>
    <row r="215" spans="1:14" ht="30" customHeight="1">
      <c r="A215" s="136"/>
      <c r="B215" s="371"/>
      <c r="C215" s="372"/>
      <c r="D215" s="195" t="s">
        <v>136</v>
      </c>
      <c r="E215" s="194"/>
      <c r="F215" s="196" t="s">
        <v>137</v>
      </c>
      <c r="G215" s="199"/>
      <c r="H215" s="369"/>
      <c r="I215" s="370"/>
      <c r="J215" s="136"/>
    </row>
    <row r="216" spans="1:14" ht="30" customHeight="1">
      <c r="A216" s="136"/>
      <c r="B216" s="371"/>
      <c r="C216" s="372"/>
      <c r="D216" s="195" t="s">
        <v>80</v>
      </c>
      <c r="E216" s="194"/>
      <c r="F216" s="151" t="s">
        <v>81</v>
      </c>
      <c r="G216" s="200"/>
      <c r="H216" s="369"/>
      <c r="I216" s="370"/>
      <c r="J216" s="136"/>
      <c r="N216" t="str">
        <f t="array" ref="N216">IFERROR(
   INDEX($B$190:$B$219,
      SMALL(
         IF($B$190:$B$219&gt;"",ROW($B$190:$B$219)-MIN(ROW($B$190:$B$219))+1),
         ROWS($Z$1:Z22)
      )
   ),
"")</f>
        <v/>
      </c>
    </row>
    <row r="217" spans="1:14" ht="30" customHeight="1">
      <c r="A217" s="136"/>
      <c r="B217" s="371"/>
      <c r="C217" s="372"/>
      <c r="D217" s="195" t="s">
        <v>82</v>
      </c>
      <c r="E217" s="194"/>
      <c r="F217" s="150" t="s">
        <v>79</v>
      </c>
      <c r="G217" s="197">
        <v>0</v>
      </c>
      <c r="H217" s="369"/>
      <c r="I217" s="370"/>
      <c r="J217" s="136"/>
      <c r="N217" t="str">
        <f t="array" ref="N217">IFERROR(
   INDEX($B$190:$B$219,
      SMALL(
         IF($B$190:$B$219&gt;"",ROW($B$190:$B$219)-MIN(ROW($B$190:$B$219))+1),
         ROWS($Z$1:Z23)
      )
   ),
"")</f>
        <v/>
      </c>
    </row>
    <row r="218" spans="1:14" ht="30" customHeight="1">
      <c r="A218" s="136"/>
      <c r="B218" s="371"/>
      <c r="C218" s="372"/>
      <c r="D218" s="195" t="s">
        <v>83</v>
      </c>
      <c r="E218" s="194"/>
      <c r="F218" s="150" t="s">
        <v>84</v>
      </c>
      <c r="G218" s="195">
        <f>160 * 12</f>
        <v>1920</v>
      </c>
      <c r="H218" s="369"/>
      <c r="I218" s="370"/>
      <c r="J218" s="136"/>
      <c r="N218" t="str">
        <f t="array" ref="N218">IFERROR(
   INDEX($B$190:$B$219,
      SMALL(
         IF($B$190:$B$219&gt;"",ROW($B$190:$B$219)-MIN(ROW($B$190:$B$219))+1),
         ROWS($Z$1:Z24)
      )
   ),
"")</f>
        <v/>
      </c>
    </row>
    <row r="219" spans="1:14" ht="30" customHeight="1">
      <c r="A219" s="136"/>
      <c r="B219" s="371"/>
      <c r="C219" s="372"/>
      <c r="D219" s="195" t="s">
        <v>85</v>
      </c>
      <c r="E219" s="194"/>
      <c r="F219" s="150" t="s">
        <v>86</v>
      </c>
      <c r="G219" s="198"/>
      <c r="H219" s="369"/>
      <c r="I219" s="370"/>
      <c r="J219" s="136"/>
      <c r="N219" t="str">
        <f t="array" ref="N219">IFERROR(
   INDEX($B$190:$B$219,
      SMALL(
         IF($B$190:$B$219&gt;"",ROW($B$190:$B$219)-MIN(ROW($B$190:$B$219))+1),
         ROWS($Z$1:Z25)
      )
   ),
"")</f>
        <v/>
      </c>
    </row>
    <row r="220" spans="1:14" ht="30" customHeight="1">
      <c r="A220" s="136"/>
      <c r="B220" s="177"/>
      <c r="C220" s="166"/>
      <c r="D220" s="166"/>
      <c r="E220" s="166"/>
      <c r="F220" s="147"/>
      <c r="G220" s="30"/>
      <c r="H220" s="166"/>
      <c r="I220" s="31"/>
      <c r="J220" s="136"/>
    </row>
    <row r="221" spans="1:14" ht="30" customHeight="1">
      <c r="A221" s="136"/>
      <c r="B221" s="146"/>
      <c r="C221" s="147"/>
      <c r="D221" s="329"/>
      <c r="E221" s="329"/>
      <c r="F221" s="30"/>
      <c r="G221" s="30"/>
      <c r="H221" s="149"/>
      <c r="I221" s="145"/>
      <c r="J221" s="136"/>
    </row>
    <row r="222" spans="1:14" ht="30" customHeight="1">
      <c r="A222" s="136"/>
      <c r="B222" s="153" t="s">
        <v>39</v>
      </c>
      <c r="C222" s="330"/>
      <c r="D222" s="330"/>
      <c r="E222" s="154" t="s">
        <v>23</v>
      </c>
      <c r="F222" s="368"/>
      <c r="G222" s="368"/>
      <c r="H222" s="141"/>
      <c r="I222" s="178"/>
      <c r="J222" s="136"/>
    </row>
    <row r="223" spans="1:14" ht="30" customHeight="1" thickBot="1">
      <c r="A223" s="136"/>
      <c r="B223" s="155"/>
      <c r="C223" s="156"/>
      <c r="D223" s="156"/>
      <c r="E223" s="156"/>
      <c r="F223" s="378"/>
      <c r="G223" s="378"/>
      <c r="H223" s="157"/>
      <c r="I223" s="179"/>
      <c r="J223" s="136"/>
    </row>
    <row r="224" spans="1:14" ht="30" customHeight="1">
      <c r="A224" s="136"/>
      <c r="B224" s="180"/>
      <c r="C224" s="180"/>
      <c r="D224" s="181"/>
      <c r="E224" s="181"/>
      <c r="F224" s="181"/>
      <c r="G224" s="181"/>
      <c r="H224" s="181"/>
      <c r="I224" s="182"/>
      <c r="J224" s="136"/>
    </row>
    <row r="225" spans="2:3" ht="30" customHeight="1">
      <c r="B225" s="40"/>
    </row>
    <row r="226" spans="2:3" ht="30" customHeight="1">
      <c r="B226" s="40"/>
    </row>
    <row r="227" spans="2:3" ht="30" customHeight="1">
      <c r="B227" s="40"/>
      <c r="C227" s="40"/>
    </row>
    <row r="228" spans="2:3" ht="30" customHeight="1">
      <c r="B228" s="40"/>
      <c r="C228" s="40"/>
    </row>
    <row r="229" spans="2:3" ht="30" customHeight="1">
      <c r="B229" s="40"/>
      <c r="C229" s="40"/>
    </row>
    <row r="230" spans="2:3" ht="30" customHeight="1">
      <c r="B230" s="40"/>
      <c r="C230" s="40"/>
    </row>
    <row r="231" spans="2:3" ht="30" customHeight="1">
      <c r="B231" s="40"/>
      <c r="C231" s="40"/>
    </row>
    <row r="232" spans="2:3" ht="30" customHeight="1">
      <c r="B232" s="40"/>
      <c r="C232" s="40"/>
    </row>
    <row r="235" spans="2:3" ht="30" customHeight="1">
      <c r="C235" s="44"/>
    </row>
  </sheetData>
  <sheetProtection selectLockedCells="1"/>
  <mergeCells count="259">
    <mergeCell ref="H182:I182"/>
    <mergeCell ref="B93:B98"/>
    <mergeCell ref="C93:C98"/>
    <mergeCell ref="B99:B104"/>
    <mergeCell ref="C99:C104"/>
    <mergeCell ref="B105:B110"/>
    <mergeCell ref="C105:C110"/>
    <mergeCell ref="B111:B116"/>
    <mergeCell ref="C111:C116"/>
    <mergeCell ref="B117:B122"/>
    <mergeCell ref="C117:C122"/>
    <mergeCell ref="H113:I113"/>
    <mergeCell ref="H114:I114"/>
    <mergeCell ref="H115:I115"/>
    <mergeCell ref="H116:I116"/>
    <mergeCell ref="H117:I117"/>
    <mergeCell ref="H119:I119"/>
    <mergeCell ref="H120:I120"/>
    <mergeCell ref="H121:I121"/>
    <mergeCell ref="H122:I122"/>
    <mergeCell ref="H123:I123"/>
    <mergeCell ref="B123:B128"/>
    <mergeCell ref="C123:C128"/>
    <mergeCell ref="H125:I125"/>
    <mergeCell ref="E3:F3"/>
    <mergeCell ref="E5:F5"/>
    <mergeCell ref="E6:F6"/>
    <mergeCell ref="H13:I13"/>
    <mergeCell ref="H14:I14"/>
    <mergeCell ref="H15:I15"/>
    <mergeCell ref="H17:I17"/>
    <mergeCell ref="H18:I18"/>
    <mergeCell ref="H8:I8"/>
    <mergeCell ref="H9:I9"/>
    <mergeCell ref="H11:I11"/>
    <mergeCell ref="H12:I12"/>
    <mergeCell ref="H37:I37"/>
    <mergeCell ref="H38:I38"/>
    <mergeCell ref="H29:I29"/>
    <mergeCell ref="H30:I30"/>
    <mergeCell ref="H31:I31"/>
    <mergeCell ref="H32:I32"/>
    <mergeCell ref="H33:I33"/>
    <mergeCell ref="B9:B14"/>
    <mergeCell ref="C9:C14"/>
    <mergeCell ref="B15:B20"/>
    <mergeCell ref="C15:C20"/>
    <mergeCell ref="H24:I24"/>
    <mergeCell ref="H25:I25"/>
    <mergeCell ref="H26:I26"/>
    <mergeCell ref="H27:I27"/>
    <mergeCell ref="H19:I19"/>
    <mergeCell ref="H20:I20"/>
    <mergeCell ref="H21:I21"/>
    <mergeCell ref="H23:I23"/>
    <mergeCell ref="B21:B26"/>
    <mergeCell ref="C21:C26"/>
    <mergeCell ref="B27:B32"/>
    <mergeCell ref="C27:C32"/>
    <mergeCell ref="H49:I49"/>
    <mergeCell ref="H50:I50"/>
    <mergeCell ref="H51:I51"/>
    <mergeCell ref="H53:I53"/>
    <mergeCell ref="B51:B56"/>
    <mergeCell ref="C51:C56"/>
    <mergeCell ref="B57:B62"/>
    <mergeCell ref="C57:C62"/>
    <mergeCell ref="B33:B38"/>
    <mergeCell ref="C33:C38"/>
    <mergeCell ref="H44:I44"/>
    <mergeCell ref="H45:I45"/>
    <mergeCell ref="H47:I47"/>
    <mergeCell ref="H48:I48"/>
    <mergeCell ref="H39:I39"/>
    <mergeCell ref="H41:I41"/>
    <mergeCell ref="H42:I42"/>
    <mergeCell ref="H43:I43"/>
    <mergeCell ref="B39:B44"/>
    <mergeCell ref="C39:C44"/>
    <mergeCell ref="B45:B50"/>
    <mergeCell ref="C45:C50"/>
    <mergeCell ref="H35:I35"/>
    <mergeCell ref="H36:I36"/>
    <mergeCell ref="H59:I59"/>
    <mergeCell ref="H60:I60"/>
    <mergeCell ref="H61:I61"/>
    <mergeCell ref="H62:I62"/>
    <mergeCell ref="H63:I63"/>
    <mergeCell ref="H54:I54"/>
    <mergeCell ref="H55:I55"/>
    <mergeCell ref="H56:I56"/>
    <mergeCell ref="H57:I57"/>
    <mergeCell ref="B63:B68"/>
    <mergeCell ref="C63:C68"/>
    <mergeCell ref="H74:I74"/>
    <mergeCell ref="H75:I75"/>
    <mergeCell ref="H77:I77"/>
    <mergeCell ref="H78:I78"/>
    <mergeCell ref="H69:I69"/>
    <mergeCell ref="H71:I71"/>
    <mergeCell ref="H72:I72"/>
    <mergeCell ref="H73:I73"/>
    <mergeCell ref="B69:B74"/>
    <mergeCell ref="C69:C74"/>
    <mergeCell ref="B75:B80"/>
    <mergeCell ref="C75:C80"/>
    <mergeCell ref="H65:I65"/>
    <mergeCell ref="H66:I66"/>
    <mergeCell ref="H67:I67"/>
    <mergeCell ref="H68:I68"/>
    <mergeCell ref="H84:I84"/>
    <mergeCell ref="H85:I85"/>
    <mergeCell ref="H86:I86"/>
    <mergeCell ref="H87:I87"/>
    <mergeCell ref="H79:I79"/>
    <mergeCell ref="H80:I80"/>
    <mergeCell ref="H81:I81"/>
    <mergeCell ref="H83:I83"/>
    <mergeCell ref="B81:B86"/>
    <mergeCell ref="C81:C86"/>
    <mergeCell ref="B87:B92"/>
    <mergeCell ref="C87:C92"/>
    <mergeCell ref="D221:E221"/>
    <mergeCell ref="C222:D222"/>
    <mergeCell ref="F222:G222"/>
    <mergeCell ref="F223:G223"/>
    <mergeCell ref="H89:I89"/>
    <mergeCell ref="H90:I90"/>
    <mergeCell ref="H91:I91"/>
    <mergeCell ref="H92:I92"/>
    <mergeCell ref="H93:I93"/>
    <mergeCell ref="H95:I95"/>
    <mergeCell ref="H96:I96"/>
    <mergeCell ref="H97:I97"/>
    <mergeCell ref="H98:I98"/>
    <mergeCell ref="H99:I99"/>
    <mergeCell ref="H101:I101"/>
    <mergeCell ref="H102:I102"/>
    <mergeCell ref="H103:I103"/>
    <mergeCell ref="H104:I104"/>
    <mergeCell ref="H105:I105"/>
    <mergeCell ref="H107:I107"/>
    <mergeCell ref="H108:I108"/>
    <mergeCell ref="H109:I109"/>
    <mergeCell ref="H110:I110"/>
    <mergeCell ref="H111:I111"/>
    <mergeCell ref="H126:I126"/>
    <mergeCell ref="H127:I127"/>
    <mergeCell ref="H128:I128"/>
    <mergeCell ref="H129:I129"/>
    <mergeCell ref="H131:I131"/>
    <mergeCell ref="H132:I132"/>
    <mergeCell ref="H133:I133"/>
    <mergeCell ref="B135:B140"/>
    <mergeCell ref="C135:C140"/>
    <mergeCell ref="B141:B146"/>
    <mergeCell ref="C141:C146"/>
    <mergeCell ref="H144:I144"/>
    <mergeCell ref="H145:I145"/>
    <mergeCell ref="H146:I146"/>
    <mergeCell ref="H147:I147"/>
    <mergeCell ref="B129:B134"/>
    <mergeCell ref="C129:C134"/>
    <mergeCell ref="H134:I134"/>
    <mergeCell ref="H135:I135"/>
    <mergeCell ref="H137:I137"/>
    <mergeCell ref="H138:I138"/>
    <mergeCell ref="H139:I139"/>
    <mergeCell ref="H140:I140"/>
    <mergeCell ref="H141:I141"/>
    <mergeCell ref="H163:I163"/>
    <mergeCell ref="H164:I164"/>
    <mergeCell ref="H165:I165"/>
    <mergeCell ref="H167:I167"/>
    <mergeCell ref="H168:I168"/>
    <mergeCell ref="B159:B164"/>
    <mergeCell ref="C159:C164"/>
    <mergeCell ref="H159:I159"/>
    <mergeCell ref="H143:I143"/>
    <mergeCell ref="H149:I149"/>
    <mergeCell ref="H150:I150"/>
    <mergeCell ref="H151:I151"/>
    <mergeCell ref="H152:I152"/>
    <mergeCell ref="H153:I153"/>
    <mergeCell ref="B147:B152"/>
    <mergeCell ref="C147:C152"/>
    <mergeCell ref="B153:B158"/>
    <mergeCell ref="C153:C158"/>
    <mergeCell ref="H155:I155"/>
    <mergeCell ref="H156:I156"/>
    <mergeCell ref="H157:I157"/>
    <mergeCell ref="H158:I158"/>
    <mergeCell ref="H161:I161"/>
    <mergeCell ref="H162:I162"/>
    <mergeCell ref="B165:B170"/>
    <mergeCell ref="C165:C170"/>
    <mergeCell ref="B183:B188"/>
    <mergeCell ref="C183:C188"/>
    <mergeCell ref="B171:B176"/>
    <mergeCell ref="C171:C176"/>
    <mergeCell ref="H175:I175"/>
    <mergeCell ref="H176:I176"/>
    <mergeCell ref="B177:B182"/>
    <mergeCell ref="C177:C182"/>
    <mergeCell ref="H177:I177"/>
    <mergeCell ref="H179:I179"/>
    <mergeCell ref="H169:I169"/>
    <mergeCell ref="H170:I170"/>
    <mergeCell ref="H183:I183"/>
    <mergeCell ref="H185:I185"/>
    <mergeCell ref="H186:I186"/>
    <mergeCell ref="H187:I187"/>
    <mergeCell ref="H188:I188"/>
    <mergeCell ref="H171:I171"/>
    <mergeCell ref="H173:I173"/>
    <mergeCell ref="H174:I174"/>
    <mergeCell ref="H180:I180"/>
    <mergeCell ref="H181:I181"/>
    <mergeCell ref="H189:I189"/>
    <mergeCell ref="B214:B219"/>
    <mergeCell ref="C214:C219"/>
    <mergeCell ref="H214:I214"/>
    <mergeCell ref="H216:I216"/>
    <mergeCell ref="H217:I217"/>
    <mergeCell ref="H218:I218"/>
    <mergeCell ref="H219:I219"/>
    <mergeCell ref="B196:B201"/>
    <mergeCell ref="C196:C201"/>
    <mergeCell ref="H196:I196"/>
    <mergeCell ref="H198:I198"/>
    <mergeCell ref="H199:I199"/>
    <mergeCell ref="H200:I200"/>
    <mergeCell ref="H201:I201"/>
    <mergeCell ref="B202:B207"/>
    <mergeCell ref="C202:C207"/>
    <mergeCell ref="B190:B195"/>
    <mergeCell ref="C190:C195"/>
    <mergeCell ref="H190:I190"/>
    <mergeCell ref="H192:I192"/>
    <mergeCell ref="H193:I193"/>
    <mergeCell ref="H194:I194"/>
    <mergeCell ref="H195:I195"/>
    <mergeCell ref="H215:I215"/>
    <mergeCell ref="H209:I209"/>
    <mergeCell ref="H203:I203"/>
    <mergeCell ref="H197:I197"/>
    <mergeCell ref="H191:I191"/>
    <mergeCell ref="B208:B213"/>
    <mergeCell ref="C208:C213"/>
    <mergeCell ref="H208:I208"/>
    <mergeCell ref="H210:I210"/>
    <mergeCell ref="H211:I211"/>
    <mergeCell ref="H212:I212"/>
    <mergeCell ref="H213:I213"/>
    <mergeCell ref="H202:I202"/>
    <mergeCell ref="H204:I204"/>
    <mergeCell ref="H205:I205"/>
    <mergeCell ref="H206:I206"/>
    <mergeCell ref="H207:I207"/>
  </mergeCells>
  <dataValidations disablePrompts="1" count="2">
    <dataValidation allowBlank="1" showInputMessage="1" showErrorMessage="1" prompt="Escriba el departamento del empleado en la celda de la derecha." sqref="B232:C232"/>
    <dataValidation allowBlank="1" showInputMessage="1" showErrorMessage="1" prompt="Escriba comentarios en las celdas de la derecha." sqref="C235"/>
  </dataValidations>
  <printOptions horizontalCentered="1" verticalCentered="1"/>
  <pageMargins left="0.4" right="0.4" top="0.4" bottom="0.4" header="0.3" footer="0.3"/>
  <pageSetup paperSize="9" scale="2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514350</xdr:colOff>
                    <xdr:row>220</xdr:row>
                    <xdr:rowOff>352425</xdr:rowOff>
                  </from>
                  <to>
                    <xdr:col>1</xdr:col>
                    <xdr:colOff>1752600</xdr:colOff>
                    <xdr:row>222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>
    <tabColor rgb="FF0070C0"/>
    <pageSetUpPr autoPageBreaks="0" fitToPage="1"/>
  </sheetPr>
  <dimension ref="B1:M69"/>
  <sheetViews>
    <sheetView showGridLines="0" zoomScale="80" zoomScaleNormal="80" workbookViewId="0">
      <selection activeCell="L10" sqref="L10:L15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3.140625" style="80" bestFit="1" customWidth="1"/>
    <col min="5" max="5" width="20.5703125" style="80" customWidth="1"/>
    <col min="6" max="6" width="16.5703125" style="80" bestFit="1" customWidth="1"/>
    <col min="7" max="7" width="19.7109375" style="80" bestFit="1" customWidth="1"/>
    <col min="8" max="8" width="15.28515625" style="80" customWidth="1"/>
    <col min="9" max="10" width="17" style="80" customWidth="1"/>
    <col min="11" max="11" width="28.42578125" style="80" customWidth="1"/>
    <col min="12" max="12" width="20.7109375" style="80" customWidth="1"/>
    <col min="13" max="13" width="2.7109375" style="80" customWidth="1"/>
    <col min="14" max="16384" width="9.140625" style="80"/>
  </cols>
  <sheetData>
    <row r="1" spans="2:13" ht="12" customHeight="1" thickBot="1"/>
    <row r="2" spans="2:13" ht="30" customHeight="1">
      <c r="B2" s="126" t="s">
        <v>95</v>
      </c>
      <c r="C2" s="127"/>
      <c r="D2" s="128"/>
      <c r="E2" s="128"/>
      <c r="F2" s="128"/>
      <c r="G2" s="128"/>
      <c r="H2" s="128"/>
      <c r="I2" s="128"/>
      <c r="J2" s="128"/>
      <c r="K2" s="128"/>
      <c r="L2" s="129"/>
    </row>
    <row r="3" spans="2:13" ht="30" customHeight="1">
      <c r="B3" s="130" t="s">
        <v>96</v>
      </c>
      <c r="C3" s="406" t="s">
        <v>107</v>
      </c>
      <c r="D3" s="406"/>
      <c r="E3" s="125" t="s">
        <v>3</v>
      </c>
      <c r="F3" s="356">
        <f ca="1">TODAY()</f>
        <v>46020</v>
      </c>
      <c r="G3" s="356"/>
      <c r="H3" s="125" t="s">
        <v>61</v>
      </c>
      <c r="I3" s="162">
        <f>'INFO-Direc'!H3</f>
        <v>1445</v>
      </c>
      <c r="J3" s="131"/>
      <c r="K3" s="132"/>
      <c r="L3" s="133"/>
      <c r="M3" s="134"/>
    </row>
    <row r="4" spans="2:13" ht="30" customHeight="1">
      <c r="B4" s="130" t="s">
        <v>97</v>
      </c>
      <c r="C4" s="160">
        <f>IFERROR(INDEX('INFO-OEE'!E17:CL17,
       MATCH(C3, 'INFO-OEE'!E9:CL9, 0)),"")</f>
        <v>0.8</v>
      </c>
      <c r="D4" s="135"/>
      <c r="E4" s="136"/>
      <c r="F4" s="136"/>
      <c r="G4" s="136"/>
      <c r="H4" s="125"/>
      <c r="I4" s="137"/>
      <c r="J4" s="131"/>
      <c r="K4" s="132"/>
      <c r="L4" s="138"/>
      <c r="M4" s="89"/>
    </row>
    <row r="5" spans="2:13" ht="30" customHeight="1">
      <c r="B5" s="139" t="s">
        <v>4</v>
      </c>
      <c r="C5" s="140"/>
      <c r="D5" s="141"/>
      <c r="E5" s="141"/>
      <c r="F5" s="141"/>
      <c r="G5" s="141"/>
      <c r="H5" s="141"/>
      <c r="I5" s="141"/>
      <c r="J5" s="141"/>
      <c r="K5" s="141"/>
      <c r="L5" s="142"/>
    </row>
    <row r="6" spans="2:13" ht="30" customHeight="1">
      <c r="B6" s="143" t="s">
        <v>5</v>
      </c>
      <c r="C6" s="407"/>
      <c r="D6" s="407"/>
      <c r="E6" s="144" t="s">
        <v>6</v>
      </c>
      <c r="F6" s="407"/>
      <c r="G6" s="407"/>
      <c r="H6" s="141"/>
      <c r="I6" s="141"/>
      <c r="J6" s="141"/>
      <c r="K6" s="30"/>
      <c r="L6" s="145"/>
    </row>
    <row r="7" spans="2:13" ht="30" customHeight="1">
      <c r="B7" s="143" t="s">
        <v>7</v>
      </c>
      <c r="C7" s="407"/>
      <c r="D7" s="407"/>
      <c r="E7" s="144" t="s">
        <v>62</v>
      </c>
      <c r="F7" s="408"/>
      <c r="G7" s="408"/>
      <c r="H7" s="141"/>
      <c r="I7" s="141"/>
      <c r="J7" s="141"/>
      <c r="K7" s="30"/>
      <c r="L7" s="145"/>
    </row>
    <row r="8" spans="2:13" ht="30" customHeight="1" thickBot="1">
      <c r="B8" s="146"/>
      <c r="C8" s="147"/>
      <c r="D8" s="148"/>
      <c r="E8" s="148"/>
      <c r="F8" s="30"/>
      <c r="G8" s="30"/>
      <c r="H8" s="149"/>
      <c r="I8" s="149"/>
      <c r="J8" s="149"/>
      <c r="K8" s="30"/>
      <c r="L8" s="145"/>
    </row>
    <row r="9" spans="2:13" ht="30" customHeight="1" thickBot="1">
      <c r="B9" s="67" t="s">
        <v>9</v>
      </c>
      <c r="C9" s="158" t="s">
        <v>63</v>
      </c>
      <c r="D9" s="158" t="s">
        <v>64</v>
      </c>
      <c r="E9" s="158" t="s">
        <v>65</v>
      </c>
      <c r="F9" s="158" t="s">
        <v>66</v>
      </c>
      <c r="G9" s="158" t="s">
        <v>67</v>
      </c>
      <c r="H9" s="319" t="s">
        <v>68</v>
      </c>
      <c r="I9" s="319"/>
      <c r="J9" s="319"/>
      <c r="K9" s="319"/>
      <c r="L9" s="159" t="s">
        <v>98</v>
      </c>
    </row>
    <row r="10" spans="2:13" ht="30" customHeight="1">
      <c r="B10" s="404" t="s">
        <v>88</v>
      </c>
      <c r="C10" s="405" t="s">
        <v>89</v>
      </c>
      <c r="D10" s="231" t="s">
        <v>107</v>
      </c>
      <c r="E10" s="218"/>
      <c r="F10" s="219" t="str">
        <f>IF(D10="","","kW")</f>
        <v>kW</v>
      </c>
      <c r="G10" s="220">
        <f>IF(D10="","",IFERROR(INDEX('[4]INFO-Consumo'!$F$9:$F$95,
       MATCH(D10, '[4]INFO-Consumo'!$D$9:$D$95, 0)),""))</f>
        <v>0.8</v>
      </c>
      <c r="H10" s="401"/>
      <c r="I10" s="402"/>
      <c r="J10" s="402"/>
      <c r="K10" s="403"/>
      <c r="L10" s="400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1.9079008416662255</v>
      </c>
    </row>
    <row r="11" spans="2:13" ht="30" customHeight="1">
      <c r="B11" s="392"/>
      <c r="C11" s="393"/>
      <c r="D11" s="221" t="str">
        <f>IF(D10="", "Seleccionar Maquinaria ↑", "Carga Promedio de Uso de " &amp; D10)</f>
        <v>Carga Promedio de Uso de ENGRASADORA MANUAL</v>
      </c>
      <c r="E11" s="222"/>
      <c r="F11" s="223" t="str">
        <f>IF(ISERROR(FIND("Seleccionar", D11)), "%", "")</f>
        <v>%</v>
      </c>
      <c r="G11" s="289">
        <f>IF(D10="","",IFERROR(
    INDEX('[4]INFO-Consumo'!I:I,
           MATCH(D10, '[4]INFO-Consumo'!D:D, 0)
    ),
""))</f>
        <v>0.6</v>
      </c>
      <c r="H11" s="384"/>
      <c r="I11" s="384"/>
      <c r="J11" s="384"/>
      <c r="K11" s="384"/>
      <c r="L11" s="399"/>
    </row>
    <row r="12" spans="2:13" ht="30" customHeight="1">
      <c r="B12" s="392"/>
      <c r="C12" s="393"/>
      <c r="D12" s="232" t="s">
        <v>173</v>
      </c>
      <c r="E12" s="222"/>
      <c r="F12" s="223" t="str">
        <f>IF(D12="","","kW")</f>
        <v>kW</v>
      </c>
      <c r="G12" s="224">
        <f>IFERROR(INDEX('[4]INFO-Ponderacion'!$S$9:$S$13,
       MATCH(D12,'[4]INFO-Ponderacion'!$C$9:$C$13, 0)),"")</f>
        <v>2.4095999999999997</v>
      </c>
      <c r="H12" s="286"/>
      <c r="I12" s="287"/>
      <c r="J12" s="287"/>
      <c r="K12" s="288"/>
      <c r="L12" s="399"/>
    </row>
    <row r="13" spans="2:13" ht="30" customHeight="1">
      <c r="B13" s="392"/>
      <c r="C13" s="393"/>
      <c r="D13" s="221" t="str">
        <f>IF(D12="", "Seleccionar Area ↑", "Tarifa Electrica ")</f>
        <v xml:space="preserve">Tarifa Electrica </v>
      </c>
      <c r="E13" s="222"/>
      <c r="F13" s="223" t="str">
        <f>IF(D12="","","$/kWh")</f>
        <v>$/kWh</v>
      </c>
      <c r="G13" s="228">
        <f>IF(D12="","",'INFO-Direc'!$G$9)</f>
        <v>5.2613958629577628E-2</v>
      </c>
      <c r="H13" s="384"/>
      <c r="I13" s="384"/>
      <c r="J13" s="384"/>
      <c r="K13" s="384"/>
      <c r="L13" s="399"/>
    </row>
    <row r="14" spans="2:13" ht="30" customHeight="1">
      <c r="B14" s="392"/>
      <c r="C14" s="393"/>
      <c r="D14" s="229" t="str">
        <f>IF(D12="", "Seleccionar Area ↑", "Costo Electrico Fijo de " &amp; D12)</f>
        <v>Costo Electrico Fijo de Ensamble</v>
      </c>
      <c r="E14" s="222"/>
      <c r="F14" s="223" t="str">
        <f>IF(D12="","","$/h")</f>
        <v>$/h</v>
      </c>
      <c r="G14" s="228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1.7558675468101981</v>
      </c>
      <c r="H14" s="385"/>
      <c r="I14" s="386"/>
      <c r="J14" s="386"/>
      <c r="K14" s="387"/>
      <c r="L14" s="399"/>
    </row>
    <row r="15" spans="2:13" ht="30" customHeight="1">
      <c r="B15" s="389"/>
      <c r="C15" s="391"/>
      <c r="D15" s="229" t="s">
        <v>85</v>
      </c>
      <c r="E15" s="230"/>
      <c r="F15" s="223" t="str">
        <f>IF(D12="","","$/h")</f>
        <v>$/h</v>
      </c>
      <c r="G15" s="233"/>
      <c r="H15" s="385"/>
      <c r="I15" s="386"/>
      <c r="J15" s="386"/>
      <c r="K15" s="387"/>
      <c r="L15" s="398"/>
    </row>
    <row r="16" spans="2:13" ht="30" customHeight="1">
      <c r="B16" s="388" t="s">
        <v>90</v>
      </c>
      <c r="C16" s="394" t="s">
        <v>89</v>
      </c>
      <c r="D16" s="232"/>
      <c r="E16" s="222"/>
      <c r="F16" s="223" t="str">
        <f>IF(D16="","","$/L")</f>
        <v/>
      </c>
      <c r="G16" s="228" t="str">
        <f>IFERROR(INDEX('INFO-Direc'!$G$9:$G$25,
       MATCH(D16, 'INFO-Direc'!$D$9:$D$25, 0)),"")</f>
        <v/>
      </c>
      <c r="H16" s="384"/>
      <c r="I16" s="384"/>
      <c r="J16" s="384"/>
      <c r="K16" s="384"/>
      <c r="L16" s="397" t="str">
        <f>IF(AND(D16="", D18=""), "",
    IFERROR(
        IFERROR(G16*G17,0)
        + IFERROR(G18*G19,0)
        + IFERROR(G20,0),
    "")
)</f>
        <v/>
      </c>
    </row>
    <row r="17" spans="2:12" ht="30" customHeight="1">
      <c r="B17" s="392"/>
      <c r="C17" s="395"/>
      <c r="D17" s="221" t="str">
        <f>IF(D16="", "Seleccionar Lubricante ↑", "Consumo de " &amp; D16)</f>
        <v>Seleccionar Lubricante ↑</v>
      </c>
      <c r="E17" s="222"/>
      <c r="F17" s="223" t="str">
        <f>IF(ISERROR(FIND("Seleccionar", D17)), "L/h", "")</f>
        <v/>
      </c>
      <c r="G17" s="234"/>
      <c r="H17" s="384"/>
      <c r="I17" s="384"/>
      <c r="J17" s="384"/>
      <c r="K17" s="384"/>
      <c r="L17" s="399"/>
    </row>
    <row r="18" spans="2:12" ht="30" customHeight="1">
      <c r="B18" s="392"/>
      <c r="C18" s="395"/>
      <c r="D18" s="232"/>
      <c r="E18" s="222"/>
      <c r="F18" s="223" t="str">
        <f>IF(D18="","","$/L")</f>
        <v/>
      </c>
      <c r="G18" s="228" t="str">
        <f>IFERROR(INDEX('INFO-Direc'!$G$9:$G$25,
       MATCH(D18, 'INFO-Direc'!$D$9:$D$25, 0)),"")</f>
        <v/>
      </c>
      <c r="H18" s="385"/>
      <c r="I18" s="386"/>
      <c r="J18" s="386"/>
      <c r="K18" s="387"/>
      <c r="L18" s="399"/>
    </row>
    <row r="19" spans="2:12" ht="30" customHeight="1">
      <c r="B19" s="392"/>
      <c r="C19" s="395"/>
      <c r="D19" s="221" t="str">
        <f>IF(D18="", "Seleccionar Lubricante ↑", "Consumo de " &amp; D18)</f>
        <v>Seleccionar Lubricante ↑</v>
      </c>
      <c r="E19" s="222"/>
      <c r="F19" s="223" t="str">
        <f>IF(ISERROR(FIND("Seleccionar", D19)), "L/h", "")</f>
        <v/>
      </c>
      <c r="G19" s="234"/>
      <c r="H19" s="385"/>
      <c r="I19" s="386"/>
      <c r="J19" s="386"/>
      <c r="K19" s="387"/>
      <c r="L19" s="399"/>
    </row>
    <row r="20" spans="2:12" ht="30" customHeight="1">
      <c r="B20" s="389"/>
      <c r="C20" s="396"/>
      <c r="D20" s="221" t="s">
        <v>85</v>
      </c>
      <c r="E20" s="222"/>
      <c r="F20" s="223" t="str">
        <f>IF(OR(D16&lt;&gt;"", D18&lt;&gt;""), "$/h", "")</f>
        <v/>
      </c>
      <c r="G20" s="233"/>
      <c r="H20" s="384"/>
      <c r="I20" s="384"/>
      <c r="J20" s="384"/>
      <c r="K20" s="384"/>
      <c r="L20" s="398"/>
    </row>
    <row r="21" spans="2:12" ht="30" customHeight="1">
      <c r="B21" s="388" t="s">
        <v>92</v>
      </c>
      <c r="C21" s="390" t="s">
        <v>89</v>
      </c>
      <c r="D21" s="232" t="s">
        <v>138</v>
      </c>
      <c r="E21" s="222"/>
      <c r="F21" s="223" t="str">
        <f>IF(D21="","","kW")</f>
        <v>kW</v>
      </c>
      <c r="G21" s="228">
        <f>IFERROR(INDEX('INFO-Direc'!$G$9:$G$25,
       MATCH(D21, 'INFO-Direc'!$D$9:$D$25, 0)),"")</f>
        <v>56</v>
      </c>
      <c r="H21" s="385"/>
      <c r="I21" s="386"/>
      <c r="J21" s="386"/>
      <c r="K21" s="387"/>
      <c r="L21" s="397">
        <f>IFERROR(G21*G13*G22+G23+G24,"")</f>
        <v>1.8303340099538083</v>
      </c>
    </row>
    <row r="22" spans="2:12" ht="30" customHeight="1">
      <c r="B22" s="392"/>
      <c r="C22" s="393"/>
      <c r="D22" s="221" t="str">
        <f>IF(D21="", "Seleccionar Compresor ↑", "Carga Promedio de Uso de " &amp; D21)</f>
        <v>Carga Promedio de Uso de Compresor</v>
      </c>
      <c r="E22" s="222"/>
      <c r="F22" s="223" t="str">
        <f>IF(ISERROR(FIND("Seleccionar", D22)), "%", "")</f>
        <v>%</v>
      </c>
      <c r="G22" s="289">
        <f>IF(D21="","",IFERROR(
    INDEX('[4]INFO-Consumo'!I:I,
           MATCH(D21, '[4]INFO-Consumo'!D:D, 0)
    ),
""))</f>
        <v>0.6</v>
      </c>
      <c r="H22" s="384"/>
      <c r="I22" s="384"/>
      <c r="J22" s="384"/>
      <c r="K22" s="384"/>
      <c r="L22" s="399"/>
    </row>
    <row r="23" spans="2:12" ht="30" customHeight="1">
      <c r="B23" s="392"/>
      <c r="C23" s="393"/>
      <c r="D23" s="235" t="str">
        <f>IF(D21="", "Seleccionar Compresor ↑", "Costo de Repuestos " &amp; D21)</f>
        <v>Costo de Repuestos Compresor</v>
      </c>
      <c r="E23" s="222"/>
      <c r="F23" s="223" t="str">
        <f>IF(ISERROR(FIND("Seleccionar", D23)), "$/h", "")</f>
        <v>$/h</v>
      </c>
      <c r="G23" s="236">
        <f>IF(D21="","", SUM(IF(ISNUMBER(FIND("Compresor", 'INFO-Mant'!D9:D26)), 'INFO-Mant'!G9:G26 / 'INFO-Mant'!H9:H26, 0)))</f>
        <v>6.2505000000000005E-2</v>
      </c>
      <c r="H23" s="385"/>
      <c r="I23" s="386"/>
      <c r="J23" s="386"/>
      <c r="K23" s="387"/>
      <c r="L23" s="399"/>
    </row>
    <row r="24" spans="2:12" ht="30" customHeight="1">
      <c r="B24" s="389"/>
      <c r="C24" s="391"/>
      <c r="D24" s="221" t="s">
        <v>85</v>
      </c>
      <c r="E24" s="222"/>
      <c r="F24" s="223" t="str">
        <f>IF(D21="","","$/h")</f>
        <v>$/h</v>
      </c>
      <c r="G24" s="233"/>
      <c r="H24" s="384"/>
      <c r="I24" s="384"/>
      <c r="J24" s="384"/>
      <c r="K24" s="384"/>
      <c r="L24" s="398"/>
    </row>
    <row r="25" spans="2:12" ht="30" customHeight="1">
      <c r="B25" s="388" t="s">
        <v>94</v>
      </c>
      <c r="C25" s="390" t="s">
        <v>89</v>
      </c>
      <c r="D25" s="232"/>
      <c r="E25" s="222"/>
      <c r="F25" s="223" t="str">
        <f>IF(D25="","","$/L")</f>
        <v/>
      </c>
      <c r="G25" s="228" t="str">
        <f>IFERROR(INDEX('INFO-Direc'!$G$9:$G$25,
       MATCH(D25, 'INFO-Direc'!$D$9:$D$25, 0)),"")</f>
        <v/>
      </c>
      <c r="H25" s="384"/>
      <c r="I25" s="384"/>
      <c r="J25" s="384"/>
      <c r="K25" s="384"/>
      <c r="L25" s="381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92"/>
      <c r="C26" s="393"/>
      <c r="D26" s="221" t="str">
        <f>IF(D25="", "Seleccionar Refrigerante ↑", "Consumo de " &amp; D25)</f>
        <v>Seleccionar Refrigerante ↑</v>
      </c>
      <c r="E26" s="222"/>
      <c r="F26" s="223" t="str">
        <f>IF(ISERROR(FIND("Seleccionar", D26)), "L/Año", "")</f>
        <v/>
      </c>
      <c r="G26" s="238"/>
      <c r="H26" s="384"/>
      <c r="I26" s="384"/>
      <c r="J26" s="384"/>
      <c r="K26" s="384"/>
      <c r="L26" s="382"/>
    </row>
    <row r="27" spans="2:12" ht="30" customHeight="1">
      <c r="B27" s="392"/>
      <c r="C27" s="393"/>
      <c r="D27" s="232"/>
      <c r="E27" s="222"/>
      <c r="F27" s="223" t="str">
        <f>IF(D27="","","$/L")</f>
        <v/>
      </c>
      <c r="G27" s="228" t="str">
        <f>IFERROR(INDEX('INFO-Direc'!$G$9:$G$25,
       MATCH(D27, 'INFO-Direc'!$D$9:$D$25, 0)),"")</f>
        <v/>
      </c>
      <c r="H27" s="385"/>
      <c r="I27" s="386"/>
      <c r="J27" s="386"/>
      <c r="K27" s="387"/>
      <c r="L27" s="382"/>
    </row>
    <row r="28" spans="2:12" ht="30" customHeight="1">
      <c r="B28" s="392"/>
      <c r="C28" s="393"/>
      <c r="D28" s="221" t="str">
        <f>IF(D27="", "Seleccionar Refrigerante ↑", "Consumo de " &amp; D27)</f>
        <v>Seleccionar Refrigerante ↑</v>
      </c>
      <c r="E28" s="222"/>
      <c r="F28" s="223" t="str">
        <f>IF(ISERROR(FIND("Seleccionar", D28)), "L/Año", "")</f>
        <v/>
      </c>
      <c r="G28" s="239"/>
      <c r="H28" s="385"/>
      <c r="I28" s="386"/>
      <c r="J28" s="386"/>
      <c r="K28" s="387"/>
      <c r="L28" s="382"/>
    </row>
    <row r="29" spans="2:12" ht="30" customHeight="1">
      <c r="B29" s="389"/>
      <c r="C29" s="391"/>
      <c r="D29" s="221" t="s">
        <v>85</v>
      </c>
      <c r="E29" s="222"/>
      <c r="F29" s="223" t="str">
        <f>IF(OR(D25&lt;&gt;"", D27&lt;&gt;""), "$/h", "")</f>
        <v/>
      </c>
      <c r="G29" s="233"/>
      <c r="H29" s="384"/>
      <c r="I29" s="384"/>
      <c r="J29" s="384"/>
      <c r="K29" s="384"/>
      <c r="L29" s="383"/>
    </row>
    <row r="30" spans="2:12" ht="30" customHeight="1">
      <c r="B30" s="388" t="s">
        <v>168</v>
      </c>
      <c r="C30" s="394" t="s">
        <v>89</v>
      </c>
      <c r="D30" s="232"/>
      <c r="E30" s="222"/>
      <c r="F30" s="223" t="str">
        <f>IF(D30="","","$/L")</f>
        <v/>
      </c>
      <c r="G30" s="228" t="str">
        <f>IFERROR(INDEX('INFO-Direc'!$G$9:$G$25,
       MATCH(D30, 'INFO-Direc'!$D$9:$D$25, 0)),"")</f>
        <v/>
      </c>
      <c r="H30" s="384"/>
      <c r="I30" s="384"/>
      <c r="J30" s="384"/>
      <c r="K30" s="384"/>
      <c r="L30" s="381" t="str">
        <f>IF(
    AND(D30="", D32=""),
    "",
    IFERROR(
        IFERROR(G30 / (INDEX('INFO-OEE'!$E$18:$CA$18,
                               MATCH(#REF!, 'INFO-OEE'!$E$9:$CA$9, 0)) * 12), 0)
        * G31
        +
        IFERROR(G32 / (INDEX('INFO-OEE'!$E$18:$CA$18,
                               MATCH(#REF!, 'INFO-OEE'!$E$9:$CA$9, 0)) * 12), 0)
        * G33
        +
        IFERROR(G34, 0),
    "")
)</f>
        <v/>
      </c>
    </row>
    <row r="31" spans="2:12" ht="30" customHeight="1">
      <c r="B31" s="392"/>
      <c r="C31" s="395"/>
      <c r="D31" s="221" t="str">
        <f>IF(D30="", "Seleccionar Solvente ↑", "Consumo de " &amp; D30)</f>
        <v>Seleccionar Solvente ↑</v>
      </c>
      <c r="E31" s="222"/>
      <c r="F31" s="223" t="str">
        <f>IF(ISERROR(FIND("Seleccionar", D31)), "L/Año", "")</f>
        <v/>
      </c>
      <c r="G31" s="234"/>
      <c r="H31" s="384"/>
      <c r="I31" s="384"/>
      <c r="J31" s="384"/>
      <c r="K31" s="384"/>
      <c r="L31" s="382"/>
    </row>
    <row r="32" spans="2:12" ht="30" customHeight="1">
      <c r="B32" s="392"/>
      <c r="C32" s="395"/>
      <c r="D32" s="232"/>
      <c r="E32" s="222"/>
      <c r="F32" s="223" t="str">
        <f>IF(D32="","","$/L")</f>
        <v/>
      </c>
      <c r="G32" s="228" t="str">
        <f>IFERROR(INDEX('INFO-Direc'!$G$9:$G$25,
       MATCH(D32, 'INFO-Direc'!$D$9:$D$25, 0)),"")</f>
        <v/>
      </c>
      <c r="H32" s="385"/>
      <c r="I32" s="386"/>
      <c r="J32" s="386"/>
      <c r="K32" s="387"/>
      <c r="L32" s="382"/>
    </row>
    <row r="33" spans="2:12" ht="30" customHeight="1">
      <c r="B33" s="392"/>
      <c r="C33" s="395"/>
      <c r="D33" s="221" t="str">
        <f>IF(D32="", "Seleccionar Solvente ↑", "Consumo de " &amp; D32)</f>
        <v>Seleccionar Solvente ↑</v>
      </c>
      <c r="E33" s="222"/>
      <c r="F33" s="223" t="str">
        <f>IF(ISERROR(FIND("Seleccionar", D33)), "L/Año", "")</f>
        <v/>
      </c>
      <c r="G33" s="234"/>
      <c r="H33" s="385"/>
      <c r="I33" s="386"/>
      <c r="J33" s="386"/>
      <c r="K33" s="387"/>
      <c r="L33" s="382"/>
    </row>
    <row r="34" spans="2:12" ht="30" customHeight="1">
      <c r="B34" s="389"/>
      <c r="C34" s="396"/>
      <c r="D34" s="221" t="s">
        <v>85</v>
      </c>
      <c r="E34" s="222"/>
      <c r="F34" s="223" t="str">
        <f>IF(OR(D30&lt;&gt;"", D32&lt;&gt;""), "$/h", "")</f>
        <v/>
      </c>
      <c r="G34" s="233"/>
      <c r="H34" s="384"/>
      <c r="I34" s="384"/>
      <c r="J34" s="384"/>
      <c r="K34" s="384"/>
      <c r="L34" s="383"/>
    </row>
    <row r="35" spans="2:12" ht="30" customHeight="1">
      <c r="B35" s="388" t="s">
        <v>100</v>
      </c>
      <c r="C35" s="390" t="s">
        <v>89</v>
      </c>
      <c r="D35" s="221" t="str">
        <f>IF(D12="", "Seleccionar Area ↑", "Costo de Operarios")</f>
        <v>Costo de Operarios</v>
      </c>
      <c r="E35" s="222"/>
      <c r="F35" s="223" t="str">
        <f>IF(D12="","","$/mes")</f>
        <v>$/mes</v>
      </c>
      <c r="G35" s="237">
        <f>IF(D12="","",IFERROR(
    INDEX('INFO-Personal'!$E$26:$CA$26,
           MATCH($C$3, 'INFO-Personal'!$E$9:$CA$9, 0)
    ),
""))</f>
        <v>647.14907205574923</v>
      </c>
      <c r="H35" s="384"/>
      <c r="I35" s="384"/>
      <c r="J35" s="384"/>
      <c r="K35" s="384"/>
      <c r="L35" s="397">
        <f>IFERROR(
    (G35 / INDEX('INFO-OEE'!$E$18:$CA$18,
                  MATCH($C$3, 'INFO-OEE'!$E$9:$CA$9, 0)))
    + G36,
"")</f>
        <v>4.5962292049414</v>
      </c>
    </row>
    <row r="36" spans="2:12" s="152" customFormat="1" ht="30" customHeight="1">
      <c r="B36" s="389"/>
      <c r="C36" s="391"/>
      <c r="D36" s="221" t="s">
        <v>85</v>
      </c>
      <c r="E36" s="222"/>
      <c r="F36" s="223" t="str">
        <f>IF(D12="","","$/h")</f>
        <v>$/h</v>
      </c>
      <c r="G36" s="240"/>
      <c r="H36" s="384"/>
      <c r="I36" s="384"/>
      <c r="J36" s="384"/>
      <c r="K36" s="384"/>
      <c r="L36" s="398"/>
    </row>
    <row r="37" spans="2:12" s="152" customFormat="1" ht="30" customHeight="1">
      <c r="B37" s="241"/>
      <c r="C37" s="242"/>
      <c r="D37" s="243"/>
      <c r="E37" s="242"/>
      <c r="F37" s="244"/>
      <c r="G37" s="245"/>
      <c r="H37" s="409"/>
      <c r="I37" s="409"/>
      <c r="J37" s="409"/>
      <c r="K37" s="409"/>
      <c r="L37" s="246"/>
    </row>
    <row r="38" spans="2:12" s="152" customFormat="1" ht="30" customHeight="1">
      <c r="B38" s="388" t="s">
        <v>16</v>
      </c>
      <c r="C38" s="390" t="s">
        <v>69</v>
      </c>
      <c r="D38" s="221" t="str">
        <f>IF(D12="", "Seleccionar Area ↑", "Costo de Supervisores")</f>
        <v>Costo de Supervisores</v>
      </c>
      <c r="E38" s="222"/>
      <c r="F38" s="247" t="str">
        <f>IF(D12="","","$/mes")</f>
        <v>$/mes</v>
      </c>
      <c r="G38" s="237">
        <f>IF(D12="","",IFERROR(
    INDEX('INFO-Personal'!$E$27:$CA$27,
           MATCH($C$3, 'INFO-Personal'!$E$9:$CA$9, 0)
    ),
""))</f>
        <v>409.43449599755428</v>
      </c>
      <c r="H38" s="385"/>
      <c r="I38" s="386"/>
      <c r="J38" s="386"/>
      <c r="K38" s="387"/>
      <c r="L38" s="397">
        <f>IFERROR(
    (G38 / INDEX('INFO-OEE'!$E$18:$CA$18,
                  MATCH($C$3, 'INFO-OEE'!$E$9:$CA$9, 0)))
    + G39,
"")</f>
        <v>2.9079154545280841</v>
      </c>
    </row>
    <row r="39" spans="2:12" s="152" customFormat="1" ht="30" customHeight="1">
      <c r="B39" s="392"/>
      <c r="C39" s="393"/>
      <c r="D39" s="221" t="s">
        <v>85</v>
      </c>
      <c r="E39" s="222"/>
      <c r="F39" s="223" t="str">
        <f>IF(D12="","","$/h")</f>
        <v>$/h</v>
      </c>
      <c r="G39" s="240"/>
      <c r="H39" s="385"/>
      <c r="I39" s="386"/>
      <c r="J39" s="386"/>
      <c r="K39" s="387"/>
      <c r="L39" s="399"/>
    </row>
    <row r="40" spans="2:12" s="152" customFormat="1" ht="30" customHeight="1">
      <c r="B40" s="388" t="s">
        <v>101</v>
      </c>
      <c r="C40" s="390" t="s">
        <v>69</v>
      </c>
      <c r="D40" s="221" t="str">
        <f>IF(D12="", "Seleccionar Area ↑", "Costo de Mant. Preventivo")</f>
        <v>Costo de Mant. Preventivo</v>
      </c>
      <c r="E40" s="222"/>
      <c r="F40" s="247" t="str">
        <f>IF(D12="","","$/mes")</f>
        <v>$/mes</v>
      </c>
      <c r="G40" s="237">
        <f>IF(D12="","",IFERROR(
    INDEX('INFO-Personal'!$E$28:$CA$28,
           MATCH($C$3, 'INFO-Personal'!$E$9:$CA$9, 0)
    ),
""))</f>
        <v>3.4161288796569287</v>
      </c>
      <c r="H40" s="385"/>
      <c r="I40" s="386"/>
      <c r="J40" s="386"/>
      <c r="K40" s="387"/>
      <c r="L40" s="397">
        <f>IF(D12="","",SUM(
    IFERROR((G40+G41) / INDEX('INFO-OEE'!$E$18:$CA$18, MATCH(C3, 'INFO-OEE'!$E$9:$CA$9, 0)), 0),
    IFERROR(G42 / G43, 0),
    IFERROR(G44 / G45, 0),
    IFERROR(G46 / G47, 0),
    IFERROR(G48, 0)
))</f>
        <v>2.4262278974836141E-2</v>
      </c>
    </row>
    <row r="41" spans="2:12" s="152" customFormat="1" ht="30" customHeight="1">
      <c r="B41" s="392"/>
      <c r="C41" s="393"/>
      <c r="D41" s="221" t="str">
        <f>IF(D12="", "Seleccionar Area ↑", "Costo de Mant. Correctivo")</f>
        <v>Costo de Mant. Correctivo</v>
      </c>
      <c r="E41" s="222"/>
      <c r="F41" s="247" t="str">
        <f>IF(D12="","","$/mes")</f>
        <v>$/mes</v>
      </c>
      <c r="G41" s="237">
        <f>IF(D12="","",IFERROR(
    INDEX('INFO-Personal'!$E$29:$CA$29,
           MATCH($C$3, 'INFO-Personal'!$E$9:$CA$9, 0)
    ),
""))</f>
        <v>0</v>
      </c>
      <c r="H41" s="385"/>
      <c r="I41" s="386"/>
      <c r="J41" s="386"/>
      <c r="K41" s="387"/>
      <c r="L41" s="399"/>
    </row>
    <row r="42" spans="2:12" s="152" customFormat="1" ht="30" customHeight="1">
      <c r="B42" s="392"/>
      <c r="C42" s="393"/>
      <c r="D42" s="232" t="s">
        <v>158</v>
      </c>
      <c r="E42" s="222"/>
      <c r="F42" s="223" t="str">
        <f>IF(D42="","","$/u")</f>
        <v>$/u</v>
      </c>
      <c r="G42" s="237">
        <f>IFERROR(INDEX('INFO-Mant'!$G$9:$G$26,
       MATCH(D42, 'INFO-Mant'!$D$9:$D$26, 0)),"")</f>
        <v>0</v>
      </c>
      <c r="H42" s="385"/>
      <c r="I42" s="386"/>
      <c r="J42" s="386"/>
      <c r="K42" s="387"/>
      <c r="L42" s="399"/>
    </row>
    <row r="43" spans="2:12" s="152" customFormat="1" ht="30" customHeight="1">
      <c r="B43" s="392"/>
      <c r="C43" s="393"/>
      <c r="D43" s="221" t="str">
        <f>IF(D42="", "Seleccionar Repuesto ↑", "Vida Util de " &amp; D42)</f>
        <v>Vida Util de Repuesto 1</v>
      </c>
      <c r="E43" s="222"/>
      <c r="F43" s="223" t="str">
        <f>IF(ISERROR(FIND("Seleccionar", D43)), "Horas/u", "")</f>
        <v>Horas/u</v>
      </c>
      <c r="G43" s="238"/>
      <c r="H43" s="385"/>
      <c r="I43" s="386"/>
      <c r="J43" s="386"/>
      <c r="K43" s="387"/>
      <c r="L43" s="399"/>
    </row>
    <row r="44" spans="2:12" s="152" customFormat="1" ht="30" customHeight="1">
      <c r="B44" s="392"/>
      <c r="C44" s="393"/>
      <c r="D44" s="232"/>
      <c r="E44" s="222"/>
      <c r="F44" s="223" t="str">
        <f>IF(D44="","","$/u")</f>
        <v/>
      </c>
      <c r="G44" s="237" t="str">
        <f>IFERROR(INDEX('INFO-Mant'!$G$9:$G$26,
       MATCH(D44, 'INFO-Mant'!$D$9:$D$26, 0)),"")</f>
        <v/>
      </c>
      <c r="H44" s="385"/>
      <c r="I44" s="386"/>
      <c r="J44" s="386"/>
      <c r="K44" s="387"/>
      <c r="L44" s="399"/>
    </row>
    <row r="45" spans="2:12" ht="30" customHeight="1">
      <c r="B45" s="392"/>
      <c r="C45" s="393"/>
      <c r="D45" s="221" t="str">
        <f>IF(D44="", "Seleccionar Repuesto ↑", "Vida Util de " &amp; D44)</f>
        <v>Seleccionar Repuesto ↑</v>
      </c>
      <c r="E45" s="222"/>
      <c r="F45" s="223" t="str">
        <f>IF(ISERROR(FIND("Seleccionar", D45)), "Horas/u", "")</f>
        <v/>
      </c>
      <c r="G45" s="238"/>
      <c r="H45" s="385"/>
      <c r="I45" s="386"/>
      <c r="J45" s="386"/>
      <c r="K45" s="387"/>
      <c r="L45" s="399"/>
    </row>
    <row r="46" spans="2:12" ht="30" customHeight="1">
      <c r="B46" s="392"/>
      <c r="C46" s="393"/>
      <c r="D46" s="232"/>
      <c r="E46" s="222"/>
      <c r="F46" s="223" t="str">
        <f>IF(D46="","","$/u")</f>
        <v/>
      </c>
      <c r="G46" s="237" t="str">
        <f>IFERROR(INDEX('INFO-Mant'!$G$9:$G$26,
       MATCH(D46, 'INFO-Mant'!$D$9:$D$26, 0)),"")</f>
        <v/>
      </c>
      <c r="H46" s="385"/>
      <c r="I46" s="386"/>
      <c r="J46" s="386"/>
      <c r="K46" s="387"/>
      <c r="L46" s="399"/>
    </row>
    <row r="47" spans="2:12" ht="30" customHeight="1">
      <c r="B47" s="392"/>
      <c r="C47" s="393"/>
      <c r="D47" s="221" t="str">
        <f>IF(D46="", "Seleccionar Repuesto ↑", "Vida Util de " &amp; D46)</f>
        <v>Seleccionar Repuesto ↑</v>
      </c>
      <c r="E47" s="222"/>
      <c r="F47" s="223" t="str">
        <f>IF(ISERROR(FIND("Seleccionar", D47)), "Horas/u", "")</f>
        <v/>
      </c>
      <c r="G47" s="240"/>
      <c r="H47" s="385"/>
      <c r="I47" s="386"/>
      <c r="J47" s="386"/>
      <c r="K47" s="387"/>
      <c r="L47" s="399"/>
    </row>
    <row r="48" spans="2:12" ht="30" customHeight="1">
      <c r="B48" s="389"/>
      <c r="C48" s="391"/>
      <c r="D48" s="221" t="s">
        <v>85</v>
      </c>
      <c r="E48" s="222"/>
      <c r="F48" s="223" t="str">
        <f>IF(D12="","","$/h")</f>
        <v>$/h</v>
      </c>
      <c r="G48" s="240"/>
      <c r="H48" s="385"/>
      <c r="I48" s="386"/>
      <c r="J48" s="386"/>
      <c r="K48" s="387"/>
      <c r="L48" s="398"/>
    </row>
    <row r="49" spans="2:12" ht="30" customHeight="1">
      <c r="B49" s="248"/>
      <c r="C49" s="249"/>
      <c r="D49" s="250"/>
      <c r="E49" s="249"/>
      <c r="F49" s="251"/>
      <c r="G49" s="252"/>
      <c r="H49" s="249"/>
      <c r="I49" s="249"/>
      <c r="J49" s="249"/>
      <c r="K49" s="249"/>
      <c r="L49" s="253"/>
    </row>
    <row r="50" spans="2:12" ht="30" customHeight="1">
      <c r="B50" s="388" t="s">
        <v>102</v>
      </c>
      <c r="C50" s="394" t="s">
        <v>103</v>
      </c>
      <c r="D50" s="232" t="s">
        <v>107</v>
      </c>
      <c r="E50" s="222"/>
      <c r="F50" s="223" t="str">
        <f>IF(D50="","","$/h")</f>
        <v>$/h</v>
      </c>
      <c r="G50" s="237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>0</v>
      </c>
      <c r="H50" s="410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>Depreciado en su totalidad</v>
      </c>
      <c r="I50" s="410"/>
      <c r="J50" s="410"/>
      <c r="K50" s="410"/>
      <c r="L50" s="255">
        <f ca="1">G50</f>
        <v>0</v>
      </c>
    </row>
    <row r="51" spans="2:12" ht="30" customHeight="1">
      <c r="B51" s="392"/>
      <c r="C51" s="395"/>
      <c r="D51" s="232" t="s">
        <v>138</v>
      </c>
      <c r="E51" s="254"/>
      <c r="F51" s="223" t="str">
        <f>IF(D51="","","$/h")</f>
        <v>$/h</v>
      </c>
      <c r="G51" s="237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>0</v>
      </c>
      <c r="H51" s="410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>Depreciado en su totalidad</v>
      </c>
      <c r="I51" s="410"/>
      <c r="J51" s="410"/>
      <c r="K51" s="410"/>
      <c r="L51" s="255">
        <f ca="1">G51</f>
        <v>0</v>
      </c>
    </row>
    <row r="52" spans="2:12" ht="30" customHeight="1">
      <c r="B52" s="392"/>
      <c r="C52" s="395"/>
      <c r="D52" s="232"/>
      <c r="E52" s="222"/>
      <c r="F52" s="223" t="str">
        <f t="shared" ref="F52:F54" si="0">IF(D52="","","$/h")</f>
        <v/>
      </c>
      <c r="G52" s="23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410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410"/>
      <c r="J52" s="410"/>
      <c r="K52" s="410"/>
      <c r="L52" s="255" t="str">
        <f ca="1">G52</f>
        <v/>
      </c>
    </row>
    <row r="53" spans="2:12" ht="30" customHeight="1">
      <c r="B53" s="392"/>
      <c r="C53" s="395"/>
      <c r="D53" s="232"/>
      <c r="E53" s="222"/>
      <c r="F53" s="223" t="str">
        <f t="shared" si="0"/>
        <v/>
      </c>
      <c r="G53" s="23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410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410"/>
      <c r="J53" s="410"/>
      <c r="K53" s="410"/>
      <c r="L53" s="255" t="str">
        <f ca="1">G53</f>
        <v/>
      </c>
    </row>
    <row r="54" spans="2:12" ht="30" customHeight="1">
      <c r="B54" s="389"/>
      <c r="C54" s="396"/>
      <c r="D54" s="232"/>
      <c r="E54" s="222"/>
      <c r="F54" s="223" t="str">
        <f t="shared" si="0"/>
        <v/>
      </c>
      <c r="G54" s="23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410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410"/>
      <c r="J54" s="410"/>
      <c r="K54" s="410"/>
      <c r="L54" s="255" t="str">
        <f ca="1">G54</f>
        <v/>
      </c>
    </row>
    <row r="55" spans="2:12" ht="30" customHeight="1">
      <c r="B55" s="146"/>
      <c r="C55" s="147"/>
      <c r="D55" s="411"/>
      <c r="E55" s="411"/>
      <c r="F55" s="30"/>
      <c r="G55" s="30"/>
      <c r="H55" s="149"/>
      <c r="I55" s="149"/>
      <c r="J55" s="149"/>
      <c r="K55" s="30"/>
      <c r="L55" s="145"/>
    </row>
    <row r="56" spans="2:12" ht="30" customHeight="1" thickBot="1">
      <c r="B56" s="153" t="s">
        <v>39</v>
      </c>
      <c r="C56" s="330"/>
      <c r="D56" s="330"/>
      <c r="E56" s="154" t="s">
        <v>23</v>
      </c>
      <c r="F56" s="368"/>
      <c r="G56" s="368"/>
      <c r="H56" s="141"/>
      <c r="I56" s="141"/>
      <c r="J56" s="141"/>
      <c r="K56" s="256"/>
      <c r="L56" s="257"/>
    </row>
    <row r="57" spans="2:12" ht="33.75" customHeight="1" thickBot="1">
      <c r="B57" s="155"/>
      <c r="C57" s="156"/>
      <c r="D57" s="156"/>
      <c r="E57" s="156"/>
      <c r="F57" s="378"/>
      <c r="G57" s="378"/>
      <c r="H57" s="157"/>
      <c r="I57" s="157"/>
      <c r="J57" s="157"/>
      <c r="K57" s="258" t="s">
        <v>106</v>
      </c>
      <c r="L57" s="259">
        <f ca="1">IFERROR(SUM(L19:L54),"")</f>
        <v>9.358740948398129</v>
      </c>
    </row>
    <row r="58" spans="2:12" ht="30" customHeight="1">
      <c r="B58" s="114"/>
      <c r="C58" s="114"/>
      <c r="D58" s="115"/>
      <c r="E58" s="115"/>
      <c r="F58" s="115"/>
      <c r="G58" s="115"/>
      <c r="H58" s="115"/>
      <c r="I58" s="115"/>
      <c r="J58" s="115"/>
      <c r="K58" s="116"/>
    </row>
    <row r="59" spans="2:12" ht="30" customHeight="1">
      <c r="B59" s="114"/>
    </row>
    <row r="60" spans="2:12" ht="30" customHeight="1">
      <c r="B60" s="114"/>
    </row>
    <row r="61" spans="2:12" ht="30" customHeight="1">
      <c r="B61" s="114"/>
      <c r="C61" s="114"/>
    </row>
    <row r="62" spans="2:12" ht="30" customHeight="1">
      <c r="B62" s="114"/>
      <c r="C62" s="114"/>
    </row>
    <row r="63" spans="2:12" ht="30" customHeight="1">
      <c r="B63" s="114"/>
      <c r="C63" s="114"/>
    </row>
    <row r="64" spans="2:12" ht="30" customHeight="1">
      <c r="B64" s="114"/>
      <c r="C64" s="114"/>
    </row>
    <row r="65" spans="2:3" ht="30" customHeight="1">
      <c r="B65" s="114"/>
      <c r="C65" s="114"/>
    </row>
    <row r="66" spans="2:3" ht="30" customHeight="1">
      <c r="B66" s="114"/>
      <c r="C66" s="114"/>
    </row>
    <row r="69" spans="2:3" ht="30" customHeight="1">
      <c r="C69" s="117"/>
    </row>
  </sheetData>
  <sheetProtection selectLockedCells="1"/>
  <mergeCells count="80">
    <mergeCell ref="F57:G57"/>
    <mergeCell ref="B50:B54"/>
    <mergeCell ref="C50:C54"/>
    <mergeCell ref="H53:K53"/>
    <mergeCell ref="H54:K54"/>
    <mergeCell ref="C56:D56"/>
    <mergeCell ref="D55:E55"/>
    <mergeCell ref="F56:G56"/>
    <mergeCell ref="B38:B39"/>
    <mergeCell ref="C38:C39"/>
    <mergeCell ref="H50:K50"/>
    <mergeCell ref="H51:K51"/>
    <mergeCell ref="H52:K52"/>
    <mergeCell ref="B40:B48"/>
    <mergeCell ref="C40:C48"/>
    <mergeCell ref="H39:K39"/>
    <mergeCell ref="H40:K40"/>
    <mergeCell ref="H41:K41"/>
    <mergeCell ref="H42:K42"/>
    <mergeCell ref="H37:K37"/>
    <mergeCell ref="H38:K38"/>
    <mergeCell ref="L40:L48"/>
    <mergeCell ref="H44:K44"/>
    <mergeCell ref="H45:K45"/>
    <mergeCell ref="H46:K46"/>
    <mergeCell ref="H47:K47"/>
    <mergeCell ref="H48:K48"/>
    <mergeCell ref="H43:K43"/>
    <mergeCell ref="L38:L39"/>
    <mergeCell ref="C3:D3"/>
    <mergeCell ref="F3:G3"/>
    <mergeCell ref="C6:D6"/>
    <mergeCell ref="F6:G6"/>
    <mergeCell ref="C7:D7"/>
    <mergeCell ref="F7:G7"/>
    <mergeCell ref="H9:K9"/>
    <mergeCell ref="H10:K10"/>
    <mergeCell ref="H11:K11"/>
    <mergeCell ref="B10:B15"/>
    <mergeCell ref="C10:C15"/>
    <mergeCell ref="L10:L15"/>
    <mergeCell ref="H13:K13"/>
    <mergeCell ref="H15:K15"/>
    <mergeCell ref="H16:K16"/>
    <mergeCell ref="H17:K17"/>
    <mergeCell ref="H14:K14"/>
    <mergeCell ref="B16:B20"/>
    <mergeCell ref="C16:C20"/>
    <mergeCell ref="B21:B24"/>
    <mergeCell ref="C21:C24"/>
    <mergeCell ref="L16:L20"/>
    <mergeCell ref="H20:K20"/>
    <mergeCell ref="H18:K18"/>
    <mergeCell ref="H19:K19"/>
    <mergeCell ref="L21:L24"/>
    <mergeCell ref="H23:K23"/>
    <mergeCell ref="H24:K24"/>
    <mergeCell ref="H21:K21"/>
    <mergeCell ref="H22:K22"/>
    <mergeCell ref="H35:K35"/>
    <mergeCell ref="H36:K36"/>
    <mergeCell ref="L30:L34"/>
    <mergeCell ref="H34:K34"/>
    <mergeCell ref="L35:L36"/>
    <mergeCell ref="H33:K33"/>
    <mergeCell ref="H30:K30"/>
    <mergeCell ref="H31:K31"/>
    <mergeCell ref="H32:K32"/>
    <mergeCell ref="B35:B36"/>
    <mergeCell ref="C35:C36"/>
    <mergeCell ref="B25:B29"/>
    <mergeCell ref="C25:C29"/>
    <mergeCell ref="B30:B34"/>
    <mergeCell ref="C30:C34"/>
    <mergeCell ref="L25:L29"/>
    <mergeCell ref="H29:K29"/>
    <mergeCell ref="H28:K28"/>
    <mergeCell ref="H25:K25"/>
    <mergeCell ref="H26:K26"/>
    <mergeCell ref="H27:K27"/>
  </mergeCells>
  <dataValidations count="10">
    <dataValidation allowBlank="1" showInputMessage="1" showErrorMessage="1" prompt="Escriba comentarios en las celdas de la derecha." sqref="C69"/>
    <dataValidation allowBlank="1" showInputMessage="1" showErrorMessage="1" prompt="Escriba el departamento del empleado en la celda de la derecha." sqref="B64:C66"/>
    <dataValidation type="list" allowBlank="1" showInputMessage="1" showErrorMessage="1" sqref="D51:D54">
      <formula1>Herramientas_Ensamble</formula1>
    </dataValidation>
    <dataValidation type="list" allowBlank="1" showInputMessage="1" showErrorMessage="1" sqref="D12">
      <formula1>Areas_Ensamble</formula1>
    </dataValidation>
    <dataValidation type="list" allowBlank="1" showInputMessage="1" showErrorMessage="1" sqref="D10 D50">
      <formula1>Maquinaria_Ensamble</formula1>
    </dataValidation>
    <dataValidation type="list" allowBlank="1" showInputMessage="1" showErrorMessage="1" sqref="D16 D18">
      <formula1>Lubricantes_Ensamble</formula1>
    </dataValidation>
    <dataValidation type="list" allowBlank="1" showInputMessage="1" showErrorMessage="1" sqref="D21">
      <formula1>AireComprimido_Ensamble</formula1>
    </dataValidation>
    <dataValidation type="list" allowBlank="1" showInputMessage="1" showErrorMessage="1" sqref="D25 D27">
      <formula1>Refrigerantes_Ensamble</formula1>
    </dataValidation>
    <dataValidation type="list" allowBlank="1" showInputMessage="1" showErrorMessage="1" sqref="D30 D32">
      <formula1>Solvente_Ensamble</formula1>
    </dataValidation>
    <dataValidation type="list" allowBlank="1" showInputMessage="1" showErrorMessage="1" sqref="D42 D44 D46">
      <formula1>Repuestos_Ensamble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7" r:id="rId4" name="Button 9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54</xdr:row>
                    <xdr:rowOff>333375</xdr:rowOff>
                  </from>
                  <to>
                    <xdr:col>1</xdr:col>
                    <xdr:colOff>1762125</xdr:colOff>
                    <xdr:row>55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1">
    <tabColor rgb="FF0070C0"/>
    <pageSetUpPr autoPageBreaks="0" fitToPage="1"/>
  </sheetPr>
  <dimension ref="B1:M58"/>
  <sheetViews>
    <sheetView showGridLines="0" zoomScale="80" zoomScaleNormal="80" workbookViewId="0">
      <selection activeCell="D12" sqref="D12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3.140625" style="80" bestFit="1" customWidth="1"/>
    <col min="5" max="5" width="20.5703125" style="80" customWidth="1"/>
    <col min="6" max="6" width="16.5703125" style="80" bestFit="1" customWidth="1"/>
    <col min="7" max="7" width="19.7109375" style="80" bestFit="1" customWidth="1"/>
    <col min="8" max="8" width="15.28515625" style="80" customWidth="1"/>
    <col min="9" max="10" width="17" style="80" customWidth="1"/>
    <col min="11" max="11" width="28.42578125" style="80" customWidth="1"/>
    <col min="12" max="12" width="20.7109375" style="80" customWidth="1"/>
    <col min="13" max="13" width="2.7109375" style="80" customWidth="1"/>
    <col min="14" max="16384" width="9.140625" style="80"/>
  </cols>
  <sheetData>
    <row r="1" spans="2:13" ht="12" customHeight="1" thickBot="1"/>
    <row r="2" spans="2:13" ht="30" customHeight="1">
      <c r="B2" s="126" t="s">
        <v>95</v>
      </c>
      <c r="C2" s="127"/>
      <c r="D2" s="128"/>
      <c r="E2" s="128"/>
      <c r="F2" s="128"/>
      <c r="G2" s="128"/>
      <c r="H2" s="128"/>
      <c r="I2" s="128"/>
      <c r="J2" s="128"/>
      <c r="K2" s="128"/>
      <c r="L2" s="129"/>
    </row>
    <row r="3" spans="2:13" ht="30" customHeight="1">
      <c r="B3" s="130" t="s">
        <v>96</v>
      </c>
      <c r="C3" s="406" t="s">
        <v>178</v>
      </c>
      <c r="D3" s="406"/>
      <c r="E3" s="125" t="s">
        <v>3</v>
      </c>
      <c r="F3" s="356">
        <f ca="1">TODAY()</f>
        <v>46020</v>
      </c>
      <c r="G3" s="356"/>
      <c r="H3" s="125" t="s">
        <v>61</v>
      </c>
      <c r="I3" s="162">
        <f>'INFO-Direc'!H3</f>
        <v>1445</v>
      </c>
      <c r="J3" s="131"/>
      <c r="K3" s="132"/>
      <c r="L3" s="133"/>
      <c r="M3" s="134"/>
    </row>
    <row r="4" spans="2:13" ht="30" customHeight="1">
      <c r="B4" s="130" t="s">
        <v>97</v>
      </c>
      <c r="C4" s="160">
        <f>IFERROR(INDEX('INFO-OEE'!E17:CL17,
       MATCH(C3, 'INFO-OEE'!E9:CL9, 0)),"")</f>
        <v>0.8</v>
      </c>
      <c r="D4" s="135"/>
      <c r="E4" s="136"/>
      <c r="F4" s="136"/>
      <c r="G4" s="136"/>
      <c r="H4" s="125"/>
      <c r="I4" s="137"/>
      <c r="J4" s="131"/>
      <c r="K4" s="132"/>
      <c r="L4" s="138"/>
      <c r="M4" s="89"/>
    </row>
    <row r="5" spans="2:13" ht="30" customHeight="1">
      <c r="B5" s="139" t="s">
        <v>4</v>
      </c>
      <c r="C5" s="140"/>
      <c r="D5" s="141"/>
      <c r="E5" s="141"/>
      <c r="F5" s="141"/>
      <c r="G5" s="141"/>
      <c r="H5" s="141"/>
      <c r="I5" s="141"/>
      <c r="J5" s="141"/>
      <c r="K5" s="141"/>
      <c r="L5" s="142"/>
    </row>
    <row r="6" spans="2:13" ht="30" customHeight="1">
      <c r="B6" s="143" t="s">
        <v>5</v>
      </c>
      <c r="C6" s="407" t="s">
        <v>205</v>
      </c>
      <c r="D6" s="407"/>
      <c r="E6" s="144" t="s">
        <v>6</v>
      </c>
      <c r="F6" s="407"/>
      <c r="G6" s="407"/>
      <c r="H6" s="141"/>
      <c r="I6" s="141"/>
      <c r="J6" s="141"/>
      <c r="K6" s="30"/>
      <c r="L6" s="145"/>
    </row>
    <row r="7" spans="2:13" ht="30" customHeight="1">
      <c r="B7" s="143" t="s">
        <v>7</v>
      </c>
      <c r="C7" s="407"/>
      <c r="D7" s="407"/>
      <c r="E7" s="144" t="s">
        <v>62</v>
      </c>
      <c r="F7" s="408"/>
      <c r="G7" s="408"/>
      <c r="H7" s="141"/>
      <c r="I7" s="141"/>
      <c r="J7" s="141"/>
      <c r="K7" s="30"/>
      <c r="L7" s="145"/>
    </row>
    <row r="8" spans="2:13" ht="30" customHeight="1" thickBot="1">
      <c r="B8" s="146"/>
      <c r="C8" s="147"/>
      <c r="D8" s="148"/>
      <c r="E8" s="148"/>
      <c r="F8" s="30"/>
      <c r="G8" s="30"/>
      <c r="H8" s="149"/>
      <c r="I8" s="149"/>
      <c r="J8" s="149"/>
      <c r="K8" s="30"/>
      <c r="L8" s="145"/>
    </row>
    <row r="9" spans="2:13" ht="30" customHeight="1" thickBot="1">
      <c r="B9" s="67" t="s">
        <v>9</v>
      </c>
      <c r="C9" s="190" t="s">
        <v>63</v>
      </c>
      <c r="D9" s="190" t="s">
        <v>64</v>
      </c>
      <c r="E9" s="190" t="s">
        <v>65</v>
      </c>
      <c r="F9" s="190" t="s">
        <v>66</v>
      </c>
      <c r="G9" s="190" t="s">
        <v>67</v>
      </c>
      <c r="H9" s="319" t="s">
        <v>68</v>
      </c>
      <c r="I9" s="319"/>
      <c r="J9" s="319"/>
      <c r="K9" s="319"/>
      <c r="L9" s="191" t="s">
        <v>98</v>
      </c>
    </row>
    <row r="10" spans="2:13" ht="30" customHeight="1">
      <c r="B10" s="404" t="s">
        <v>88</v>
      </c>
      <c r="C10" s="405" t="s">
        <v>89</v>
      </c>
      <c r="D10" s="231" t="s">
        <v>178</v>
      </c>
      <c r="E10" s="218"/>
      <c r="F10" s="219" t="str">
        <f>IF(D10="","","kW")</f>
        <v>kW</v>
      </c>
      <c r="G10" s="220">
        <f>IF(D10="","",IFERROR(INDEX('[4]INFO-Consumo'!$F$9:$F$95,
       MATCH(D10, '[4]INFO-Consumo'!$D$9:$D$95, 0)),""))</f>
        <v>2.2000000000000002</v>
      </c>
      <c r="H10" s="401"/>
      <c r="I10" s="402"/>
      <c r="J10" s="402"/>
      <c r="K10" s="403"/>
      <c r="L10" s="400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0.37569614505508631</v>
      </c>
    </row>
    <row r="11" spans="2:13" ht="30" customHeight="1">
      <c r="B11" s="392"/>
      <c r="C11" s="393"/>
      <c r="D11" s="221" t="str">
        <f>IF(D10="", "Seleccionar Maquinaria ↑", "Carga Promedio de Uso de " &amp; D10)</f>
        <v>Carga Promedio de Uso de PRENSA QY-10-1</v>
      </c>
      <c r="E11" s="222"/>
      <c r="F11" s="223" t="str">
        <f>IF(ISERROR(FIND("Seleccionar", D11)), "%", "")</f>
        <v>%</v>
      </c>
      <c r="G11" s="289">
        <f>IF(D10="","",IFERROR(
    INDEX('[4]INFO-Consumo'!I:I,
           MATCH(D10, '[4]INFO-Consumo'!D:D, 0)
    ),
""))</f>
        <v>0.6</v>
      </c>
      <c r="H11" s="384"/>
      <c r="I11" s="384"/>
      <c r="J11" s="384"/>
      <c r="K11" s="384"/>
      <c r="L11" s="399"/>
    </row>
    <row r="12" spans="2:13" ht="30" customHeight="1">
      <c r="B12" s="392"/>
      <c r="C12" s="393"/>
      <c r="D12" s="232" t="s">
        <v>173</v>
      </c>
      <c r="E12" s="222"/>
      <c r="F12" s="223" t="str">
        <f>IF(D12="","","kW")</f>
        <v>kW</v>
      </c>
      <c r="G12" s="224">
        <f>IFERROR(INDEX('[4]INFO-Ponderacion'!$S$9:$S$13,
       MATCH(D12,'[4]INFO-Ponderacion'!$C$9:$C$13, 0)),"")</f>
        <v>2.4095999999999997</v>
      </c>
      <c r="H12" s="286"/>
      <c r="I12" s="287"/>
      <c r="J12" s="287"/>
      <c r="K12" s="288"/>
      <c r="L12" s="399"/>
    </row>
    <row r="13" spans="2:13" ht="30" customHeight="1">
      <c r="B13" s="392"/>
      <c r="C13" s="393"/>
      <c r="D13" s="221" t="str">
        <f>IF(D12="", "Seleccionar Area ↑", "Tarifa Electrica ")</f>
        <v xml:space="preserve">Tarifa Electrica </v>
      </c>
      <c r="E13" s="222"/>
      <c r="F13" s="223" t="str">
        <f>IF(D12="","","$/kWh")</f>
        <v>$/kWh</v>
      </c>
      <c r="G13" s="228">
        <f>IF(D12="","",'INFO-Direc'!$G$9)</f>
        <v>5.2613958629577628E-2</v>
      </c>
      <c r="H13" s="384"/>
      <c r="I13" s="384"/>
      <c r="J13" s="384"/>
      <c r="K13" s="384"/>
      <c r="L13" s="399"/>
    </row>
    <row r="14" spans="2:13" ht="30" customHeight="1">
      <c r="B14" s="392"/>
      <c r="C14" s="393"/>
      <c r="D14" s="229" t="str">
        <f>IF(D12="", "Seleccionar Area ↑", "Costo Electrico Fijo de " &amp; D12)</f>
        <v>Costo Electrico Fijo de Ensamble</v>
      </c>
      <c r="E14" s="222"/>
      <c r="F14" s="223" t="str">
        <f>IF(D12="","","$/h")</f>
        <v>$/h</v>
      </c>
      <c r="G14" s="228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0.17946712495021358</v>
      </c>
      <c r="H14" s="385"/>
      <c r="I14" s="386"/>
      <c r="J14" s="386"/>
      <c r="K14" s="387"/>
      <c r="L14" s="399"/>
    </row>
    <row r="15" spans="2:13" ht="30" customHeight="1">
      <c r="B15" s="389"/>
      <c r="C15" s="391"/>
      <c r="D15" s="229" t="s">
        <v>85</v>
      </c>
      <c r="E15" s="230"/>
      <c r="F15" s="223" t="str">
        <f>IF(D12="","","$/h")</f>
        <v>$/h</v>
      </c>
      <c r="G15" s="233"/>
      <c r="H15" s="385"/>
      <c r="I15" s="386"/>
      <c r="J15" s="386"/>
      <c r="K15" s="387"/>
      <c r="L15" s="398"/>
    </row>
    <row r="16" spans="2:13" ht="30" customHeight="1">
      <c r="B16" s="388" t="s">
        <v>90</v>
      </c>
      <c r="C16" s="394" t="s">
        <v>89</v>
      </c>
      <c r="D16" s="232"/>
      <c r="E16" s="222"/>
      <c r="F16" s="223" t="str">
        <f>IF(D16="","","$/L")</f>
        <v/>
      </c>
      <c r="G16" s="228" t="str">
        <f>IFERROR(INDEX('INFO-Direc'!$G$9:$G$25,
       MATCH(D16, 'INFO-Direc'!$D$9:$D$25, 0)),"")</f>
        <v/>
      </c>
      <c r="H16" s="384"/>
      <c r="I16" s="384"/>
      <c r="J16" s="384"/>
      <c r="K16" s="384"/>
      <c r="L16" s="397" t="str">
        <f>IF(AND(D16="", D18=""), "",
    IFERROR(
        IFERROR(G16*G17,0)
        + IFERROR(G18*G19,0)
        + IFERROR(G20,0),
    "")
)</f>
        <v/>
      </c>
    </row>
    <row r="17" spans="2:12" ht="30" customHeight="1">
      <c r="B17" s="392"/>
      <c r="C17" s="395"/>
      <c r="D17" s="221" t="str">
        <f>IF(D16="", "Seleccionar Lubricante ↑", "Consumo de " &amp; D16)</f>
        <v>Seleccionar Lubricante ↑</v>
      </c>
      <c r="E17" s="222"/>
      <c r="F17" s="223" t="str">
        <f>IF(ISERROR(FIND("Seleccionar", D17)), "L/h", "")</f>
        <v/>
      </c>
      <c r="G17" s="234"/>
      <c r="H17" s="384"/>
      <c r="I17" s="384"/>
      <c r="J17" s="384"/>
      <c r="K17" s="384"/>
      <c r="L17" s="399"/>
    </row>
    <row r="18" spans="2:12" ht="30" customHeight="1">
      <c r="B18" s="392"/>
      <c r="C18" s="395"/>
      <c r="D18" s="232"/>
      <c r="E18" s="222"/>
      <c r="F18" s="223" t="str">
        <f>IF(D18="","","$/L")</f>
        <v/>
      </c>
      <c r="G18" s="228" t="str">
        <f>IFERROR(INDEX('INFO-Direc'!$G$9:$G$25,
       MATCH(D18, 'INFO-Direc'!$D$9:$D$25, 0)),"")</f>
        <v/>
      </c>
      <c r="H18" s="385"/>
      <c r="I18" s="386"/>
      <c r="J18" s="386"/>
      <c r="K18" s="387"/>
      <c r="L18" s="399"/>
    </row>
    <row r="19" spans="2:12" ht="30" customHeight="1">
      <c r="B19" s="392"/>
      <c r="C19" s="395"/>
      <c r="D19" s="221" t="str">
        <f>IF(D18="", "Seleccionar Lubricante ↑", "Consumo de " &amp; D18)</f>
        <v>Seleccionar Lubricante ↑</v>
      </c>
      <c r="E19" s="222"/>
      <c r="F19" s="223" t="str">
        <f>IF(ISERROR(FIND("Seleccionar", D19)), "L/h", "")</f>
        <v/>
      </c>
      <c r="G19" s="234"/>
      <c r="H19" s="385"/>
      <c r="I19" s="386"/>
      <c r="J19" s="386"/>
      <c r="K19" s="387"/>
      <c r="L19" s="399"/>
    </row>
    <row r="20" spans="2:12" ht="30" customHeight="1">
      <c r="B20" s="389"/>
      <c r="C20" s="396"/>
      <c r="D20" s="221" t="s">
        <v>85</v>
      </c>
      <c r="E20" s="222"/>
      <c r="F20" s="223" t="str">
        <f>IF(OR(D16&lt;&gt;"", D18&lt;&gt;""), "$/h", "")</f>
        <v/>
      </c>
      <c r="G20" s="233"/>
      <c r="H20" s="384"/>
      <c r="I20" s="384"/>
      <c r="J20" s="384"/>
      <c r="K20" s="384"/>
      <c r="L20" s="398"/>
    </row>
    <row r="21" spans="2:12" ht="30" customHeight="1">
      <c r="B21" s="388" t="s">
        <v>92</v>
      </c>
      <c r="C21" s="390" t="s">
        <v>89</v>
      </c>
      <c r="D21" s="232" t="s">
        <v>138</v>
      </c>
      <c r="E21" s="222"/>
      <c r="F21" s="223" t="str">
        <f>IF(D21="","","kW")</f>
        <v>kW</v>
      </c>
      <c r="G21" s="228">
        <f>IFERROR(INDEX('INFO-Direc'!$G$9:$G$25,
       MATCH(D21, 'INFO-Direc'!$D$9:$D$25, 0)),"")</f>
        <v>56</v>
      </c>
      <c r="H21" s="385"/>
      <c r="I21" s="386"/>
      <c r="J21" s="386"/>
      <c r="K21" s="387"/>
      <c r="L21" s="397">
        <f>IFERROR(G21*G13*G22+G23+G24,"")</f>
        <v>1.8303340099538083</v>
      </c>
    </row>
    <row r="22" spans="2:12" ht="30" customHeight="1">
      <c r="B22" s="392"/>
      <c r="C22" s="393"/>
      <c r="D22" s="221" t="str">
        <f>IF(D21="", "Seleccionar Compresor ↑", "Carga Promedio de Uso de " &amp; D21)</f>
        <v>Carga Promedio de Uso de Compresor</v>
      </c>
      <c r="E22" s="222"/>
      <c r="F22" s="223" t="str">
        <f>IF(ISERROR(FIND("Seleccionar", D22)), "%", "")</f>
        <v>%</v>
      </c>
      <c r="G22" s="289">
        <f>IF(D21="","",IFERROR(
    INDEX('[4]INFO-Consumo'!I:I,
           MATCH(D21, '[4]INFO-Consumo'!D:D, 0)
    ),
""))</f>
        <v>0.6</v>
      </c>
      <c r="H22" s="384"/>
      <c r="I22" s="384"/>
      <c r="J22" s="384"/>
      <c r="K22" s="384"/>
      <c r="L22" s="399"/>
    </row>
    <row r="23" spans="2:12" ht="30" customHeight="1">
      <c r="B23" s="392"/>
      <c r="C23" s="393"/>
      <c r="D23" s="235" t="str">
        <f>IF(D21="", "Seleccionar Compresor ↑", "Costo de Repuestos " &amp; D21)</f>
        <v>Costo de Repuestos Compresor</v>
      </c>
      <c r="E23" s="222"/>
      <c r="F23" s="223" t="str">
        <f>IF(ISERROR(FIND("Seleccionar", D23)), "$/h", "")</f>
        <v>$/h</v>
      </c>
      <c r="G23" s="236">
        <f>IF(D21="","", SUM(IF(ISNUMBER(FIND("Compresor", 'INFO-Mant'!D9:D26)), 'INFO-Mant'!G9:G26 / 'INFO-Mant'!H9:H26, 0)))</f>
        <v>6.2505000000000005E-2</v>
      </c>
      <c r="H23" s="385"/>
      <c r="I23" s="386"/>
      <c r="J23" s="386"/>
      <c r="K23" s="387"/>
      <c r="L23" s="399"/>
    </row>
    <row r="24" spans="2:12" ht="30" customHeight="1">
      <c r="B24" s="389"/>
      <c r="C24" s="391"/>
      <c r="D24" s="221" t="s">
        <v>85</v>
      </c>
      <c r="E24" s="222"/>
      <c r="F24" s="223" t="str">
        <f>IF(D21="","","$/h")</f>
        <v>$/h</v>
      </c>
      <c r="G24" s="233"/>
      <c r="H24" s="384"/>
      <c r="I24" s="384"/>
      <c r="J24" s="384"/>
      <c r="K24" s="384"/>
      <c r="L24" s="398"/>
    </row>
    <row r="25" spans="2:12" ht="30" customHeight="1">
      <c r="B25" s="388" t="s">
        <v>94</v>
      </c>
      <c r="C25" s="390" t="s">
        <v>89</v>
      </c>
      <c r="D25" s="232"/>
      <c r="E25" s="222"/>
      <c r="F25" s="223" t="str">
        <f>IF(D25="","","$/L")</f>
        <v/>
      </c>
      <c r="G25" s="228" t="str">
        <f>IFERROR(INDEX('INFO-Direc'!$G$9:$G$25,
       MATCH(D25, 'INFO-Direc'!$D$9:$D$25, 0)),"")</f>
        <v/>
      </c>
      <c r="H25" s="384"/>
      <c r="I25" s="384"/>
      <c r="J25" s="384"/>
      <c r="K25" s="384"/>
      <c r="L25" s="381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92"/>
      <c r="C26" s="393"/>
      <c r="D26" s="221" t="str">
        <f>IF(D25="", "Seleccionar Refrigerante ↑", "Consumo de " &amp; D25)</f>
        <v>Seleccionar Refrigerante ↑</v>
      </c>
      <c r="E26" s="222"/>
      <c r="F26" s="223" t="str">
        <f>IF(ISERROR(FIND("Seleccionar", D26)), "L/Año", "")</f>
        <v/>
      </c>
      <c r="G26" s="238"/>
      <c r="H26" s="384"/>
      <c r="I26" s="384"/>
      <c r="J26" s="384"/>
      <c r="K26" s="384"/>
      <c r="L26" s="382"/>
    </row>
    <row r="27" spans="2:12" ht="30" customHeight="1">
      <c r="B27" s="392"/>
      <c r="C27" s="393"/>
      <c r="D27" s="232"/>
      <c r="E27" s="222"/>
      <c r="F27" s="223" t="str">
        <f>IF(D27="","","$/L")</f>
        <v/>
      </c>
      <c r="G27" s="228" t="str">
        <f>IFERROR(INDEX('INFO-Direc'!$G$9:$G$25,
       MATCH(D27, 'INFO-Direc'!$D$9:$D$25, 0)),"")</f>
        <v/>
      </c>
      <c r="H27" s="385"/>
      <c r="I27" s="386"/>
      <c r="J27" s="386"/>
      <c r="K27" s="387"/>
      <c r="L27" s="382"/>
    </row>
    <row r="28" spans="2:12" ht="30" customHeight="1">
      <c r="B28" s="392"/>
      <c r="C28" s="393"/>
      <c r="D28" s="221" t="str">
        <f>IF(D27="", "Seleccionar Refrigerante ↑", "Consumo de " &amp; D27)</f>
        <v>Seleccionar Refrigerante ↑</v>
      </c>
      <c r="E28" s="222"/>
      <c r="F28" s="223" t="str">
        <f>IF(ISERROR(FIND("Seleccionar", D28)), "L/Año", "")</f>
        <v/>
      </c>
      <c r="G28" s="239"/>
      <c r="H28" s="385"/>
      <c r="I28" s="386"/>
      <c r="J28" s="386"/>
      <c r="K28" s="387"/>
      <c r="L28" s="382"/>
    </row>
    <row r="29" spans="2:12" ht="30" customHeight="1">
      <c r="B29" s="389"/>
      <c r="C29" s="391"/>
      <c r="D29" s="221" t="s">
        <v>85</v>
      </c>
      <c r="E29" s="222"/>
      <c r="F29" s="223" t="str">
        <f>IF(OR(D25&lt;&gt;"", D27&lt;&gt;""), "$/h", "")</f>
        <v/>
      </c>
      <c r="G29" s="233"/>
      <c r="H29" s="384"/>
      <c r="I29" s="384"/>
      <c r="J29" s="384"/>
      <c r="K29" s="384"/>
      <c r="L29" s="383"/>
    </row>
    <row r="30" spans="2:12" s="152" customFormat="1" ht="30" customHeight="1">
      <c r="B30" s="388" t="s">
        <v>168</v>
      </c>
      <c r="C30" s="394" t="s">
        <v>89</v>
      </c>
      <c r="D30" s="232"/>
      <c r="E30" s="222"/>
      <c r="F30" s="223" t="str">
        <f>IF(D30="","","$/L")</f>
        <v/>
      </c>
      <c r="G30" s="228" t="str">
        <f>IFERROR(INDEX('INFO-Direc'!$G$9:$G$25,
       MATCH(D30, 'INFO-Direc'!$D$9:$D$25, 0)),"")</f>
        <v/>
      </c>
      <c r="H30" s="384"/>
      <c r="I30" s="384"/>
      <c r="J30" s="384"/>
      <c r="K30" s="384"/>
      <c r="L30" s="381" t="str">
        <f>IF(
    AND(D30="", D32=""),
    "",
    IFERROR(
        IFERROR(G30 / (INDEX('INFO-OEE'!$E$18:$CA$18,
                               MATCH(#REF!, 'INFO-OEE'!$E$9:$CA$9, 0)) * 12), 0)
        * G31
        +
        IFERROR(G32 / (INDEX('INFO-OEE'!$E$18:$CA$18,
                               MATCH(#REF!, 'INFO-OEE'!$E$9:$CA$9, 0)) * 12), 0)
        * G33
        +
        IFERROR(G34, 0),
    "")
)</f>
        <v/>
      </c>
    </row>
    <row r="31" spans="2:12" s="152" customFormat="1" ht="30" customHeight="1">
      <c r="B31" s="392"/>
      <c r="C31" s="395"/>
      <c r="D31" s="221" t="str">
        <f>IF(D30="", "Seleccionar Solvente ↑", "Consumo de " &amp; D30)</f>
        <v>Seleccionar Solvente ↑</v>
      </c>
      <c r="E31" s="222"/>
      <c r="F31" s="223" t="str">
        <f>IF(ISERROR(FIND("Seleccionar", D31)), "L/Año", "")</f>
        <v/>
      </c>
      <c r="G31" s="234"/>
      <c r="H31" s="384"/>
      <c r="I31" s="384"/>
      <c r="J31" s="384"/>
      <c r="K31" s="384"/>
      <c r="L31" s="382"/>
    </row>
    <row r="32" spans="2:12" s="152" customFormat="1" ht="30" customHeight="1">
      <c r="B32" s="392"/>
      <c r="C32" s="395"/>
      <c r="D32" s="232"/>
      <c r="E32" s="222"/>
      <c r="F32" s="223" t="str">
        <f>IF(D32="","","$/L")</f>
        <v/>
      </c>
      <c r="G32" s="228" t="str">
        <f>IFERROR(INDEX('INFO-Direc'!$G$9:$G$25,
       MATCH(D32, 'INFO-Direc'!$D$9:$D$25, 0)),"")</f>
        <v/>
      </c>
      <c r="H32" s="385"/>
      <c r="I32" s="386"/>
      <c r="J32" s="386"/>
      <c r="K32" s="387"/>
      <c r="L32" s="382"/>
    </row>
    <row r="33" spans="2:12" s="152" customFormat="1" ht="30" customHeight="1">
      <c r="B33" s="392"/>
      <c r="C33" s="395"/>
      <c r="D33" s="221" t="str">
        <f>IF(D32="", "Seleccionar Solvente ↑", "Consumo de " &amp; D32)</f>
        <v>Seleccionar Solvente ↑</v>
      </c>
      <c r="E33" s="222"/>
      <c r="F33" s="223" t="str">
        <f>IF(ISERROR(FIND("Seleccionar", D33)), "L/Año", "")</f>
        <v/>
      </c>
      <c r="G33" s="234"/>
      <c r="H33" s="385"/>
      <c r="I33" s="386"/>
      <c r="J33" s="386"/>
      <c r="K33" s="387"/>
      <c r="L33" s="382"/>
    </row>
    <row r="34" spans="2:12" s="152" customFormat="1" ht="30" customHeight="1">
      <c r="B34" s="389"/>
      <c r="C34" s="396"/>
      <c r="D34" s="221" t="s">
        <v>85</v>
      </c>
      <c r="E34" s="222"/>
      <c r="F34" s="223" t="str">
        <f>IF(OR(D30&lt;&gt;"", D32&lt;&gt;""), "$/h", "")</f>
        <v/>
      </c>
      <c r="G34" s="233"/>
      <c r="H34" s="384"/>
      <c r="I34" s="384"/>
      <c r="J34" s="384"/>
      <c r="K34" s="384"/>
      <c r="L34" s="383"/>
    </row>
    <row r="35" spans="2:12" ht="30" customHeight="1">
      <c r="B35" s="388" t="s">
        <v>100</v>
      </c>
      <c r="C35" s="390" t="s">
        <v>89</v>
      </c>
      <c r="D35" s="221" t="str">
        <f>IF(D12="", "Seleccionar Area ↑", "Costo de Operarios")</f>
        <v>Costo de Operarios</v>
      </c>
      <c r="E35" s="222"/>
      <c r="F35" s="223" t="str">
        <f>IF(D12="","","$/mes")</f>
        <v>$/mes</v>
      </c>
      <c r="G35" s="237">
        <f>IF(D12="","",IFERROR(
    INDEX('INFO-Personal'!$E$26:$CA$26,
           MATCH($C$3, 'INFO-Personal'!$E$9:$CA$9, 0)
    ),
""))</f>
        <v>647.14907205574923</v>
      </c>
      <c r="H35" s="384"/>
      <c r="I35" s="384"/>
      <c r="J35" s="384"/>
      <c r="K35" s="384"/>
      <c r="L35" s="397">
        <f>IFERROR(
    (G35 / INDEX('INFO-OEE'!$E$18:$CA$18,
                  MATCH($C$3, 'INFO-OEE'!$E$9:$CA$9, 0)))
    + G36,
"")</f>
        <v>4.5962292049414</v>
      </c>
    </row>
    <row r="36" spans="2:12" ht="30" customHeight="1">
      <c r="B36" s="389"/>
      <c r="C36" s="391"/>
      <c r="D36" s="221" t="s">
        <v>85</v>
      </c>
      <c r="E36" s="222"/>
      <c r="F36" s="223" t="str">
        <f>IF(D12="","","$/h")</f>
        <v>$/h</v>
      </c>
      <c r="G36" s="240"/>
      <c r="H36" s="384"/>
      <c r="I36" s="384"/>
      <c r="J36" s="384"/>
      <c r="K36" s="384"/>
      <c r="L36" s="398"/>
    </row>
    <row r="37" spans="2:12" ht="30" customHeight="1">
      <c r="B37" s="241"/>
      <c r="C37" s="242"/>
      <c r="D37" s="243"/>
      <c r="E37" s="242"/>
      <c r="F37" s="244"/>
      <c r="G37" s="245"/>
      <c r="H37" s="409"/>
      <c r="I37" s="409"/>
      <c r="J37" s="409"/>
      <c r="K37" s="409"/>
      <c r="L37" s="246"/>
    </row>
    <row r="38" spans="2:12" ht="30" customHeight="1">
      <c r="B38" s="388" t="s">
        <v>16</v>
      </c>
      <c r="C38" s="390" t="s">
        <v>69</v>
      </c>
      <c r="D38" s="221" t="str">
        <f>IF(D12="", "Seleccionar Area ↑", "Costo de Supervisores")</f>
        <v>Costo de Supervisores</v>
      </c>
      <c r="E38" s="222"/>
      <c r="F38" s="247" t="str">
        <f>IF(D12="","","$/mes")</f>
        <v>$/mes</v>
      </c>
      <c r="G38" s="237">
        <f>IF(D12="","",IFERROR(
    INDEX('INFO-Personal'!$E$27:$CA$27,
           MATCH($C$3, 'INFO-Personal'!$E$9:$CA$9, 0)
    ),
""))</f>
        <v>89.232053492110026</v>
      </c>
      <c r="H38" s="385"/>
      <c r="I38" s="386"/>
      <c r="J38" s="386"/>
      <c r="K38" s="387"/>
      <c r="L38" s="397">
        <f>IFERROR(
    (G38 / INDEX('INFO-OEE'!$E$18:$CA$18,
                  MATCH($C$3, 'INFO-OEE'!$E$9:$CA$9, 0)))
    + G39,
"")</f>
        <v>0.63375037991555416</v>
      </c>
    </row>
    <row r="39" spans="2:12" ht="30" customHeight="1">
      <c r="B39" s="392"/>
      <c r="C39" s="393"/>
      <c r="D39" s="221" t="s">
        <v>85</v>
      </c>
      <c r="E39" s="222"/>
      <c r="F39" s="223" t="str">
        <f>IF(D12="","","$/h")</f>
        <v>$/h</v>
      </c>
      <c r="G39" s="240"/>
      <c r="H39" s="385"/>
      <c r="I39" s="386"/>
      <c r="J39" s="386"/>
      <c r="K39" s="387"/>
      <c r="L39" s="399"/>
    </row>
    <row r="40" spans="2:12" ht="30" customHeight="1">
      <c r="B40" s="388" t="s">
        <v>101</v>
      </c>
      <c r="C40" s="390" t="s">
        <v>69</v>
      </c>
      <c r="D40" s="221" t="str">
        <f>IF(D12="", "Seleccionar Area ↑", "Costo de Mant. Preventivo")</f>
        <v>Costo de Mant. Preventivo</v>
      </c>
      <c r="E40" s="222"/>
      <c r="F40" s="247" t="str">
        <f>IF(D12="","","$/mes")</f>
        <v>$/mes</v>
      </c>
      <c r="G40" s="237">
        <f>IF(D12="","",IFERROR(
    INDEX('INFO-Personal'!$E$28:$CA$28,
           MATCH($C$3, 'INFO-Personal'!$E$9:$CA$9, 0)
    ),
""))</f>
        <v>3.4161288796569287</v>
      </c>
      <c r="H40" s="385"/>
      <c r="I40" s="386"/>
      <c r="J40" s="386"/>
      <c r="K40" s="387"/>
      <c r="L40" s="397">
        <f>IF(D12="","",SUM(
    IFERROR((G40+G41) / INDEX('INFO-OEE'!$E$18:$CA$18, MATCH(C3, 'INFO-OEE'!$E$9:$CA$9, 0)), 0),
    IFERROR(G42 / G43, 0),
    IFERROR(G44 / G45, 0),
    IFERROR(G46 / G47, 0),
    IFERROR(G48, 0)
))</f>
        <v>0.22973527893352011</v>
      </c>
    </row>
    <row r="41" spans="2:12" ht="30" customHeight="1">
      <c r="B41" s="392"/>
      <c r="C41" s="393"/>
      <c r="D41" s="221" t="str">
        <f>IF(D12="", "Seleccionar Area ↑", "Costo de Mant. Correctivo")</f>
        <v>Costo de Mant. Correctivo</v>
      </c>
      <c r="E41" s="222"/>
      <c r="F41" s="247" t="str">
        <f>IF(D12="","","$/mes")</f>
        <v>$/mes</v>
      </c>
      <c r="G41" s="237">
        <f>IF(D12="","",IFERROR(
    INDEX('INFO-Personal'!$E$29:$CA$29,
           MATCH($C$3, 'INFO-Personal'!$E$9:$CA$9, 0)
    ),
""))</f>
        <v>28.930598394182702</v>
      </c>
      <c r="H41" s="385"/>
      <c r="I41" s="386"/>
      <c r="J41" s="386"/>
      <c r="K41" s="387"/>
      <c r="L41" s="399"/>
    </row>
    <row r="42" spans="2:12" ht="30" customHeight="1">
      <c r="B42" s="392"/>
      <c r="C42" s="393"/>
      <c r="D42" s="232"/>
      <c r="E42" s="222"/>
      <c r="F42" s="223" t="str">
        <f>IF(D42="","","$/u")</f>
        <v/>
      </c>
      <c r="G42" s="237" t="str">
        <f>IFERROR(INDEX('INFO-Mant'!$G$9:$G$26,
       MATCH(D42, 'INFO-Mant'!$D$9:$D$26, 0)),"")</f>
        <v/>
      </c>
      <c r="H42" s="385"/>
      <c r="I42" s="386"/>
      <c r="J42" s="386"/>
      <c r="K42" s="387"/>
      <c r="L42" s="399"/>
    </row>
    <row r="43" spans="2:12" ht="30" customHeight="1">
      <c r="B43" s="392"/>
      <c r="C43" s="393"/>
      <c r="D43" s="221" t="str">
        <f>IF(D42="", "Seleccionar Repuesto ↑", "Vida Util de " &amp; D42)</f>
        <v>Seleccionar Repuesto ↑</v>
      </c>
      <c r="E43" s="222"/>
      <c r="F43" s="223" t="str">
        <f>IF(ISERROR(FIND("Seleccionar", D43)), "Horas/u", "")</f>
        <v/>
      </c>
      <c r="G43" s="238"/>
      <c r="H43" s="385"/>
      <c r="I43" s="386"/>
      <c r="J43" s="386"/>
      <c r="K43" s="387"/>
      <c r="L43" s="399"/>
    </row>
    <row r="44" spans="2:12" ht="30" customHeight="1">
      <c r="B44" s="392"/>
      <c r="C44" s="393"/>
      <c r="D44" s="232"/>
      <c r="E44" s="222"/>
      <c r="F44" s="223" t="str">
        <f>IF(D44="","","$/u")</f>
        <v/>
      </c>
      <c r="G44" s="237" t="str">
        <f>IFERROR(INDEX('INFO-Mant'!$G$9:$G$26,
       MATCH(D44, 'INFO-Mant'!$D$9:$D$26, 0)),"")</f>
        <v/>
      </c>
      <c r="H44" s="385"/>
      <c r="I44" s="386"/>
      <c r="J44" s="386"/>
      <c r="K44" s="387"/>
      <c r="L44" s="399"/>
    </row>
    <row r="45" spans="2:12" ht="30" customHeight="1">
      <c r="B45" s="392"/>
      <c r="C45" s="393"/>
      <c r="D45" s="221" t="str">
        <f>IF(D44="", "Seleccionar Repuesto ↑", "Vida Util de " &amp; D44)</f>
        <v>Seleccionar Repuesto ↑</v>
      </c>
      <c r="E45" s="222"/>
      <c r="F45" s="223" t="str">
        <f>IF(ISERROR(FIND("Seleccionar", D45)), "Horas/u", "")</f>
        <v/>
      </c>
      <c r="G45" s="238"/>
      <c r="H45" s="385"/>
      <c r="I45" s="386"/>
      <c r="J45" s="386"/>
      <c r="K45" s="387"/>
      <c r="L45" s="399"/>
    </row>
    <row r="46" spans="2:12" ht="30" customHeight="1">
      <c r="B46" s="392"/>
      <c r="C46" s="393"/>
      <c r="D46" s="232"/>
      <c r="E46" s="222"/>
      <c r="F46" s="223" t="str">
        <f>IF(D46="","","$/u")</f>
        <v/>
      </c>
      <c r="G46" s="237" t="str">
        <f>IFERROR(INDEX('INFO-Mant'!$G$9:$G$26,
       MATCH(D46, 'INFO-Mant'!$D$9:$D$26, 0)),"")</f>
        <v/>
      </c>
      <c r="H46" s="385"/>
      <c r="I46" s="386"/>
      <c r="J46" s="386"/>
      <c r="K46" s="387"/>
      <c r="L46" s="399"/>
    </row>
    <row r="47" spans="2:12" ht="36" customHeight="1">
      <c r="B47" s="392"/>
      <c r="C47" s="393"/>
      <c r="D47" s="221" t="str">
        <f>IF(D46="", "Seleccionar Repuesto ↑", "Vida Util de " &amp; D46)</f>
        <v>Seleccionar Repuesto ↑</v>
      </c>
      <c r="E47" s="222"/>
      <c r="F47" s="223" t="str">
        <f>IF(ISERROR(FIND("Seleccionar", D47)), "Horas/u", "")</f>
        <v/>
      </c>
      <c r="G47" s="240"/>
      <c r="H47" s="385"/>
      <c r="I47" s="386"/>
      <c r="J47" s="386"/>
      <c r="K47" s="387"/>
      <c r="L47" s="399"/>
    </row>
    <row r="48" spans="2:12" ht="30" customHeight="1">
      <c r="B48" s="389"/>
      <c r="C48" s="391"/>
      <c r="D48" s="221" t="s">
        <v>85</v>
      </c>
      <c r="E48" s="222"/>
      <c r="F48" s="223" t="str">
        <f>IF(D12="","","$/h")</f>
        <v>$/h</v>
      </c>
      <c r="G48" s="240"/>
      <c r="H48" s="385"/>
      <c r="I48" s="386"/>
      <c r="J48" s="386"/>
      <c r="K48" s="387"/>
      <c r="L48" s="398"/>
    </row>
    <row r="49" spans="2:12" ht="30" customHeight="1">
      <c r="B49" s="248"/>
      <c r="C49" s="249"/>
      <c r="D49" s="250"/>
      <c r="E49" s="249"/>
      <c r="F49" s="251"/>
      <c r="G49" s="252"/>
      <c r="H49" s="249"/>
      <c r="I49" s="249"/>
      <c r="J49" s="249"/>
      <c r="K49" s="249"/>
      <c r="L49" s="253"/>
    </row>
    <row r="50" spans="2:12" ht="30" customHeight="1">
      <c r="B50" s="388" t="s">
        <v>102</v>
      </c>
      <c r="C50" s="394" t="s">
        <v>103</v>
      </c>
      <c r="D50" s="232"/>
      <c r="E50" s="222"/>
      <c r="F50" s="223" t="str">
        <f>IF(D50="","","$/h")</f>
        <v/>
      </c>
      <c r="G50" s="23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410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410"/>
      <c r="J50" s="410"/>
      <c r="K50" s="410"/>
      <c r="L50" s="255" t="str">
        <f ca="1">G50</f>
        <v/>
      </c>
    </row>
    <row r="51" spans="2:12" ht="30" customHeight="1">
      <c r="B51" s="392"/>
      <c r="C51" s="395"/>
      <c r="D51" s="232"/>
      <c r="E51" s="254"/>
      <c r="F51" s="223" t="str">
        <f>IF(D51="","","$/h")</f>
        <v/>
      </c>
      <c r="G51" s="23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410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410"/>
      <c r="J51" s="410"/>
      <c r="K51" s="410"/>
      <c r="L51" s="255" t="str">
        <f ca="1">G51</f>
        <v/>
      </c>
    </row>
    <row r="52" spans="2:12" ht="30" customHeight="1">
      <c r="B52" s="392"/>
      <c r="C52" s="395"/>
      <c r="D52" s="232"/>
      <c r="E52" s="222"/>
      <c r="F52" s="223" t="str">
        <f t="shared" ref="F52:F54" si="0">IF(D52="","","$/h")</f>
        <v/>
      </c>
      <c r="G52" s="23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410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410"/>
      <c r="J52" s="410"/>
      <c r="K52" s="410"/>
      <c r="L52" s="255" t="str">
        <f ca="1">G52</f>
        <v/>
      </c>
    </row>
    <row r="53" spans="2:12" ht="30" customHeight="1">
      <c r="B53" s="392"/>
      <c r="C53" s="395"/>
      <c r="D53" s="232"/>
      <c r="E53" s="222"/>
      <c r="F53" s="223" t="str">
        <f t="shared" si="0"/>
        <v/>
      </c>
      <c r="G53" s="23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410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410"/>
      <c r="J53" s="410"/>
      <c r="K53" s="410"/>
      <c r="L53" s="255" t="str">
        <f ca="1">G53</f>
        <v/>
      </c>
    </row>
    <row r="54" spans="2:12" ht="30" customHeight="1">
      <c r="B54" s="389"/>
      <c r="C54" s="396"/>
      <c r="D54" s="232"/>
      <c r="E54" s="222"/>
      <c r="F54" s="223" t="str">
        <f t="shared" si="0"/>
        <v/>
      </c>
      <c r="G54" s="23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410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410"/>
      <c r="J54" s="410"/>
      <c r="K54" s="410"/>
      <c r="L54" s="255" t="str">
        <f ca="1">G54</f>
        <v/>
      </c>
    </row>
    <row r="55" spans="2:12" ht="30" customHeight="1">
      <c r="B55" s="146"/>
      <c r="C55" s="147"/>
      <c r="D55" s="411"/>
      <c r="E55" s="411"/>
      <c r="F55" s="30"/>
      <c r="G55" s="30"/>
      <c r="H55" s="149"/>
      <c r="I55" s="149"/>
      <c r="J55" s="149"/>
      <c r="K55" s="30"/>
      <c r="L55" s="145"/>
    </row>
    <row r="56" spans="2:12" ht="30" customHeight="1" thickBot="1">
      <c r="B56" s="153" t="s">
        <v>39</v>
      </c>
      <c r="C56" s="330"/>
      <c r="D56" s="330"/>
      <c r="E56" s="154" t="s">
        <v>23</v>
      </c>
      <c r="F56" s="368"/>
      <c r="G56" s="368"/>
      <c r="H56" s="141"/>
      <c r="I56" s="141"/>
      <c r="J56" s="141"/>
      <c r="K56" s="256"/>
      <c r="L56" s="257"/>
    </row>
    <row r="57" spans="2:12" ht="30" customHeight="1" thickBot="1">
      <c r="B57" s="155"/>
      <c r="C57" s="156"/>
      <c r="D57" s="156"/>
      <c r="E57" s="156"/>
      <c r="F57" s="378"/>
      <c r="G57" s="378"/>
      <c r="H57" s="157"/>
      <c r="I57" s="157"/>
      <c r="J57" s="157"/>
      <c r="K57" s="258" t="s">
        <v>106</v>
      </c>
      <c r="L57" s="259">
        <f ca="1">IFERROR(SUM(L19:L54),"")</f>
        <v>7.2900488737442828</v>
      </c>
    </row>
    <row r="58" spans="2:12" ht="30" customHeight="1">
      <c r="C58" s="117"/>
    </row>
  </sheetData>
  <sheetProtection selectLockedCells="1"/>
  <mergeCells count="80">
    <mergeCell ref="F57:G57"/>
    <mergeCell ref="B50:B54"/>
    <mergeCell ref="C50:C54"/>
    <mergeCell ref="H53:K53"/>
    <mergeCell ref="H54:K54"/>
    <mergeCell ref="D55:E55"/>
    <mergeCell ref="C56:D56"/>
    <mergeCell ref="F56:G56"/>
    <mergeCell ref="B38:B39"/>
    <mergeCell ref="C38:C39"/>
    <mergeCell ref="H50:K50"/>
    <mergeCell ref="H51:K51"/>
    <mergeCell ref="H52:K52"/>
    <mergeCell ref="B40:B48"/>
    <mergeCell ref="C40:C48"/>
    <mergeCell ref="H39:K39"/>
    <mergeCell ref="H40:K40"/>
    <mergeCell ref="H41:K41"/>
    <mergeCell ref="H42:K42"/>
    <mergeCell ref="H37:K37"/>
    <mergeCell ref="H38:K38"/>
    <mergeCell ref="L40:L48"/>
    <mergeCell ref="H44:K44"/>
    <mergeCell ref="H45:K45"/>
    <mergeCell ref="H46:K46"/>
    <mergeCell ref="H47:K47"/>
    <mergeCell ref="H48:K48"/>
    <mergeCell ref="H43:K43"/>
    <mergeCell ref="L38:L39"/>
    <mergeCell ref="C3:D3"/>
    <mergeCell ref="F3:G3"/>
    <mergeCell ref="C6:D6"/>
    <mergeCell ref="F6:G6"/>
    <mergeCell ref="C7:D7"/>
    <mergeCell ref="F7:G7"/>
    <mergeCell ref="H9:K9"/>
    <mergeCell ref="H10:K10"/>
    <mergeCell ref="H11:K11"/>
    <mergeCell ref="B10:B15"/>
    <mergeCell ref="C10:C15"/>
    <mergeCell ref="L10:L15"/>
    <mergeCell ref="H13:K13"/>
    <mergeCell ref="H15:K15"/>
    <mergeCell ref="H16:K16"/>
    <mergeCell ref="H17:K17"/>
    <mergeCell ref="H14:K14"/>
    <mergeCell ref="B16:B20"/>
    <mergeCell ref="C16:C20"/>
    <mergeCell ref="B21:B24"/>
    <mergeCell ref="C21:C24"/>
    <mergeCell ref="L16:L20"/>
    <mergeCell ref="H20:K20"/>
    <mergeCell ref="H18:K18"/>
    <mergeCell ref="H19:K19"/>
    <mergeCell ref="L21:L24"/>
    <mergeCell ref="H23:K23"/>
    <mergeCell ref="H24:K24"/>
    <mergeCell ref="H21:K21"/>
    <mergeCell ref="H22:K22"/>
    <mergeCell ref="H35:K35"/>
    <mergeCell ref="H36:K36"/>
    <mergeCell ref="L30:L34"/>
    <mergeCell ref="H34:K34"/>
    <mergeCell ref="L35:L36"/>
    <mergeCell ref="H33:K33"/>
    <mergeCell ref="H30:K30"/>
    <mergeCell ref="H31:K31"/>
    <mergeCell ref="H32:K32"/>
    <mergeCell ref="B35:B36"/>
    <mergeCell ref="C35:C36"/>
    <mergeCell ref="B25:B29"/>
    <mergeCell ref="C25:C29"/>
    <mergeCell ref="B30:B34"/>
    <mergeCell ref="C30:C34"/>
    <mergeCell ref="L25:L29"/>
    <mergeCell ref="H29:K29"/>
    <mergeCell ref="H28:K28"/>
    <mergeCell ref="H25:K25"/>
    <mergeCell ref="H26:K26"/>
    <mergeCell ref="H27:K27"/>
  </mergeCells>
  <dataValidations count="9">
    <dataValidation allowBlank="1" showInputMessage="1" showErrorMessage="1" prompt="Escriba comentarios en las celdas de la derecha." sqref="C58"/>
    <dataValidation type="list" allowBlank="1" showInputMessage="1" showErrorMessage="1" sqref="D51:D54">
      <formula1>Herramientas_Ensamble</formula1>
    </dataValidation>
    <dataValidation type="list" allowBlank="1" showInputMessage="1" showErrorMessage="1" sqref="D10 D50">
      <formula1>Maquinaria_Ensamble</formula1>
    </dataValidation>
    <dataValidation type="list" allowBlank="1" showInputMessage="1" showErrorMessage="1" sqref="D42 D44 D46">
      <formula1>Repuestos_Ensamble</formula1>
    </dataValidation>
    <dataValidation type="list" allowBlank="1" showInputMessage="1" showErrorMessage="1" sqref="D30 D32">
      <formula1>Solvente_Ensamble</formula1>
    </dataValidation>
    <dataValidation type="list" allowBlank="1" showInputMessage="1" showErrorMessage="1" sqref="D25 D27">
      <formula1>Refrigerantes_Ensamble</formula1>
    </dataValidation>
    <dataValidation type="list" allowBlank="1" showInputMessage="1" showErrorMessage="1" sqref="D21">
      <formula1>AireComprimido_Ensamble</formula1>
    </dataValidation>
    <dataValidation type="list" allowBlank="1" showInputMessage="1" showErrorMessage="1" sqref="D16 D18">
      <formula1>Lubricantes_Ensamble</formula1>
    </dataValidation>
    <dataValidation type="list" allowBlank="1" showInputMessage="1" showErrorMessage="1" sqref="D12">
      <formula1>Areas_Ensamble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54</xdr:row>
                    <xdr:rowOff>333375</xdr:rowOff>
                  </from>
                  <to>
                    <xdr:col>1</xdr:col>
                    <xdr:colOff>1762125</xdr:colOff>
                    <xdr:row>55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rgb="FF0070C0"/>
    <pageSetUpPr autoPageBreaks="0" fitToPage="1"/>
  </sheetPr>
  <dimension ref="B1:M57"/>
  <sheetViews>
    <sheetView showGridLines="0" topLeftCell="A7" zoomScale="80" zoomScaleNormal="80" workbookViewId="0">
      <selection activeCell="D12" sqref="D12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3.140625" style="80" bestFit="1" customWidth="1"/>
    <col min="5" max="5" width="20.5703125" style="80" customWidth="1"/>
    <col min="6" max="6" width="16.5703125" style="80" bestFit="1" customWidth="1"/>
    <col min="7" max="7" width="19.7109375" style="80" bestFit="1" customWidth="1"/>
    <col min="8" max="8" width="15.28515625" style="80" customWidth="1"/>
    <col min="9" max="10" width="17" style="80" customWidth="1"/>
    <col min="11" max="11" width="28.42578125" style="80" customWidth="1"/>
    <col min="12" max="12" width="20.7109375" style="80" customWidth="1"/>
    <col min="13" max="13" width="2.7109375" style="80" customWidth="1"/>
    <col min="14" max="16384" width="9.140625" style="80"/>
  </cols>
  <sheetData>
    <row r="1" spans="2:13" ht="12" customHeight="1" thickBot="1"/>
    <row r="2" spans="2:13" ht="30" customHeight="1">
      <c r="B2" s="126" t="s">
        <v>95</v>
      </c>
      <c r="C2" s="127"/>
      <c r="D2" s="128"/>
      <c r="E2" s="128"/>
      <c r="F2" s="128"/>
      <c r="G2" s="128"/>
      <c r="H2" s="128"/>
      <c r="I2" s="128"/>
      <c r="J2" s="128"/>
      <c r="K2" s="128"/>
      <c r="L2" s="129"/>
    </row>
    <row r="3" spans="2:13" ht="30" customHeight="1">
      <c r="B3" s="130" t="s">
        <v>96</v>
      </c>
      <c r="C3" s="406" t="s">
        <v>179</v>
      </c>
      <c r="D3" s="406"/>
      <c r="E3" s="125" t="s">
        <v>3</v>
      </c>
      <c r="F3" s="356">
        <f ca="1">TODAY()</f>
        <v>46020</v>
      </c>
      <c r="G3" s="356"/>
      <c r="H3" s="125" t="s">
        <v>61</v>
      </c>
      <c r="I3" s="162">
        <f>'INFO-Direc'!H3</f>
        <v>1445</v>
      </c>
      <c r="J3" s="131"/>
      <c r="K3" s="132"/>
      <c r="L3" s="133"/>
      <c r="M3" s="134"/>
    </row>
    <row r="4" spans="2:13" ht="30" customHeight="1">
      <c r="B4" s="130" t="s">
        <v>97</v>
      </c>
      <c r="C4" s="160">
        <f>IFERROR(INDEX('INFO-OEE'!E17:CL17,
       MATCH(C3, 'INFO-OEE'!E9:CL9, 0)),"")</f>
        <v>0.8</v>
      </c>
      <c r="D4" s="135"/>
      <c r="E4" s="136"/>
      <c r="F4" s="136"/>
      <c r="G4" s="136"/>
      <c r="H4" s="125"/>
      <c r="I4" s="137"/>
      <c r="J4" s="131"/>
      <c r="K4" s="132"/>
      <c r="L4" s="138"/>
      <c r="M4" s="89"/>
    </row>
    <row r="5" spans="2:13" ht="30" customHeight="1">
      <c r="B5" s="139" t="s">
        <v>4</v>
      </c>
      <c r="C5" s="140"/>
      <c r="D5" s="141"/>
      <c r="E5" s="141"/>
      <c r="F5" s="141"/>
      <c r="G5" s="141"/>
      <c r="H5" s="141"/>
      <c r="I5" s="141"/>
      <c r="J5" s="141"/>
      <c r="K5" s="141"/>
      <c r="L5" s="142"/>
    </row>
    <row r="6" spans="2:13" ht="30" customHeight="1">
      <c r="B6" s="143" t="s">
        <v>5</v>
      </c>
      <c r="C6" s="407" t="s">
        <v>205</v>
      </c>
      <c r="D6" s="407"/>
      <c r="E6" s="144" t="s">
        <v>6</v>
      </c>
      <c r="F6" s="407"/>
      <c r="G6" s="407"/>
      <c r="H6" s="141"/>
      <c r="I6" s="141"/>
      <c r="J6" s="141"/>
      <c r="K6" s="30"/>
      <c r="L6" s="145"/>
    </row>
    <row r="7" spans="2:13" ht="30" customHeight="1">
      <c r="B7" s="143" t="s">
        <v>7</v>
      </c>
      <c r="C7" s="407"/>
      <c r="D7" s="407"/>
      <c r="E7" s="144" t="s">
        <v>62</v>
      </c>
      <c r="F7" s="408"/>
      <c r="G7" s="408"/>
      <c r="H7" s="141"/>
      <c r="I7" s="141"/>
      <c r="J7" s="141"/>
      <c r="K7" s="30"/>
      <c r="L7" s="145"/>
    </row>
    <row r="8" spans="2:13" ht="30" customHeight="1" thickBot="1">
      <c r="B8" s="146"/>
      <c r="C8" s="147"/>
      <c r="D8" s="148"/>
      <c r="E8" s="148"/>
      <c r="F8" s="30"/>
      <c r="G8" s="30"/>
      <c r="H8" s="149"/>
      <c r="I8" s="149"/>
      <c r="J8" s="149"/>
      <c r="K8" s="30"/>
      <c r="L8" s="145"/>
    </row>
    <row r="9" spans="2:13" ht="30" customHeight="1" thickBot="1">
      <c r="B9" s="67" t="s">
        <v>9</v>
      </c>
      <c r="C9" s="190" t="s">
        <v>63</v>
      </c>
      <c r="D9" s="190" t="s">
        <v>64</v>
      </c>
      <c r="E9" s="190" t="s">
        <v>65</v>
      </c>
      <c r="F9" s="190" t="s">
        <v>66</v>
      </c>
      <c r="G9" s="190" t="s">
        <v>67</v>
      </c>
      <c r="H9" s="319" t="s">
        <v>68</v>
      </c>
      <c r="I9" s="319"/>
      <c r="J9" s="319"/>
      <c r="K9" s="319"/>
      <c r="L9" s="191" t="s">
        <v>98</v>
      </c>
    </row>
    <row r="10" spans="2:13" ht="30" customHeight="1">
      <c r="B10" s="404" t="s">
        <v>88</v>
      </c>
      <c r="C10" s="405" t="s">
        <v>89</v>
      </c>
      <c r="D10" s="231" t="s">
        <v>179</v>
      </c>
      <c r="E10" s="218"/>
      <c r="F10" s="219" t="str">
        <f>IF(D10="","","kW")</f>
        <v>kW</v>
      </c>
      <c r="G10" s="220">
        <f>IF(D10="","",IFERROR(INDEX('[4]INFO-Consumo'!$F$9:$F$95,
       MATCH(D10, '[4]INFO-Consumo'!$D$9:$D$95, 0)),""))</f>
        <v>2.2000000000000002</v>
      </c>
      <c r="H10" s="401"/>
      <c r="I10" s="402"/>
      <c r="J10" s="402"/>
      <c r="K10" s="403"/>
      <c r="L10" s="400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0.37569614505508631</v>
      </c>
    </row>
    <row r="11" spans="2:13" ht="30" customHeight="1">
      <c r="B11" s="392"/>
      <c r="C11" s="393"/>
      <c r="D11" s="221" t="str">
        <f>IF(D10="", "Seleccionar Maquinaria ↑", "Carga Promedio de Uso de " &amp; D10)</f>
        <v>Carga Promedio de Uso de PRENSA QY-10-2</v>
      </c>
      <c r="E11" s="222"/>
      <c r="F11" s="223" t="str">
        <f>IF(ISERROR(FIND("Seleccionar", D11)), "%", "")</f>
        <v>%</v>
      </c>
      <c r="G11" s="289">
        <f>IF(D10="","",IFERROR(
    INDEX('[4]INFO-Consumo'!I:I,
           MATCH(D10, '[4]INFO-Consumo'!D:D, 0)
    ),
""))</f>
        <v>0.6</v>
      </c>
      <c r="H11" s="384"/>
      <c r="I11" s="384"/>
      <c r="J11" s="384"/>
      <c r="K11" s="384"/>
      <c r="L11" s="399"/>
    </row>
    <row r="12" spans="2:13" ht="30" customHeight="1">
      <c r="B12" s="392"/>
      <c r="C12" s="393"/>
      <c r="D12" s="232" t="s">
        <v>173</v>
      </c>
      <c r="E12" s="222"/>
      <c r="F12" s="223" t="str">
        <f>IF(D12="","","kW")</f>
        <v>kW</v>
      </c>
      <c r="G12" s="224">
        <f>IFERROR(INDEX('[4]INFO-Ponderacion'!$S$9:$S$13,
       MATCH(D12,'[4]INFO-Ponderacion'!$C$9:$C$13, 0)),"")</f>
        <v>2.4095999999999997</v>
      </c>
      <c r="H12" s="286"/>
      <c r="I12" s="287"/>
      <c r="J12" s="287"/>
      <c r="K12" s="288"/>
      <c r="L12" s="399"/>
    </row>
    <row r="13" spans="2:13" ht="30" customHeight="1">
      <c r="B13" s="392"/>
      <c r="C13" s="393"/>
      <c r="D13" s="221" t="str">
        <f>IF(D12="", "Seleccionar Area ↑", "Tarifa Electrica ")</f>
        <v xml:space="preserve">Tarifa Electrica </v>
      </c>
      <c r="E13" s="222"/>
      <c r="F13" s="223" t="str">
        <f>IF(D12="","","$/kWh")</f>
        <v>$/kWh</v>
      </c>
      <c r="G13" s="228">
        <f>IF(D12="","",'INFO-Direc'!$G$9)</f>
        <v>5.2613958629577628E-2</v>
      </c>
      <c r="H13" s="384"/>
      <c r="I13" s="384"/>
      <c r="J13" s="384"/>
      <c r="K13" s="384"/>
      <c r="L13" s="399"/>
    </row>
    <row r="14" spans="2:13" ht="30" customHeight="1">
      <c r="B14" s="392"/>
      <c r="C14" s="393"/>
      <c r="D14" s="229" t="str">
        <f>IF(D12="", "Seleccionar Area ↑", "Costo Electrico Fijo de " &amp; D12)</f>
        <v>Costo Electrico Fijo de Ensamble</v>
      </c>
      <c r="E14" s="222"/>
      <c r="F14" s="223" t="str">
        <f>IF(D12="","","$/h")</f>
        <v>$/h</v>
      </c>
      <c r="G14" s="290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0.17946712495021358</v>
      </c>
      <c r="H14" s="385"/>
      <c r="I14" s="386"/>
      <c r="J14" s="386"/>
      <c r="K14" s="387"/>
      <c r="L14" s="399"/>
    </row>
    <row r="15" spans="2:13" ht="30" customHeight="1">
      <c r="B15" s="389"/>
      <c r="C15" s="391"/>
      <c r="D15" s="229" t="s">
        <v>85</v>
      </c>
      <c r="E15" s="230"/>
      <c r="F15" s="223" t="str">
        <f>IF(D12="","","$/h")</f>
        <v>$/h</v>
      </c>
      <c r="G15" s="233"/>
      <c r="H15" s="385"/>
      <c r="I15" s="386"/>
      <c r="J15" s="386"/>
      <c r="K15" s="387"/>
      <c r="L15" s="398"/>
    </row>
    <row r="16" spans="2:13" ht="30" customHeight="1">
      <c r="B16" s="388" t="s">
        <v>90</v>
      </c>
      <c r="C16" s="394" t="s">
        <v>89</v>
      </c>
      <c r="D16" s="232"/>
      <c r="E16" s="222"/>
      <c r="F16" s="223" t="str">
        <f>IF(D16="","","$/L")</f>
        <v/>
      </c>
      <c r="G16" s="228" t="str">
        <f>IFERROR(INDEX('INFO-Direc'!$G$9:$G$25,
       MATCH(D16, 'INFO-Direc'!$D$9:$D$25, 0)),"")</f>
        <v/>
      </c>
      <c r="H16" s="384"/>
      <c r="I16" s="384"/>
      <c r="J16" s="384"/>
      <c r="K16" s="384"/>
      <c r="L16" s="397" t="str">
        <f>IF(AND(D16="", D18=""), "",
    IFERROR(
        IFERROR(G16*G17,0)
        + IFERROR(G18*G19,0)
        + IFERROR(G20,0),
    "")
)</f>
        <v/>
      </c>
    </row>
    <row r="17" spans="2:12" ht="30" customHeight="1">
      <c r="B17" s="392"/>
      <c r="C17" s="395"/>
      <c r="D17" s="221" t="str">
        <f>IF(D16="", "Seleccionar Lubricante ↑", "Consumo de " &amp; D16)</f>
        <v>Seleccionar Lubricante ↑</v>
      </c>
      <c r="E17" s="222"/>
      <c r="F17" s="223" t="str">
        <f>IF(ISERROR(FIND("Seleccionar", D17)), "L/h", "")</f>
        <v/>
      </c>
      <c r="G17" s="234"/>
      <c r="H17" s="384"/>
      <c r="I17" s="384"/>
      <c r="J17" s="384"/>
      <c r="K17" s="384"/>
      <c r="L17" s="399"/>
    </row>
    <row r="18" spans="2:12" ht="30" customHeight="1">
      <c r="B18" s="392"/>
      <c r="C18" s="395"/>
      <c r="D18" s="232"/>
      <c r="E18" s="222"/>
      <c r="F18" s="223" t="str">
        <f>IF(D18="","","$/L")</f>
        <v/>
      </c>
      <c r="G18" s="228" t="str">
        <f>IFERROR(INDEX('INFO-Direc'!$G$9:$G$25,
       MATCH(D18, 'INFO-Direc'!$D$9:$D$25, 0)),"")</f>
        <v/>
      </c>
      <c r="H18" s="385"/>
      <c r="I18" s="386"/>
      <c r="J18" s="386"/>
      <c r="K18" s="387"/>
      <c r="L18" s="399"/>
    </row>
    <row r="19" spans="2:12" ht="30" customHeight="1">
      <c r="B19" s="392"/>
      <c r="C19" s="395"/>
      <c r="D19" s="221" t="str">
        <f>IF(D18="", "Seleccionar Lubricante ↑", "Consumo de " &amp; D18)</f>
        <v>Seleccionar Lubricante ↑</v>
      </c>
      <c r="E19" s="222"/>
      <c r="F19" s="223" t="str">
        <f>IF(ISERROR(FIND("Seleccionar", D19)), "L/h", "")</f>
        <v/>
      </c>
      <c r="G19" s="234"/>
      <c r="H19" s="385"/>
      <c r="I19" s="386"/>
      <c r="J19" s="386"/>
      <c r="K19" s="387"/>
      <c r="L19" s="399"/>
    </row>
    <row r="20" spans="2:12" ht="30" customHeight="1">
      <c r="B20" s="389"/>
      <c r="C20" s="396"/>
      <c r="D20" s="221" t="s">
        <v>85</v>
      </c>
      <c r="E20" s="222"/>
      <c r="F20" s="223" t="str">
        <f>IF(OR(D16&lt;&gt;"", D18&lt;&gt;""), "$/h", "")</f>
        <v/>
      </c>
      <c r="G20" s="233"/>
      <c r="H20" s="384"/>
      <c r="I20" s="384"/>
      <c r="J20" s="384"/>
      <c r="K20" s="384"/>
      <c r="L20" s="398"/>
    </row>
    <row r="21" spans="2:12" ht="30" customHeight="1">
      <c r="B21" s="388" t="s">
        <v>92</v>
      </c>
      <c r="C21" s="390" t="s">
        <v>89</v>
      </c>
      <c r="D21" s="232" t="s">
        <v>138</v>
      </c>
      <c r="E21" s="222"/>
      <c r="F21" s="223" t="str">
        <f>IF(D21="","","kW")</f>
        <v>kW</v>
      </c>
      <c r="G21" s="228">
        <f>IFERROR(INDEX('INFO-Direc'!$G$9:$G$25,
       MATCH(D21, 'INFO-Direc'!$D$9:$D$25, 0)),"")</f>
        <v>56</v>
      </c>
      <c r="H21" s="385"/>
      <c r="I21" s="386"/>
      <c r="J21" s="386"/>
      <c r="K21" s="387"/>
      <c r="L21" s="397">
        <f>IFERROR(G21*G13*G22+G23+G24,"")</f>
        <v>1.8303340099538083</v>
      </c>
    </row>
    <row r="22" spans="2:12" ht="30" customHeight="1">
      <c r="B22" s="392"/>
      <c r="C22" s="393"/>
      <c r="D22" s="221" t="str">
        <f>IF(D21="", "Seleccionar Compresor ↑", "Carga Promedio de Uso de " &amp; D21)</f>
        <v>Carga Promedio de Uso de Compresor</v>
      </c>
      <c r="E22" s="222"/>
      <c r="F22" s="223" t="str">
        <f>IF(ISERROR(FIND("Seleccionar", D22)), "%", "")</f>
        <v>%</v>
      </c>
      <c r="G22" s="289">
        <f>IF(D21="","",IFERROR(
    INDEX('[4]INFO-Consumo'!I:I,
           MATCH(D21, '[4]INFO-Consumo'!D:D, 0)
    ),
""))</f>
        <v>0.6</v>
      </c>
      <c r="H22" s="384"/>
      <c r="I22" s="384"/>
      <c r="J22" s="384"/>
      <c r="K22" s="384"/>
      <c r="L22" s="399"/>
    </row>
    <row r="23" spans="2:12" ht="30" customHeight="1">
      <c r="B23" s="392"/>
      <c r="C23" s="393"/>
      <c r="D23" s="235" t="str">
        <f>IF(D21="", "Seleccionar Compresor ↑", "Costo de Repuestos " &amp; D21)</f>
        <v>Costo de Repuestos Compresor</v>
      </c>
      <c r="E23" s="222"/>
      <c r="F23" s="223" t="str">
        <f>IF(ISERROR(FIND("Seleccionar", D23)), "$/h", "")</f>
        <v>$/h</v>
      </c>
      <c r="G23" s="236">
        <f>IF(D21="","", SUM(IF(ISNUMBER(FIND("Compresor", 'INFO-Mant'!D9:D26)), 'INFO-Mant'!G9:G26 / 'INFO-Mant'!H9:H26, 0)))</f>
        <v>6.2505000000000005E-2</v>
      </c>
      <c r="H23" s="385"/>
      <c r="I23" s="386"/>
      <c r="J23" s="386"/>
      <c r="K23" s="387"/>
      <c r="L23" s="399"/>
    </row>
    <row r="24" spans="2:12" ht="30" customHeight="1">
      <c r="B24" s="389"/>
      <c r="C24" s="391"/>
      <c r="D24" s="221" t="s">
        <v>85</v>
      </c>
      <c r="E24" s="222"/>
      <c r="F24" s="223" t="str">
        <f>IF(D21="","","$/h")</f>
        <v>$/h</v>
      </c>
      <c r="G24" s="233"/>
      <c r="H24" s="384"/>
      <c r="I24" s="384"/>
      <c r="J24" s="384"/>
      <c r="K24" s="384"/>
      <c r="L24" s="398"/>
    </row>
    <row r="25" spans="2:12" ht="30" customHeight="1">
      <c r="B25" s="388" t="s">
        <v>94</v>
      </c>
      <c r="C25" s="390" t="s">
        <v>89</v>
      </c>
      <c r="D25" s="232"/>
      <c r="E25" s="222"/>
      <c r="F25" s="223" t="str">
        <f>IF(D25="","","$/L")</f>
        <v/>
      </c>
      <c r="G25" s="228" t="str">
        <f>IFERROR(INDEX('INFO-Direc'!$G$9:$G$25,
       MATCH(D25, 'INFO-Direc'!$D$9:$D$25, 0)),"")</f>
        <v/>
      </c>
      <c r="H25" s="384"/>
      <c r="I25" s="384"/>
      <c r="J25" s="384"/>
      <c r="K25" s="384"/>
      <c r="L25" s="381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92"/>
      <c r="C26" s="393"/>
      <c r="D26" s="221" t="str">
        <f>IF(D25="", "Seleccionar Refrigerante ↑", "Consumo de " &amp; D25)</f>
        <v>Seleccionar Refrigerante ↑</v>
      </c>
      <c r="E26" s="222"/>
      <c r="F26" s="223" t="str">
        <f>IF(ISERROR(FIND("Seleccionar", D26)), "L/Año", "")</f>
        <v/>
      </c>
      <c r="G26" s="238"/>
      <c r="H26" s="384"/>
      <c r="I26" s="384"/>
      <c r="J26" s="384"/>
      <c r="K26" s="384"/>
      <c r="L26" s="382"/>
    </row>
    <row r="27" spans="2:12" ht="30" customHeight="1">
      <c r="B27" s="392"/>
      <c r="C27" s="393"/>
      <c r="D27" s="232"/>
      <c r="E27" s="222"/>
      <c r="F27" s="223" t="str">
        <f>IF(D27="","","$/L")</f>
        <v/>
      </c>
      <c r="G27" s="228" t="str">
        <f>IFERROR(INDEX('INFO-Direc'!$G$9:$G$25,
       MATCH(D27, 'INFO-Direc'!$D$9:$D$25, 0)),"")</f>
        <v/>
      </c>
      <c r="H27" s="385"/>
      <c r="I27" s="386"/>
      <c r="J27" s="386"/>
      <c r="K27" s="387"/>
      <c r="L27" s="382"/>
    </row>
    <row r="28" spans="2:12" ht="30" customHeight="1">
      <c r="B28" s="392"/>
      <c r="C28" s="393"/>
      <c r="D28" s="221" t="str">
        <f>IF(D27="", "Seleccionar Refrigerante ↑", "Consumo de " &amp; D27)</f>
        <v>Seleccionar Refrigerante ↑</v>
      </c>
      <c r="E28" s="222"/>
      <c r="F28" s="223" t="str">
        <f>IF(ISERROR(FIND("Seleccionar", D28)), "L/Año", "")</f>
        <v/>
      </c>
      <c r="G28" s="239"/>
      <c r="H28" s="385"/>
      <c r="I28" s="386"/>
      <c r="J28" s="386"/>
      <c r="K28" s="387"/>
      <c r="L28" s="382"/>
    </row>
    <row r="29" spans="2:12" ht="30" customHeight="1">
      <c r="B29" s="389"/>
      <c r="C29" s="391"/>
      <c r="D29" s="221" t="s">
        <v>85</v>
      </c>
      <c r="E29" s="222"/>
      <c r="F29" s="223" t="str">
        <f>IF(OR(D25&lt;&gt;"", D27&lt;&gt;""), "$/h", "")</f>
        <v/>
      </c>
      <c r="G29" s="233"/>
      <c r="H29" s="384"/>
      <c r="I29" s="384"/>
      <c r="J29" s="384"/>
      <c r="K29" s="384"/>
      <c r="L29" s="383"/>
    </row>
    <row r="30" spans="2:12" s="152" customFormat="1" ht="30" customHeight="1">
      <c r="B30" s="388" t="s">
        <v>168</v>
      </c>
      <c r="C30" s="394" t="s">
        <v>89</v>
      </c>
      <c r="D30" s="232"/>
      <c r="E30" s="222"/>
      <c r="F30" s="223" t="str">
        <f>IF(D30="","","$/L")</f>
        <v/>
      </c>
      <c r="G30" s="228" t="str">
        <f>IFERROR(INDEX('INFO-Direc'!$G$9:$G$25,
       MATCH(D30, 'INFO-Direc'!$D$9:$D$25, 0)),"")</f>
        <v/>
      </c>
      <c r="H30" s="384"/>
      <c r="I30" s="384"/>
      <c r="J30" s="384"/>
      <c r="K30" s="384"/>
      <c r="L30" s="381" t="str">
        <f>IF(
    AND(D30="", D32=""),
    "",
    IFERROR(
        IFERROR(G30 / (INDEX('INFO-OEE'!$E$18:$CA$18,
                               MATCH(#REF!, 'INFO-OEE'!$E$9:$CA$9, 0)) * 12), 0)
        * G31
        +
        IFERROR(G32 / (INDEX('INFO-OEE'!$E$18:$CA$18,
                               MATCH(#REF!, 'INFO-OEE'!$E$9:$CA$9, 0)) * 12), 0)
        * G33
        +
        IFERROR(G34, 0),
    "")
)</f>
        <v/>
      </c>
    </row>
    <row r="31" spans="2:12" s="152" customFormat="1" ht="30" customHeight="1">
      <c r="B31" s="392"/>
      <c r="C31" s="395"/>
      <c r="D31" s="221" t="str">
        <f>IF(D30="", "Seleccionar Solvente ↑", "Consumo de " &amp; D30)</f>
        <v>Seleccionar Solvente ↑</v>
      </c>
      <c r="E31" s="222"/>
      <c r="F31" s="223" t="str">
        <f>IF(ISERROR(FIND("Seleccionar", D31)), "L/Año", "")</f>
        <v/>
      </c>
      <c r="G31" s="234"/>
      <c r="H31" s="384"/>
      <c r="I31" s="384"/>
      <c r="J31" s="384"/>
      <c r="K31" s="384"/>
      <c r="L31" s="382"/>
    </row>
    <row r="32" spans="2:12" s="152" customFormat="1" ht="30" customHeight="1">
      <c r="B32" s="392"/>
      <c r="C32" s="395"/>
      <c r="D32" s="232"/>
      <c r="E32" s="222"/>
      <c r="F32" s="223" t="str">
        <f>IF(D32="","","$/L")</f>
        <v/>
      </c>
      <c r="G32" s="228" t="str">
        <f>IFERROR(INDEX('INFO-Direc'!$G$9:$G$25,
       MATCH(D32, 'INFO-Direc'!$D$9:$D$25, 0)),"")</f>
        <v/>
      </c>
      <c r="H32" s="385"/>
      <c r="I32" s="386"/>
      <c r="J32" s="386"/>
      <c r="K32" s="387"/>
      <c r="L32" s="382"/>
    </row>
    <row r="33" spans="2:12" s="152" customFormat="1" ht="30" customHeight="1">
      <c r="B33" s="392"/>
      <c r="C33" s="395"/>
      <c r="D33" s="221" t="str">
        <f>IF(D32="", "Seleccionar Solvente ↑", "Consumo de " &amp; D32)</f>
        <v>Seleccionar Solvente ↑</v>
      </c>
      <c r="E33" s="222"/>
      <c r="F33" s="223" t="str">
        <f>IF(ISERROR(FIND("Seleccionar", D33)), "L/Año", "")</f>
        <v/>
      </c>
      <c r="G33" s="234"/>
      <c r="H33" s="385"/>
      <c r="I33" s="386"/>
      <c r="J33" s="386"/>
      <c r="K33" s="387"/>
      <c r="L33" s="382"/>
    </row>
    <row r="34" spans="2:12" s="152" customFormat="1" ht="30" customHeight="1">
      <c r="B34" s="389"/>
      <c r="C34" s="396"/>
      <c r="D34" s="221" t="s">
        <v>85</v>
      </c>
      <c r="E34" s="222"/>
      <c r="F34" s="223" t="str">
        <f>IF(OR(D30&lt;&gt;"", D32&lt;&gt;""), "$/h", "")</f>
        <v/>
      </c>
      <c r="G34" s="233"/>
      <c r="H34" s="384"/>
      <c r="I34" s="384"/>
      <c r="J34" s="384"/>
      <c r="K34" s="384"/>
      <c r="L34" s="383"/>
    </row>
    <row r="35" spans="2:12" ht="30" customHeight="1">
      <c r="B35" s="388" t="s">
        <v>100</v>
      </c>
      <c r="C35" s="390" t="s">
        <v>89</v>
      </c>
      <c r="D35" s="221" t="str">
        <f>IF(D12="", "Seleccionar Area ↑", "Costo de Operarios")</f>
        <v>Costo de Operarios</v>
      </c>
      <c r="E35" s="222"/>
      <c r="F35" s="223" t="str">
        <f>IF(D12="","","$/mes")</f>
        <v>$/mes</v>
      </c>
      <c r="G35" s="237">
        <f>IF(D12="","",IFERROR(
    INDEX('INFO-Personal'!$E$26:$CA$26,
           MATCH($C$3, 'INFO-Personal'!$E$9:$CA$9, 0)
    ),
""))</f>
        <v>525.00459233449487</v>
      </c>
      <c r="H35" s="384"/>
      <c r="I35" s="384"/>
      <c r="J35" s="384"/>
      <c r="K35" s="384"/>
      <c r="L35" s="397">
        <f>IFERROR(
    (G35 / INDEX('INFO-OEE'!$E$18:$CA$18,
                  MATCH($C$3, 'INFO-OEE'!$E$9:$CA$9, 0)))
    + G36,
"")</f>
        <v>3.7287257978302191</v>
      </c>
    </row>
    <row r="36" spans="2:12" ht="30" customHeight="1">
      <c r="B36" s="389"/>
      <c r="C36" s="391"/>
      <c r="D36" s="221" t="s">
        <v>85</v>
      </c>
      <c r="E36" s="222"/>
      <c r="F36" s="223" t="str">
        <f>IF(D12="","","$/h")</f>
        <v>$/h</v>
      </c>
      <c r="G36" s="240"/>
      <c r="H36" s="384"/>
      <c r="I36" s="384"/>
      <c r="J36" s="384"/>
      <c r="K36" s="384"/>
      <c r="L36" s="398"/>
    </row>
    <row r="37" spans="2:12" ht="30" customHeight="1">
      <c r="B37" s="241"/>
      <c r="C37" s="242"/>
      <c r="D37" s="243"/>
      <c r="E37" s="242"/>
      <c r="F37" s="244"/>
      <c r="G37" s="245"/>
      <c r="H37" s="409"/>
      <c r="I37" s="409"/>
      <c r="J37" s="409"/>
      <c r="K37" s="409"/>
      <c r="L37" s="246"/>
    </row>
    <row r="38" spans="2:12" ht="30" customHeight="1">
      <c r="B38" s="388" t="s">
        <v>16</v>
      </c>
      <c r="C38" s="390" t="s">
        <v>69</v>
      </c>
      <c r="D38" s="221" t="str">
        <f>IF(D12="", "Seleccionar Area ↑", "Costo de Supervisores")</f>
        <v>Costo de Supervisores</v>
      </c>
      <c r="E38" s="222"/>
      <c r="F38" s="247" t="str">
        <f>IF(D12="","","$/mes")</f>
        <v>$/mes</v>
      </c>
      <c r="G38" s="237">
        <f>IF(D12="","",IFERROR(
    INDEX('INFO-Personal'!$E$27:$CA$27,
           MATCH($C$3, 'INFO-Personal'!$E$9:$CA$9, 0)
    ),
""))</f>
        <v>51.241933194853928</v>
      </c>
      <c r="H38" s="385"/>
      <c r="I38" s="386"/>
      <c r="J38" s="386"/>
      <c r="K38" s="387"/>
      <c r="L38" s="397">
        <f>IFERROR(
    (G38 / INDEX('INFO-OEE'!$E$18:$CA$18,
                  MATCH($C$3, 'INFO-OEE'!$E$9:$CA$9, 0)))
    + G39,
"")</f>
        <v>0.36393418462254207</v>
      </c>
    </row>
    <row r="39" spans="2:12" ht="30" customHeight="1">
      <c r="B39" s="392"/>
      <c r="C39" s="393"/>
      <c r="D39" s="221" t="s">
        <v>85</v>
      </c>
      <c r="E39" s="222"/>
      <c r="F39" s="223" t="str">
        <f>IF(D12="","","$/h")</f>
        <v>$/h</v>
      </c>
      <c r="G39" s="240"/>
      <c r="H39" s="385"/>
      <c r="I39" s="386"/>
      <c r="J39" s="386"/>
      <c r="K39" s="387"/>
      <c r="L39" s="399"/>
    </row>
    <row r="40" spans="2:12" ht="30" customHeight="1">
      <c r="B40" s="388" t="s">
        <v>101</v>
      </c>
      <c r="C40" s="390" t="s">
        <v>69</v>
      </c>
      <c r="D40" s="221" t="str">
        <f>IF(D12="", "Seleccionar Area ↑", "Costo de Mant. Preventivo")</f>
        <v>Costo de Mant. Preventivo</v>
      </c>
      <c r="E40" s="222"/>
      <c r="F40" s="247" t="str">
        <f>IF(D12="","","$/mes")</f>
        <v>$/mes</v>
      </c>
      <c r="G40" s="237">
        <f>IF(D12="","",IFERROR(
    INDEX('INFO-Personal'!$E$28:$CA$28,
           MATCH($C$3, 'INFO-Personal'!$E$9:$CA$9, 0)
    ),
""))</f>
        <v>3.4161288796569287</v>
      </c>
      <c r="H40" s="385"/>
      <c r="I40" s="386"/>
      <c r="J40" s="386"/>
      <c r="K40" s="387"/>
      <c r="L40" s="397">
        <f>IF(D12="","",SUM(
    IFERROR((G40+G41) / INDEX('INFO-OEE'!$E$18:$CA$18, MATCH(C3, 'INFO-OEE'!$E$9:$CA$9, 0)), 0),
    IFERROR(G42 / G43, 0),
    IFERROR(G44 / G45, 0),
    IFERROR(G46 / G47, 0),
    IFERROR(G48, 0)
))</f>
        <v>0.27449741271484929</v>
      </c>
    </row>
    <row r="41" spans="2:12" ht="30" customHeight="1">
      <c r="B41" s="392"/>
      <c r="C41" s="393"/>
      <c r="D41" s="221" t="str">
        <f>IF(D12="", "Seleccionar Area ↑", "Costo de Mant. Correctivo")</f>
        <v>Costo de Mant. Correctivo</v>
      </c>
      <c r="E41" s="222"/>
      <c r="F41" s="247" t="str">
        <f>IF(D12="","","$/mes")</f>
        <v>$/mes</v>
      </c>
      <c r="G41" s="237">
        <f>IF(D12="","",IFERROR(
    INDEX('INFO-Personal'!$E$29:$CA$29,
           MATCH($C$3, 'INFO-Personal'!$E$9:$CA$9, 0)
    ),
""))</f>
        <v>35.233106830593854</v>
      </c>
      <c r="H41" s="385"/>
      <c r="I41" s="386"/>
      <c r="J41" s="386"/>
      <c r="K41" s="387"/>
      <c r="L41" s="399"/>
    </row>
    <row r="42" spans="2:12" ht="30" customHeight="1">
      <c r="B42" s="392"/>
      <c r="C42" s="393"/>
      <c r="D42" s="232"/>
      <c r="E42" s="222"/>
      <c r="F42" s="223" t="str">
        <f>IF(D42="","","$/u")</f>
        <v/>
      </c>
      <c r="G42" s="237" t="str">
        <f>IFERROR(INDEX('INFO-Mant'!$G$9:$G$26,
       MATCH(D42, 'INFO-Mant'!$D$9:$D$26, 0)),"")</f>
        <v/>
      </c>
      <c r="H42" s="385"/>
      <c r="I42" s="386"/>
      <c r="J42" s="386"/>
      <c r="K42" s="387"/>
      <c r="L42" s="399"/>
    </row>
    <row r="43" spans="2:12" ht="30" customHeight="1">
      <c r="B43" s="392"/>
      <c r="C43" s="393"/>
      <c r="D43" s="221" t="str">
        <f>IF(D42="", "Seleccionar Repuesto ↑", "Vida Util de " &amp; D42)</f>
        <v>Seleccionar Repuesto ↑</v>
      </c>
      <c r="E43" s="222"/>
      <c r="F43" s="223" t="str">
        <f>IF(ISERROR(FIND("Seleccionar", D43)), "Horas/u", "")</f>
        <v/>
      </c>
      <c r="G43" s="238"/>
      <c r="H43" s="385"/>
      <c r="I43" s="386"/>
      <c r="J43" s="386"/>
      <c r="K43" s="387"/>
      <c r="L43" s="399"/>
    </row>
    <row r="44" spans="2:12" ht="30" customHeight="1">
      <c r="B44" s="392"/>
      <c r="C44" s="393"/>
      <c r="D44" s="232"/>
      <c r="E44" s="222"/>
      <c r="F44" s="223" t="str">
        <f>IF(D44="","","$/u")</f>
        <v/>
      </c>
      <c r="G44" s="237" t="str">
        <f>IFERROR(INDEX('INFO-Mant'!$G$9:$G$26,
       MATCH(D44, 'INFO-Mant'!$D$9:$D$26, 0)),"")</f>
        <v/>
      </c>
      <c r="H44" s="385"/>
      <c r="I44" s="386"/>
      <c r="J44" s="386"/>
      <c r="K44" s="387"/>
      <c r="L44" s="399"/>
    </row>
    <row r="45" spans="2:12" ht="30" customHeight="1">
      <c r="B45" s="392"/>
      <c r="C45" s="393"/>
      <c r="D45" s="221" t="str">
        <f>IF(D44="", "Seleccionar Repuesto ↑", "Vida Util de " &amp; D44)</f>
        <v>Seleccionar Repuesto ↑</v>
      </c>
      <c r="E45" s="222"/>
      <c r="F45" s="223" t="str">
        <f>IF(ISERROR(FIND("Seleccionar", D45)), "Horas/u", "")</f>
        <v/>
      </c>
      <c r="G45" s="238"/>
      <c r="H45" s="385"/>
      <c r="I45" s="386"/>
      <c r="J45" s="386"/>
      <c r="K45" s="387"/>
      <c r="L45" s="399"/>
    </row>
    <row r="46" spans="2:12" ht="30" customHeight="1">
      <c r="B46" s="392"/>
      <c r="C46" s="393"/>
      <c r="D46" s="232"/>
      <c r="E46" s="222"/>
      <c r="F46" s="223" t="str">
        <f>IF(D46="","","$/u")</f>
        <v/>
      </c>
      <c r="G46" s="237" t="str">
        <f>IFERROR(INDEX('INFO-Mant'!$G$9:$G$26,
       MATCH(D46, 'INFO-Mant'!$D$9:$D$26, 0)),"")</f>
        <v/>
      </c>
      <c r="H46" s="385"/>
      <c r="I46" s="386"/>
      <c r="J46" s="386"/>
      <c r="K46" s="387"/>
      <c r="L46" s="399"/>
    </row>
    <row r="47" spans="2:12" ht="30" customHeight="1">
      <c r="B47" s="392"/>
      <c r="C47" s="393"/>
      <c r="D47" s="221" t="str">
        <f>IF(D46="", "Seleccionar Repuesto ↑", "Vida Util de " &amp; D46)</f>
        <v>Seleccionar Repuesto ↑</v>
      </c>
      <c r="E47" s="222"/>
      <c r="F47" s="223" t="str">
        <f>IF(ISERROR(FIND("Seleccionar", D47)), "Horas/u", "")</f>
        <v/>
      </c>
      <c r="G47" s="240"/>
      <c r="H47" s="385"/>
      <c r="I47" s="386"/>
      <c r="J47" s="386"/>
      <c r="K47" s="387"/>
      <c r="L47" s="399"/>
    </row>
    <row r="48" spans="2:12" ht="30" customHeight="1">
      <c r="B48" s="389"/>
      <c r="C48" s="391"/>
      <c r="D48" s="221" t="s">
        <v>85</v>
      </c>
      <c r="E48" s="222"/>
      <c r="F48" s="223" t="str">
        <f>IF(D12="","","$/h")</f>
        <v>$/h</v>
      </c>
      <c r="G48" s="240"/>
      <c r="H48" s="385"/>
      <c r="I48" s="386"/>
      <c r="J48" s="386"/>
      <c r="K48" s="387"/>
      <c r="L48" s="398"/>
    </row>
    <row r="49" spans="2:12" ht="30" customHeight="1">
      <c r="B49" s="248"/>
      <c r="C49" s="249"/>
      <c r="D49" s="250"/>
      <c r="E49" s="249"/>
      <c r="F49" s="251"/>
      <c r="G49" s="252"/>
      <c r="H49" s="249"/>
      <c r="I49" s="249"/>
      <c r="J49" s="249"/>
      <c r="K49" s="249"/>
      <c r="L49" s="253"/>
    </row>
    <row r="50" spans="2:12" ht="30" customHeight="1">
      <c r="B50" s="388" t="s">
        <v>102</v>
      </c>
      <c r="C50" s="394" t="s">
        <v>103</v>
      </c>
      <c r="D50" s="232"/>
      <c r="E50" s="222"/>
      <c r="F50" s="223" t="str">
        <f>IF(D50="","","$/h")</f>
        <v/>
      </c>
      <c r="G50" s="23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410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410"/>
      <c r="J50" s="410"/>
      <c r="K50" s="410"/>
      <c r="L50" s="255" t="str">
        <f ca="1">G50</f>
        <v/>
      </c>
    </row>
    <row r="51" spans="2:12" ht="30" customHeight="1">
      <c r="B51" s="392"/>
      <c r="C51" s="395"/>
      <c r="D51" s="232"/>
      <c r="E51" s="254"/>
      <c r="F51" s="223" t="str">
        <f>IF(D51="","","$/h")</f>
        <v/>
      </c>
      <c r="G51" s="23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410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410"/>
      <c r="J51" s="410"/>
      <c r="K51" s="410"/>
      <c r="L51" s="255" t="str">
        <f ca="1">G51</f>
        <v/>
      </c>
    </row>
    <row r="52" spans="2:12" ht="30" customHeight="1">
      <c r="B52" s="392"/>
      <c r="C52" s="395"/>
      <c r="D52" s="232"/>
      <c r="E52" s="222"/>
      <c r="F52" s="223" t="str">
        <f t="shared" ref="F52:F54" si="0">IF(D52="","","$/h")</f>
        <v/>
      </c>
      <c r="G52" s="23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410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410"/>
      <c r="J52" s="410"/>
      <c r="K52" s="410"/>
      <c r="L52" s="255" t="str">
        <f ca="1">G52</f>
        <v/>
      </c>
    </row>
    <row r="53" spans="2:12" ht="30" customHeight="1">
      <c r="B53" s="392"/>
      <c r="C53" s="395"/>
      <c r="D53" s="232"/>
      <c r="E53" s="222"/>
      <c r="F53" s="223" t="str">
        <f t="shared" si="0"/>
        <v/>
      </c>
      <c r="G53" s="23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410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410"/>
      <c r="J53" s="410"/>
      <c r="K53" s="410"/>
      <c r="L53" s="255" t="str">
        <f ca="1">G53</f>
        <v/>
      </c>
    </row>
    <row r="54" spans="2:12" ht="30" customHeight="1">
      <c r="B54" s="389"/>
      <c r="C54" s="396"/>
      <c r="D54" s="232"/>
      <c r="E54" s="222"/>
      <c r="F54" s="223" t="str">
        <f t="shared" si="0"/>
        <v/>
      </c>
      <c r="G54" s="23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410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410"/>
      <c r="J54" s="410"/>
      <c r="K54" s="410"/>
      <c r="L54" s="255" t="str">
        <f ca="1">G54</f>
        <v/>
      </c>
    </row>
    <row r="55" spans="2:12" ht="30" customHeight="1">
      <c r="B55" s="146"/>
      <c r="C55" s="147"/>
      <c r="D55" s="411"/>
      <c r="E55" s="411"/>
      <c r="F55" s="30"/>
      <c r="G55" s="30"/>
      <c r="H55" s="149"/>
      <c r="I55" s="149"/>
      <c r="J55" s="149"/>
      <c r="K55" s="30"/>
      <c r="L55" s="145"/>
    </row>
    <row r="56" spans="2:12" ht="30" customHeight="1" thickBot="1">
      <c r="B56" s="153" t="s">
        <v>39</v>
      </c>
      <c r="C56" s="330"/>
      <c r="D56" s="330"/>
      <c r="E56" s="154" t="s">
        <v>23</v>
      </c>
      <c r="F56" s="368"/>
      <c r="G56" s="368"/>
      <c r="H56" s="141"/>
      <c r="I56" s="141"/>
      <c r="J56" s="141"/>
      <c r="K56" s="256"/>
      <c r="L56" s="257"/>
    </row>
    <row r="57" spans="2:12" ht="30" customHeight="1" thickBot="1">
      <c r="B57" s="155"/>
      <c r="C57" s="156"/>
      <c r="D57" s="156"/>
      <c r="E57" s="156"/>
      <c r="F57" s="378"/>
      <c r="G57" s="378"/>
      <c r="H57" s="157"/>
      <c r="I57" s="157"/>
      <c r="J57" s="157"/>
      <c r="K57" s="258" t="s">
        <v>106</v>
      </c>
      <c r="L57" s="259">
        <f ca="1">IFERROR(SUM(L19:L54),"")</f>
        <v>6.1974914051214185</v>
      </c>
    </row>
  </sheetData>
  <sheetProtection selectLockedCells="1"/>
  <mergeCells count="80">
    <mergeCell ref="F57:G57"/>
    <mergeCell ref="B50:B54"/>
    <mergeCell ref="C50:C54"/>
    <mergeCell ref="H53:K53"/>
    <mergeCell ref="H54:K54"/>
    <mergeCell ref="D55:E55"/>
    <mergeCell ref="C56:D56"/>
    <mergeCell ref="F56:G56"/>
    <mergeCell ref="B38:B39"/>
    <mergeCell ref="C38:C39"/>
    <mergeCell ref="H50:K50"/>
    <mergeCell ref="H51:K51"/>
    <mergeCell ref="H52:K52"/>
    <mergeCell ref="B40:B48"/>
    <mergeCell ref="C40:C48"/>
    <mergeCell ref="H39:K39"/>
    <mergeCell ref="H40:K40"/>
    <mergeCell ref="H41:K41"/>
    <mergeCell ref="H42:K42"/>
    <mergeCell ref="H37:K37"/>
    <mergeCell ref="H38:K38"/>
    <mergeCell ref="L40:L48"/>
    <mergeCell ref="H44:K44"/>
    <mergeCell ref="H45:K45"/>
    <mergeCell ref="H46:K46"/>
    <mergeCell ref="H47:K47"/>
    <mergeCell ref="H48:K48"/>
    <mergeCell ref="H43:K43"/>
    <mergeCell ref="L38:L39"/>
    <mergeCell ref="C3:D3"/>
    <mergeCell ref="F3:G3"/>
    <mergeCell ref="C6:D6"/>
    <mergeCell ref="F6:G6"/>
    <mergeCell ref="C7:D7"/>
    <mergeCell ref="F7:G7"/>
    <mergeCell ref="H9:K9"/>
    <mergeCell ref="H10:K10"/>
    <mergeCell ref="H11:K11"/>
    <mergeCell ref="B10:B15"/>
    <mergeCell ref="C10:C15"/>
    <mergeCell ref="L10:L15"/>
    <mergeCell ref="H13:K13"/>
    <mergeCell ref="H15:K15"/>
    <mergeCell ref="H16:K16"/>
    <mergeCell ref="H17:K17"/>
    <mergeCell ref="H14:K14"/>
    <mergeCell ref="B16:B20"/>
    <mergeCell ref="C16:C20"/>
    <mergeCell ref="B21:B24"/>
    <mergeCell ref="C21:C24"/>
    <mergeCell ref="L16:L20"/>
    <mergeCell ref="H20:K20"/>
    <mergeCell ref="H18:K18"/>
    <mergeCell ref="H19:K19"/>
    <mergeCell ref="L21:L24"/>
    <mergeCell ref="H23:K23"/>
    <mergeCell ref="H24:K24"/>
    <mergeCell ref="H21:K21"/>
    <mergeCell ref="H22:K22"/>
    <mergeCell ref="H35:K35"/>
    <mergeCell ref="H36:K36"/>
    <mergeCell ref="L30:L34"/>
    <mergeCell ref="H34:K34"/>
    <mergeCell ref="L35:L36"/>
    <mergeCell ref="H33:K33"/>
    <mergeCell ref="H30:K30"/>
    <mergeCell ref="H31:K31"/>
    <mergeCell ref="H32:K32"/>
    <mergeCell ref="B35:B36"/>
    <mergeCell ref="C35:C36"/>
    <mergeCell ref="B25:B29"/>
    <mergeCell ref="C25:C29"/>
    <mergeCell ref="B30:B34"/>
    <mergeCell ref="C30:C34"/>
    <mergeCell ref="L25:L29"/>
    <mergeCell ref="H29:K29"/>
    <mergeCell ref="H28:K28"/>
    <mergeCell ref="H25:K25"/>
    <mergeCell ref="H26:K26"/>
    <mergeCell ref="H27:K27"/>
  </mergeCells>
  <dataValidations count="8">
    <dataValidation type="list" allowBlank="1" showInputMessage="1" showErrorMessage="1" sqref="D51:D54">
      <formula1>Herramientas_Ensamble</formula1>
    </dataValidation>
    <dataValidation type="list" allowBlank="1" showInputMessage="1" showErrorMessage="1" sqref="D12">
      <formula1>Areas_Ensamble</formula1>
    </dataValidation>
    <dataValidation type="list" allowBlank="1" showInputMessage="1" showErrorMessage="1" sqref="D16 D18">
      <formula1>Lubricantes_Ensamble</formula1>
    </dataValidation>
    <dataValidation type="list" allowBlank="1" showInputMessage="1" showErrorMessage="1" sqref="D21">
      <formula1>AireComprimido_Ensamble</formula1>
    </dataValidation>
    <dataValidation type="list" allowBlank="1" showInputMessage="1" showErrorMessage="1" sqref="D25 D27">
      <formula1>Refrigerantes_Ensamble</formula1>
    </dataValidation>
    <dataValidation type="list" allowBlank="1" showInputMessage="1" showErrorMessage="1" sqref="D30 D32">
      <formula1>Solvente_Ensamble</formula1>
    </dataValidation>
    <dataValidation type="list" allowBlank="1" showInputMessage="1" showErrorMessage="1" sqref="D42 D44 D46">
      <formula1>Repuestos_Ensamble</formula1>
    </dataValidation>
    <dataValidation type="list" allowBlank="1" showInputMessage="1" showErrorMessage="1" sqref="D10 D50">
      <formula1>Maquinaria_Ensamble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54</xdr:row>
                    <xdr:rowOff>333375</xdr:rowOff>
                  </from>
                  <to>
                    <xdr:col>1</xdr:col>
                    <xdr:colOff>1762125</xdr:colOff>
                    <xdr:row>55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3">
    <tabColor rgb="FF0070C0"/>
    <pageSetUpPr autoPageBreaks="0" fitToPage="1"/>
  </sheetPr>
  <dimension ref="B1:M59"/>
  <sheetViews>
    <sheetView showGridLines="0" topLeftCell="A4" zoomScale="80" zoomScaleNormal="80" workbookViewId="0">
      <selection activeCell="D12" sqref="D12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3.140625" style="80" bestFit="1" customWidth="1"/>
    <col min="5" max="5" width="20.5703125" style="80" customWidth="1"/>
    <col min="6" max="6" width="16.5703125" style="80" bestFit="1" customWidth="1"/>
    <col min="7" max="7" width="19.7109375" style="80" bestFit="1" customWidth="1"/>
    <col min="8" max="8" width="15.28515625" style="80" customWidth="1"/>
    <col min="9" max="10" width="17" style="80" customWidth="1"/>
    <col min="11" max="11" width="28.42578125" style="80" customWidth="1"/>
    <col min="12" max="12" width="20.7109375" style="80" customWidth="1"/>
    <col min="13" max="13" width="2.7109375" style="80" customWidth="1"/>
    <col min="14" max="16384" width="9.140625" style="80"/>
  </cols>
  <sheetData>
    <row r="1" spans="2:13" ht="12" customHeight="1" thickBot="1"/>
    <row r="2" spans="2:13" ht="30" customHeight="1">
      <c r="B2" s="126" t="s">
        <v>95</v>
      </c>
      <c r="C2" s="127"/>
      <c r="D2" s="128"/>
      <c r="E2" s="128"/>
      <c r="F2" s="128"/>
      <c r="G2" s="128"/>
      <c r="H2" s="128"/>
      <c r="I2" s="128"/>
      <c r="J2" s="128"/>
      <c r="K2" s="128"/>
      <c r="L2" s="129"/>
    </row>
    <row r="3" spans="2:13" ht="30" customHeight="1">
      <c r="B3" s="130" t="s">
        <v>96</v>
      </c>
      <c r="C3" s="406" t="s">
        <v>180</v>
      </c>
      <c r="D3" s="406"/>
      <c r="E3" s="125" t="s">
        <v>3</v>
      </c>
      <c r="F3" s="356">
        <f ca="1">TODAY()</f>
        <v>46020</v>
      </c>
      <c r="G3" s="356"/>
      <c r="H3" s="125" t="s">
        <v>61</v>
      </c>
      <c r="I3" s="162">
        <f>'INFO-Direc'!H3</f>
        <v>1445</v>
      </c>
      <c r="J3" s="131"/>
      <c r="K3" s="132"/>
      <c r="L3" s="133"/>
      <c r="M3" s="134"/>
    </row>
    <row r="4" spans="2:13" ht="30" customHeight="1">
      <c r="B4" s="130" t="s">
        <v>97</v>
      </c>
      <c r="C4" s="160">
        <f>IFERROR(INDEX('INFO-OEE'!E17:CL17,
       MATCH(C3, 'INFO-OEE'!E9:CL9, 0)),"")</f>
        <v>0.8</v>
      </c>
      <c r="D4" s="135"/>
      <c r="E4" s="136"/>
      <c r="F4" s="136"/>
      <c r="G4" s="136"/>
      <c r="H4" s="125"/>
      <c r="I4" s="137"/>
      <c r="J4" s="131"/>
      <c r="K4" s="132"/>
      <c r="L4" s="138"/>
      <c r="M4" s="89"/>
    </row>
    <row r="5" spans="2:13" ht="30" customHeight="1">
      <c r="B5" s="139" t="s">
        <v>4</v>
      </c>
      <c r="C5" s="140"/>
      <c r="D5" s="141"/>
      <c r="E5" s="141"/>
      <c r="F5" s="141"/>
      <c r="G5" s="141"/>
      <c r="H5" s="141"/>
      <c r="I5" s="141"/>
      <c r="J5" s="141"/>
      <c r="K5" s="141"/>
      <c r="L5" s="142"/>
    </row>
    <row r="6" spans="2:13" ht="30" customHeight="1">
      <c r="B6" s="143" t="s">
        <v>5</v>
      </c>
      <c r="C6" s="407" t="s">
        <v>205</v>
      </c>
      <c r="D6" s="407"/>
      <c r="E6" s="144" t="s">
        <v>6</v>
      </c>
      <c r="F6" s="407"/>
      <c r="G6" s="407"/>
      <c r="H6" s="141"/>
      <c r="I6" s="141"/>
      <c r="J6" s="141"/>
      <c r="K6" s="30"/>
      <c r="L6" s="145"/>
    </row>
    <row r="7" spans="2:13" ht="30" customHeight="1">
      <c r="B7" s="143" t="s">
        <v>7</v>
      </c>
      <c r="C7" s="407" t="s">
        <v>206</v>
      </c>
      <c r="D7" s="407"/>
      <c r="E7" s="144" t="s">
        <v>62</v>
      </c>
      <c r="F7" s="408"/>
      <c r="G7" s="408"/>
      <c r="H7" s="141"/>
      <c r="I7" s="141"/>
      <c r="J7" s="141"/>
      <c r="K7" s="30"/>
      <c r="L7" s="145"/>
    </row>
    <row r="8" spans="2:13" ht="30" customHeight="1" thickBot="1">
      <c r="B8" s="146"/>
      <c r="C8" s="147"/>
      <c r="D8" s="148"/>
      <c r="E8" s="148"/>
      <c r="F8" s="30"/>
      <c r="G8" s="30"/>
      <c r="H8" s="149"/>
      <c r="I8" s="149"/>
      <c r="J8" s="149"/>
      <c r="K8" s="30"/>
      <c r="L8" s="145"/>
    </row>
    <row r="9" spans="2:13" ht="30" customHeight="1" thickBot="1">
      <c r="B9" s="67" t="s">
        <v>9</v>
      </c>
      <c r="C9" s="190" t="s">
        <v>63</v>
      </c>
      <c r="D9" s="190" t="s">
        <v>64</v>
      </c>
      <c r="E9" s="190" t="s">
        <v>65</v>
      </c>
      <c r="F9" s="190" t="s">
        <v>66</v>
      </c>
      <c r="G9" s="190" t="s">
        <v>67</v>
      </c>
      <c r="H9" s="319" t="s">
        <v>68</v>
      </c>
      <c r="I9" s="319"/>
      <c r="J9" s="319"/>
      <c r="K9" s="319"/>
      <c r="L9" s="191" t="s">
        <v>98</v>
      </c>
    </row>
    <row r="10" spans="2:13" ht="30" customHeight="1">
      <c r="B10" s="404" t="s">
        <v>88</v>
      </c>
      <c r="C10" s="405" t="s">
        <v>89</v>
      </c>
      <c r="D10" s="231" t="s">
        <v>180</v>
      </c>
      <c r="E10" s="218"/>
      <c r="F10" s="219" t="str">
        <f>IF(D10="","","kW")</f>
        <v>kW</v>
      </c>
      <c r="G10" s="220">
        <f>IF(D10="","",IFERROR(INDEX('[4]INFO-Consumo'!$F$9:$F$95,
       MATCH(D10, '[4]INFO-Consumo'!$D$9:$D$95, 0)),""))</f>
        <v>2.2000000000000002</v>
      </c>
      <c r="H10" s="401"/>
      <c r="I10" s="402"/>
      <c r="J10" s="402"/>
      <c r="K10" s="403"/>
      <c r="L10" s="400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0.37569614505508631</v>
      </c>
    </row>
    <row r="11" spans="2:13" ht="30" customHeight="1">
      <c r="B11" s="392"/>
      <c r="C11" s="393"/>
      <c r="D11" s="221" t="str">
        <f>IF(D10="", "Seleccionar Maquinaria ↑", "Carga Promedio de Uso de " &amp; D10)</f>
        <v>Carga Promedio de Uso de PRENSA QY-10-3</v>
      </c>
      <c r="E11" s="222"/>
      <c r="F11" s="223" t="str">
        <f>IF(ISERROR(FIND("Seleccionar", D11)), "%", "")</f>
        <v>%</v>
      </c>
      <c r="G11" s="289">
        <f>IF(D10="","",IFERROR(
    INDEX('[4]INFO-Consumo'!I:I,
           MATCH(D10, '[4]INFO-Consumo'!D:D, 0)
    ),
""))</f>
        <v>0.6</v>
      </c>
      <c r="H11" s="384"/>
      <c r="I11" s="384"/>
      <c r="J11" s="384"/>
      <c r="K11" s="384"/>
      <c r="L11" s="399"/>
    </row>
    <row r="12" spans="2:13" ht="30" customHeight="1">
      <c r="B12" s="392"/>
      <c r="C12" s="393"/>
      <c r="D12" s="232" t="s">
        <v>173</v>
      </c>
      <c r="E12" s="222"/>
      <c r="F12" s="223" t="str">
        <f>IF(D12="","","kW")</f>
        <v>kW</v>
      </c>
      <c r="G12" s="224">
        <f>IFERROR(INDEX('[4]INFO-Ponderacion'!$S$9:$S$13,
       MATCH(D12,'[4]INFO-Ponderacion'!$C$9:$C$13, 0)),"")</f>
        <v>2.4095999999999997</v>
      </c>
      <c r="H12" s="286"/>
      <c r="I12" s="287"/>
      <c r="J12" s="287"/>
      <c r="K12" s="288"/>
      <c r="L12" s="399"/>
    </row>
    <row r="13" spans="2:13" ht="30" customHeight="1">
      <c r="B13" s="392"/>
      <c r="C13" s="393"/>
      <c r="D13" s="221" t="str">
        <f>IF(D12="", "Seleccionar Area ↑", "Tarifa Electrica ")</f>
        <v xml:space="preserve">Tarifa Electrica </v>
      </c>
      <c r="E13" s="222"/>
      <c r="F13" s="223" t="str">
        <f>IF(D12="","","$/kWh")</f>
        <v>$/kWh</v>
      </c>
      <c r="G13" s="228">
        <f>IF(D12="","",'INFO-Direc'!$G$9)</f>
        <v>5.2613958629577628E-2</v>
      </c>
      <c r="H13" s="384"/>
      <c r="I13" s="384"/>
      <c r="J13" s="384"/>
      <c r="K13" s="384"/>
      <c r="L13" s="399"/>
    </row>
    <row r="14" spans="2:13" ht="30" customHeight="1">
      <c r="B14" s="392"/>
      <c r="C14" s="393"/>
      <c r="D14" s="229" t="str">
        <f>IF(D12="", "Seleccionar Area ↑", "Costo Electrico Fijo de " &amp; D12)</f>
        <v>Costo Electrico Fijo de Ensamble</v>
      </c>
      <c r="E14" s="222"/>
      <c r="F14" s="223" t="str">
        <f>IF(D12="","","$/h")</f>
        <v>$/h</v>
      </c>
      <c r="G14" s="290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0.17946712495021358</v>
      </c>
      <c r="H14" s="385"/>
      <c r="I14" s="386"/>
      <c r="J14" s="386"/>
      <c r="K14" s="387"/>
      <c r="L14" s="399"/>
    </row>
    <row r="15" spans="2:13" ht="30" customHeight="1">
      <c r="B15" s="389"/>
      <c r="C15" s="391"/>
      <c r="D15" s="229" t="s">
        <v>85</v>
      </c>
      <c r="E15" s="230"/>
      <c r="F15" s="223" t="str">
        <f>IF(D12="","","$/h")</f>
        <v>$/h</v>
      </c>
      <c r="G15" s="233"/>
      <c r="H15" s="385"/>
      <c r="I15" s="386"/>
      <c r="J15" s="386"/>
      <c r="K15" s="387"/>
      <c r="L15" s="398"/>
    </row>
    <row r="16" spans="2:13" ht="30" customHeight="1">
      <c r="B16" s="388" t="s">
        <v>90</v>
      </c>
      <c r="C16" s="394" t="s">
        <v>89</v>
      </c>
      <c r="D16" s="232"/>
      <c r="E16" s="222"/>
      <c r="F16" s="223" t="str">
        <f>IF(D16="","","$/L")</f>
        <v/>
      </c>
      <c r="G16" s="228" t="str">
        <f>IFERROR(INDEX('INFO-Direc'!$G$9:$G$25,
       MATCH(D16, 'INFO-Direc'!$D$9:$D$25, 0)),"")</f>
        <v/>
      </c>
      <c r="H16" s="384"/>
      <c r="I16" s="384"/>
      <c r="J16" s="384"/>
      <c r="K16" s="384"/>
      <c r="L16" s="397" t="str">
        <f>IF(AND(D16="", D18=""), "",
    IFERROR(
        IFERROR(G16*G17,0)
        + IFERROR(G18*G19,0)
        + IFERROR(G20,0),
    "")
)</f>
        <v/>
      </c>
    </row>
    <row r="17" spans="2:12" ht="30" customHeight="1">
      <c r="B17" s="392"/>
      <c r="C17" s="395"/>
      <c r="D17" s="221" t="str">
        <f>IF(D16="", "Seleccionar Lubricante ↑", "Consumo de " &amp; D16)</f>
        <v>Seleccionar Lubricante ↑</v>
      </c>
      <c r="E17" s="222"/>
      <c r="F17" s="223" t="str">
        <f>IF(ISERROR(FIND("Seleccionar", D17)), "L/h", "")</f>
        <v/>
      </c>
      <c r="G17" s="234"/>
      <c r="H17" s="384"/>
      <c r="I17" s="384"/>
      <c r="J17" s="384"/>
      <c r="K17" s="384"/>
      <c r="L17" s="399"/>
    </row>
    <row r="18" spans="2:12" ht="30" customHeight="1">
      <c r="B18" s="392"/>
      <c r="C18" s="395"/>
      <c r="D18" s="232"/>
      <c r="E18" s="222"/>
      <c r="F18" s="223" t="str">
        <f>IF(D18="","","$/L")</f>
        <v/>
      </c>
      <c r="G18" s="228" t="str">
        <f>IFERROR(INDEX('INFO-Direc'!$G$9:$G$25,
       MATCH(D18, 'INFO-Direc'!$D$9:$D$25, 0)),"")</f>
        <v/>
      </c>
      <c r="H18" s="385"/>
      <c r="I18" s="386"/>
      <c r="J18" s="386"/>
      <c r="K18" s="387"/>
      <c r="L18" s="399"/>
    </row>
    <row r="19" spans="2:12" ht="30" customHeight="1">
      <c r="B19" s="392"/>
      <c r="C19" s="395"/>
      <c r="D19" s="221" t="str">
        <f>IF(D18="", "Seleccionar Lubricante ↑", "Consumo de " &amp; D18)</f>
        <v>Seleccionar Lubricante ↑</v>
      </c>
      <c r="E19" s="222"/>
      <c r="F19" s="223" t="str">
        <f>IF(ISERROR(FIND("Seleccionar", D19)), "L/h", "")</f>
        <v/>
      </c>
      <c r="G19" s="234"/>
      <c r="H19" s="385"/>
      <c r="I19" s="386"/>
      <c r="J19" s="386"/>
      <c r="K19" s="387"/>
      <c r="L19" s="399"/>
    </row>
    <row r="20" spans="2:12" ht="30" customHeight="1">
      <c r="B20" s="389"/>
      <c r="C20" s="396"/>
      <c r="D20" s="221" t="s">
        <v>85</v>
      </c>
      <c r="E20" s="222"/>
      <c r="F20" s="223" t="str">
        <f>IF(OR(D16&lt;&gt;"", D18&lt;&gt;""), "$/h", "")</f>
        <v/>
      </c>
      <c r="G20" s="233"/>
      <c r="H20" s="384"/>
      <c r="I20" s="384"/>
      <c r="J20" s="384"/>
      <c r="K20" s="384"/>
      <c r="L20" s="398"/>
    </row>
    <row r="21" spans="2:12" ht="30" customHeight="1">
      <c r="B21" s="388" t="s">
        <v>92</v>
      </c>
      <c r="C21" s="390" t="s">
        <v>89</v>
      </c>
      <c r="D21" s="232" t="s">
        <v>138</v>
      </c>
      <c r="E21" s="222"/>
      <c r="F21" s="223" t="str">
        <f>IF(D21="","","kW")</f>
        <v>kW</v>
      </c>
      <c r="G21" s="228">
        <f>IFERROR(INDEX('INFO-Direc'!$G$9:$G$25,
       MATCH(D21, 'INFO-Direc'!$D$9:$D$25, 0)),"")</f>
        <v>56</v>
      </c>
      <c r="H21" s="385"/>
      <c r="I21" s="386"/>
      <c r="J21" s="386"/>
      <c r="K21" s="387"/>
      <c r="L21" s="397">
        <f>IFERROR(G21*G13*G22+G23+G24,"")</f>
        <v>1.8303340099538083</v>
      </c>
    </row>
    <row r="22" spans="2:12" ht="30" customHeight="1">
      <c r="B22" s="392"/>
      <c r="C22" s="393"/>
      <c r="D22" s="221" t="str">
        <f>IF(D21="", "Seleccionar Compresor ↑", "Carga Promedio de Uso de " &amp; D21)</f>
        <v>Carga Promedio de Uso de Compresor</v>
      </c>
      <c r="E22" s="222"/>
      <c r="F22" s="223" t="str">
        <f>IF(ISERROR(FIND("Seleccionar", D22)), "%", "")</f>
        <v>%</v>
      </c>
      <c r="G22" s="289">
        <f>IF(D21="","",IFERROR(
    INDEX('[4]INFO-Consumo'!I:I,
           MATCH(D21, '[4]INFO-Consumo'!D:D, 0)
    ),
""))</f>
        <v>0.6</v>
      </c>
      <c r="H22" s="384"/>
      <c r="I22" s="384"/>
      <c r="J22" s="384"/>
      <c r="K22" s="384"/>
      <c r="L22" s="399"/>
    </row>
    <row r="23" spans="2:12" ht="30" customHeight="1">
      <c r="B23" s="392"/>
      <c r="C23" s="393"/>
      <c r="D23" s="235" t="str">
        <f>IF(D21="", "Seleccionar Compresor ↑", "Costo de Repuestos " &amp; D21)</f>
        <v>Costo de Repuestos Compresor</v>
      </c>
      <c r="E23" s="222"/>
      <c r="F23" s="223" t="str">
        <f>IF(ISERROR(FIND("Seleccionar", D23)), "$/h", "")</f>
        <v>$/h</v>
      </c>
      <c r="G23" s="236">
        <f>IF(D21="","", SUM(IF(ISNUMBER(FIND("Compresor", 'INFO-Mant'!D9:D26)), 'INFO-Mant'!G9:G26 / 'INFO-Mant'!H9:H26, 0)))</f>
        <v>6.2505000000000005E-2</v>
      </c>
      <c r="H23" s="385"/>
      <c r="I23" s="386"/>
      <c r="J23" s="386"/>
      <c r="K23" s="387"/>
      <c r="L23" s="399"/>
    </row>
    <row r="24" spans="2:12" ht="30" customHeight="1">
      <c r="B24" s="389"/>
      <c r="C24" s="391"/>
      <c r="D24" s="221" t="s">
        <v>85</v>
      </c>
      <c r="E24" s="222"/>
      <c r="F24" s="223" t="str">
        <f>IF(D21="","","$/h")</f>
        <v>$/h</v>
      </c>
      <c r="G24" s="233"/>
      <c r="H24" s="384"/>
      <c r="I24" s="384"/>
      <c r="J24" s="384"/>
      <c r="K24" s="384"/>
      <c r="L24" s="398"/>
    </row>
    <row r="25" spans="2:12" ht="30" customHeight="1">
      <c r="B25" s="388" t="s">
        <v>94</v>
      </c>
      <c r="C25" s="390" t="s">
        <v>89</v>
      </c>
      <c r="D25" s="232"/>
      <c r="E25" s="222"/>
      <c r="F25" s="223" t="str">
        <f>IF(D25="","","$/L")</f>
        <v/>
      </c>
      <c r="G25" s="228" t="str">
        <f>IFERROR(INDEX('INFO-Direc'!$G$9:$G$25,
       MATCH(D25, 'INFO-Direc'!$D$9:$D$25, 0)),"")</f>
        <v/>
      </c>
      <c r="H25" s="384"/>
      <c r="I25" s="384"/>
      <c r="J25" s="384"/>
      <c r="K25" s="384"/>
      <c r="L25" s="381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92"/>
      <c r="C26" s="393"/>
      <c r="D26" s="221" t="str">
        <f>IF(D25="", "Seleccionar Refrigerante ↑", "Consumo de " &amp; D25)</f>
        <v>Seleccionar Refrigerante ↑</v>
      </c>
      <c r="E26" s="222"/>
      <c r="F26" s="223" t="str">
        <f>IF(ISERROR(FIND("Seleccionar", D26)), "L/Año", "")</f>
        <v/>
      </c>
      <c r="G26" s="238"/>
      <c r="H26" s="384"/>
      <c r="I26" s="384"/>
      <c r="J26" s="384"/>
      <c r="K26" s="384"/>
      <c r="L26" s="382"/>
    </row>
    <row r="27" spans="2:12" ht="30" customHeight="1">
      <c r="B27" s="392"/>
      <c r="C27" s="393"/>
      <c r="D27" s="232"/>
      <c r="E27" s="222"/>
      <c r="F27" s="223" t="str">
        <f>IF(D27="","","$/L")</f>
        <v/>
      </c>
      <c r="G27" s="228" t="str">
        <f>IFERROR(INDEX('INFO-Direc'!$G$9:$G$25,
       MATCH(D27, 'INFO-Direc'!$D$9:$D$25, 0)),"")</f>
        <v/>
      </c>
      <c r="H27" s="385"/>
      <c r="I27" s="386"/>
      <c r="J27" s="386"/>
      <c r="K27" s="387"/>
      <c r="L27" s="382"/>
    </row>
    <row r="28" spans="2:12" ht="30" customHeight="1">
      <c r="B28" s="392"/>
      <c r="C28" s="393"/>
      <c r="D28" s="221" t="str">
        <f>IF(D27="", "Seleccionar Refrigerante ↑", "Consumo de " &amp; D27)</f>
        <v>Seleccionar Refrigerante ↑</v>
      </c>
      <c r="E28" s="222"/>
      <c r="F28" s="223" t="str">
        <f>IF(ISERROR(FIND("Seleccionar", D28)), "L/Año", "")</f>
        <v/>
      </c>
      <c r="G28" s="239"/>
      <c r="H28" s="385"/>
      <c r="I28" s="386"/>
      <c r="J28" s="386"/>
      <c r="K28" s="387"/>
      <c r="L28" s="382"/>
    </row>
    <row r="29" spans="2:12" ht="30" customHeight="1">
      <c r="B29" s="389"/>
      <c r="C29" s="391"/>
      <c r="D29" s="221" t="s">
        <v>85</v>
      </c>
      <c r="E29" s="222"/>
      <c r="F29" s="223" t="str">
        <f>IF(OR(D25&lt;&gt;"", D27&lt;&gt;""), "$/h", "")</f>
        <v/>
      </c>
      <c r="G29" s="233"/>
      <c r="H29" s="384"/>
      <c r="I29" s="384"/>
      <c r="J29" s="384"/>
      <c r="K29" s="384"/>
      <c r="L29" s="383"/>
    </row>
    <row r="30" spans="2:12" s="152" customFormat="1" ht="30" customHeight="1">
      <c r="B30" s="388" t="s">
        <v>168</v>
      </c>
      <c r="C30" s="394" t="s">
        <v>89</v>
      </c>
      <c r="D30" s="232"/>
      <c r="E30" s="222"/>
      <c r="F30" s="223" t="str">
        <f>IF(D30="","","$/L")</f>
        <v/>
      </c>
      <c r="G30" s="228" t="str">
        <f>IFERROR(INDEX('INFO-Direc'!$G$9:$G$25,
       MATCH(D30, 'INFO-Direc'!$D$9:$D$25, 0)),"")</f>
        <v/>
      </c>
      <c r="H30" s="384"/>
      <c r="I30" s="384"/>
      <c r="J30" s="384"/>
      <c r="K30" s="384"/>
      <c r="L30" s="381" t="str">
        <f>IF(
    AND(D30="", D32=""),
    "",
    IFERROR(
        IFERROR(G30 / (INDEX('INFO-OEE'!$E$18:$CA$18,
                               MATCH(#REF!, 'INFO-OEE'!$E$9:$CA$9, 0)) * 12), 0)
        * G31
        +
        IFERROR(G32 / (INDEX('INFO-OEE'!$E$18:$CA$18,
                               MATCH(#REF!, 'INFO-OEE'!$E$9:$CA$9, 0)) * 12), 0)
        * G33
        +
        IFERROR(G34, 0),
    "")
)</f>
        <v/>
      </c>
    </row>
    <row r="31" spans="2:12" s="152" customFormat="1" ht="30" customHeight="1">
      <c r="B31" s="392"/>
      <c r="C31" s="395"/>
      <c r="D31" s="221" t="str">
        <f>IF(D30="", "Seleccionar Solvente ↑", "Consumo de " &amp; D30)</f>
        <v>Seleccionar Solvente ↑</v>
      </c>
      <c r="E31" s="222"/>
      <c r="F31" s="223" t="str">
        <f>IF(ISERROR(FIND("Seleccionar", D31)), "L/Año", "")</f>
        <v/>
      </c>
      <c r="G31" s="234"/>
      <c r="H31" s="384"/>
      <c r="I31" s="384"/>
      <c r="J31" s="384"/>
      <c r="K31" s="384"/>
      <c r="L31" s="382"/>
    </row>
    <row r="32" spans="2:12" s="152" customFormat="1" ht="30" customHeight="1">
      <c r="B32" s="392"/>
      <c r="C32" s="395"/>
      <c r="D32" s="232"/>
      <c r="E32" s="222"/>
      <c r="F32" s="223" t="str">
        <f>IF(D32="","","$/L")</f>
        <v/>
      </c>
      <c r="G32" s="228" t="str">
        <f>IFERROR(INDEX('INFO-Direc'!$G$9:$G$25,
       MATCH(D32, 'INFO-Direc'!$D$9:$D$25, 0)),"")</f>
        <v/>
      </c>
      <c r="H32" s="385"/>
      <c r="I32" s="386"/>
      <c r="J32" s="386"/>
      <c r="K32" s="387"/>
      <c r="L32" s="382"/>
    </row>
    <row r="33" spans="2:12" s="152" customFormat="1" ht="30" customHeight="1">
      <c r="B33" s="392"/>
      <c r="C33" s="395"/>
      <c r="D33" s="221" t="str">
        <f>IF(D32="", "Seleccionar Solvente ↑", "Consumo de " &amp; D32)</f>
        <v>Seleccionar Solvente ↑</v>
      </c>
      <c r="E33" s="222"/>
      <c r="F33" s="223" t="str">
        <f>IF(ISERROR(FIND("Seleccionar", D33)), "L/Año", "")</f>
        <v/>
      </c>
      <c r="G33" s="234"/>
      <c r="H33" s="385"/>
      <c r="I33" s="386"/>
      <c r="J33" s="386"/>
      <c r="K33" s="387"/>
      <c r="L33" s="382"/>
    </row>
    <row r="34" spans="2:12" s="152" customFormat="1" ht="30" customHeight="1">
      <c r="B34" s="389"/>
      <c r="C34" s="396"/>
      <c r="D34" s="221" t="s">
        <v>85</v>
      </c>
      <c r="E34" s="222"/>
      <c r="F34" s="223" t="str">
        <f>IF(OR(D30&lt;&gt;"", D32&lt;&gt;""), "$/h", "")</f>
        <v/>
      </c>
      <c r="G34" s="233"/>
      <c r="H34" s="384"/>
      <c r="I34" s="384"/>
      <c r="J34" s="384"/>
      <c r="K34" s="384"/>
      <c r="L34" s="383"/>
    </row>
    <row r="35" spans="2:12" ht="30" customHeight="1">
      <c r="B35" s="388" t="s">
        <v>100</v>
      </c>
      <c r="C35" s="390" t="s">
        <v>89</v>
      </c>
      <c r="D35" s="221" t="str">
        <f>IF(D12="", "Seleccionar Area ↑", "Costo de Operarios")</f>
        <v>Costo de Operarios</v>
      </c>
      <c r="E35" s="222"/>
      <c r="F35" s="223" t="str">
        <f>IF(D12="","","$/mes")</f>
        <v>$/mes</v>
      </c>
      <c r="G35" s="237">
        <f>IF(D12="","",IFERROR(
    INDEX('INFO-Personal'!$E$26:$CA$26,
           MATCH($C$3, 'INFO-Personal'!$E$9:$CA$9, 0)
    ),
""))</f>
        <v>525.00459233449487</v>
      </c>
      <c r="H35" s="384"/>
      <c r="I35" s="384"/>
      <c r="J35" s="384"/>
      <c r="K35" s="384"/>
      <c r="L35" s="397">
        <f>IFERROR(
    (G35 / INDEX('INFO-OEE'!$E$18:$CA$18,
                  MATCH($C$3, 'INFO-OEE'!$E$9:$CA$9, 0)))
    + G36,
"")</f>
        <v>3.7287257978302191</v>
      </c>
    </row>
    <row r="36" spans="2:12" ht="30" customHeight="1">
      <c r="B36" s="389"/>
      <c r="C36" s="391"/>
      <c r="D36" s="221" t="s">
        <v>85</v>
      </c>
      <c r="E36" s="222"/>
      <c r="F36" s="223" t="str">
        <f>IF(D12="","","$/h")</f>
        <v>$/h</v>
      </c>
      <c r="G36" s="240"/>
      <c r="H36" s="384"/>
      <c r="I36" s="384"/>
      <c r="J36" s="384"/>
      <c r="K36" s="384"/>
      <c r="L36" s="398"/>
    </row>
    <row r="37" spans="2:12" ht="30" customHeight="1">
      <c r="B37" s="241"/>
      <c r="C37" s="242"/>
      <c r="D37" s="243"/>
      <c r="E37" s="242"/>
      <c r="F37" s="244"/>
      <c r="G37" s="245"/>
      <c r="H37" s="409"/>
      <c r="I37" s="409"/>
      <c r="J37" s="409"/>
      <c r="K37" s="409"/>
      <c r="L37" s="246"/>
    </row>
    <row r="38" spans="2:12" ht="30" customHeight="1">
      <c r="B38" s="388" t="s">
        <v>16</v>
      </c>
      <c r="C38" s="390" t="s">
        <v>69</v>
      </c>
      <c r="D38" s="221" t="str">
        <f>IF(D12="", "Seleccionar Area ↑", "Costo de Supervisores")</f>
        <v>Costo de Supervisores</v>
      </c>
      <c r="E38" s="222"/>
      <c r="F38" s="247" t="str">
        <f>IF(D12="","","$/mes")</f>
        <v>$/mes</v>
      </c>
      <c r="G38" s="237">
        <f>IF(D12="","",IFERROR(
    INDEX('INFO-Personal'!$E$27:$CA$27,
           MATCH($C$3, 'INFO-Personal'!$E$9:$CA$9, 0)
    ),
""))</f>
        <v>51.241933194853928</v>
      </c>
      <c r="H38" s="385"/>
      <c r="I38" s="386"/>
      <c r="J38" s="386"/>
      <c r="K38" s="387"/>
      <c r="L38" s="397">
        <f>IFERROR(
    (G38 / INDEX('INFO-OEE'!$E$18:$CA$18,
                  MATCH($C$3, 'INFO-OEE'!$E$9:$CA$9, 0)))
    + G39,
"")</f>
        <v>0.36393418462254207</v>
      </c>
    </row>
    <row r="39" spans="2:12" ht="30" customHeight="1">
      <c r="B39" s="392"/>
      <c r="C39" s="393"/>
      <c r="D39" s="221" t="s">
        <v>85</v>
      </c>
      <c r="E39" s="222"/>
      <c r="F39" s="223" t="str">
        <f>IF(D12="","","$/h")</f>
        <v>$/h</v>
      </c>
      <c r="G39" s="240"/>
      <c r="H39" s="385"/>
      <c r="I39" s="386"/>
      <c r="J39" s="386"/>
      <c r="K39" s="387"/>
      <c r="L39" s="399"/>
    </row>
    <row r="40" spans="2:12" ht="30" customHeight="1">
      <c r="B40" s="388" t="s">
        <v>101</v>
      </c>
      <c r="C40" s="390" t="s">
        <v>69</v>
      </c>
      <c r="D40" s="221" t="str">
        <f>IF(D12="", "Seleccionar Area ↑", "Costo de Mant. Preventivo")</f>
        <v>Costo de Mant. Preventivo</v>
      </c>
      <c r="E40" s="222"/>
      <c r="F40" s="247" t="str">
        <f>IF(D12="","","$/mes")</f>
        <v>$/mes</v>
      </c>
      <c r="G40" s="237">
        <f>IF(D12="","",IFERROR(
    INDEX('INFO-Personal'!$E$28:$CA$28,
           MATCH($C$3, 'INFO-Personal'!$E$9:$CA$9, 0)
    ),
""))</f>
        <v>3.4161288796569287</v>
      </c>
      <c r="H40" s="385"/>
      <c r="I40" s="386"/>
      <c r="J40" s="386"/>
      <c r="K40" s="387"/>
      <c r="L40" s="397">
        <f>IF(D12="","",SUM(
    IFERROR((G40+G41) / INDEX('INFO-OEE'!$E$18:$CA$18, MATCH(C3, 'INFO-OEE'!$E$9:$CA$9, 0)), 0),
    IFERROR(G42 / G43, 0),
    IFERROR(G44 / G45, 0),
    IFERROR(G46 / G47, 0),
    IFERROR(G48, 0)
))</f>
        <v>0.27449741271484929</v>
      </c>
    </row>
    <row r="41" spans="2:12" ht="30" customHeight="1">
      <c r="B41" s="392"/>
      <c r="C41" s="393"/>
      <c r="D41" s="221" t="str">
        <f>IF(D12="", "Seleccionar Area ↑", "Costo de Mant. Correctivo")</f>
        <v>Costo de Mant. Correctivo</v>
      </c>
      <c r="E41" s="222"/>
      <c r="F41" s="247" t="str">
        <f>IF(D12="","","$/mes")</f>
        <v>$/mes</v>
      </c>
      <c r="G41" s="237">
        <f>IF(D12="","",IFERROR(
    INDEX('INFO-Personal'!$E$29:$CA$29,
           MATCH($C$3, 'INFO-Personal'!$E$9:$CA$9, 0)
    ),
""))</f>
        <v>35.233106830593854</v>
      </c>
      <c r="H41" s="385"/>
      <c r="I41" s="386"/>
      <c r="J41" s="386"/>
      <c r="K41" s="387"/>
      <c r="L41" s="399"/>
    </row>
    <row r="42" spans="2:12" ht="30" customHeight="1">
      <c r="B42" s="392"/>
      <c r="C42" s="393"/>
      <c r="D42" s="232"/>
      <c r="E42" s="222"/>
      <c r="F42" s="223" t="str">
        <f>IF(D42="","","$/u")</f>
        <v/>
      </c>
      <c r="G42" s="237" t="str">
        <f>IFERROR(INDEX('INFO-Mant'!$G$9:$G$26,
       MATCH(D42, 'INFO-Mant'!$D$9:$D$26, 0)),"")</f>
        <v/>
      </c>
      <c r="H42" s="385"/>
      <c r="I42" s="386"/>
      <c r="J42" s="386"/>
      <c r="K42" s="387"/>
      <c r="L42" s="399"/>
    </row>
    <row r="43" spans="2:12" ht="30" customHeight="1">
      <c r="B43" s="392"/>
      <c r="C43" s="393"/>
      <c r="D43" s="221" t="str">
        <f>IF(D42="", "Seleccionar Repuesto ↑", "Vida Util de " &amp; D42)</f>
        <v>Seleccionar Repuesto ↑</v>
      </c>
      <c r="E43" s="222"/>
      <c r="F43" s="223" t="str">
        <f>IF(ISERROR(FIND("Seleccionar", D43)), "Horas/u", "")</f>
        <v/>
      </c>
      <c r="G43" s="238"/>
      <c r="H43" s="385"/>
      <c r="I43" s="386"/>
      <c r="J43" s="386"/>
      <c r="K43" s="387"/>
      <c r="L43" s="399"/>
    </row>
    <row r="44" spans="2:12" ht="30" customHeight="1">
      <c r="B44" s="392"/>
      <c r="C44" s="393"/>
      <c r="D44" s="232"/>
      <c r="E44" s="222"/>
      <c r="F44" s="223" t="str">
        <f>IF(D44="","","$/u")</f>
        <v/>
      </c>
      <c r="G44" s="237" t="str">
        <f>IFERROR(INDEX('INFO-Mant'!$G$9:$G$26,
       MATCH(D44, 'INFO-Mant'!$D$9:$D$26, 0)),"")</f>
        <v/>
      </c>
      <c r="H44" s="385"/>
      <c r="I44" s="386"/>
      <c r="J44" s="386"/>
      <c r="K44" s="387"/>
      <c r="L44" s="399"/>
    </row>
    <row r="45" spans="2:12" ht="30" customHeight="1">
      <c r="B45" s="392"/>
      <c r="C45" s="393"/>
      <c r="D45" s="221" t="str">
        <f>IF(D44="", "Seleccionar Repuesto ↑", "Vida Util de " &amp; D44)</f>
        <v>Seleccionar Repuesto ↑</v>
      </c>
      <c r="E45" s="222"/>
      <c r="F45" s="223" t="str">
        <f>IF(ISERROR(FIND("Seleccionar", D45)), "Horas/u", "")</f>
        <v/>
      </c>
      <c r="G45" s="238"/>
      <c r="H45" s="385"/>
      <c r="I45" s="386"/>
      <c r="J45" s="386"/>
      <c r="K45" s="387"/>
      <c r="L45" s="399"/>
    </row>
    <row r="46" spans="2:12" ht="30" customHeight="1">
      <c r="B46" s="392"/>
      <c r="C46" s="393"/>
      <c r="D46" s="232"/>
      <c r="E46" s="222"/>
      <c r="F46" s="223" t="str">
        <f>IF(D46="","","$/u")</f>
        <v/>
      </c>
      <c r="G46" s="237" t="str">
        <f>IFERROR(INDEX('INFO-Mant'!$G$9:$G$26,
       MATCH(D46, 'INFO-Mant'!$D$9:$D$26, 0)),"")</f>
        <v/>
      </c>
      <c r="H46" s="385"/>
      <c r="I46" s="386"/>
      <c r="J46" s="386"/>
      <c r="K46" s="387"/>
      <c r="L46" s="399"/>
    </row>
    <row r="47" spans="2:12" ht="30" customHeight="1">
      <c r="B47" s="392"/>
      <c r="C47" s="393"/>
      <c r="D47" s="221" t="str">
        <f>IF(D46="", "Seleccionar Repuesto ↑", "Vida Util de " &amp; D46)</f>
        <v>Seleccionar Repuesto ↑</v>
      </c>
      <c r="E47" s="222"/>
      <c r="F47" s="223" t="str">
        <f>IF(ISERROR(FIND("Seleccionar", D47)), "Horas/u", "")</f>
        <v/>
      </c>
      <c r="G47" s="240"/>
      <c r="H47" s="385"/>
      <c r="I47" s="386"/>
      <c r="J47" s="386"/>
      <c r="K47" s="387"/>
      <c r="L47" s="399"/>
    </row>
    <row r="48" spans="2:12" ht="30" customHeight="1">
      <c r="B48" s="389"/>
      <c r="C48" s="391"/>
      <c r="D48" s="221" t="s">
        <v>85</v>
      </c>
      <c r="E48" s="222"/>
      <c r="F48" s="223" t="str">
        <f>IF(D12="","","$/h")</f>
        <v>$/h</v>
      </c>
      <c r="G48" s="240"/>
      <c r="H48" s="385"/>
      <c r="I48" s="386"/>
      <c r="J48" s="386"/>
      <c r="K48" s="387"/>
      <c r="L48" s="398"/>
    </row>
    <row r="49" spans="2:12" ht="30" customHeight="1">
      <c r="B49" s="248"/>
      <c r="C49" s="249"/>
      <c r="D49" s="250"/>
      <c r="E49" s="249"/>
      <c r="F49" s="251"/>
      <c r="G49" s="252"/>
      <c r="H49" s="249"/>
      <c r="I49" s="249"/>
      <c r="J49" s="249"/>
      <c r="K49" s="249"/>
      <c r="L49" s="253"/>
    </row>
    <row r="50" spans="2:12" ht="30" customHeight="1">
      <c r="B50" s="388" t="s">
        <v>102</v>
      </c>
      <c r="C50" s="394" t="s">
        <v>103</v>
      </c>
      <c r="D50" s="232"/>
      <c r="E50" s="222"/>
      <c r="F50" s="223" t="str">
        <f>IF(D50="","","$/h")</f>
        <v/>
      </c>
      <c r="G50" s="23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410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410"/>
      <c r="J50" s="410"/>
      <c r="K50" s="410"/>
      <c r="L50" s="255" t="str">
        <f ca="1">G50</f>
        <v/>
      </c>
    </row>
    <row r="51" spans="2:12" ht="30" customHeight="1">
      <c r="B51" s="392"/>
      <c r="C51" s="395"/>
      <c r="D51" s="232"/>
      <c r="E51" s="254"/>
      <c r="F51" s="223" t="str">
        <f>IF(D51="","","$/h")</f>
        <v/>
      </c>
      <c r="G51" s="23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410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410"/>
      <c r="J51" s="410"/>
      <c r="K51" s="410"/>
      <c r="L51" s="255" t="str">
        <f ca="1">G51</f>
        <v/>
      </c>
    </row>
    <row r="52" spans="2:12" ht="30" customHeight="1">
      <c r="B52" s="392"/>
      <c r="C52" s="395"/>
      <c r="D52" s="232"/>
      <c r="E52" s="222"/>
      <c r="F52" s="223" t="str">
        <f t="shared" ref="F52:F54" si="0">IF(D52="","","$/h")</f>
        <v/>
      </c>
      <c r="G52" s="23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410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410"/>
      <c r="J52" s="410"/>
      <c r="K52" s="410"/>
      <c r="L52" s="255" t="str">
        <f ca="1">G52</f>
        <v/>
      </c>
    </row>
    <row r="53" spans="2:12" ht="30" customHeight="1">
      <c r="B53" s="392"/>
      <c r="C53" s="395"/>
      <c r="D53" s="232"/>
      <c r="E53" s="222"/>
      <c r="F53" s="223" t="str">
        <f t="shared" si="0"/>
        <v/>
      </c>
      <c r="G53" s="23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410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410"/>
      <c r="J53" s="410"/>
      <c r="K53" s="410"/>
      <c r="L53" s="255" t="str">
        <f ca="1">G53</f>
        <v/>
      </c>
    </row>
    <row r="54" spans="2:12" ht="30" customHeight="1">
      <c r="B54" s="389"/>
      <c r="C54" s="396"/>
      <c r="D54" s="232"/>
      <c r="E54" s="222"/>
      <c r="F54" s="223" t="str">
        <f t="shared" si="0"/>
        <v/>
      </c>
      <c r="G54" s="23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410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410"/>
      <c r="J54" s="410"/>
      <c r="K54" s="410"/>
      <c r="L54" s="255" t="str">
        <f ca="1">G54</f>
        <v/>
      </c>
    </row>
    <row r="55" spans="2:12" ht="30" customHeight="1">
      <c r="B55" s="146"/>
      <c r="C55" s="147"/>
      <c r="D55" s="411"/>
      <c r="E55" s="411"/>
      <c r="F55" s="30"/>
      <c r="G55" s="30"/>
      <c r="H55" s="149"/>
      <c r="I55" s="149"/>
      <c r="J55" s="149"/>
      <c r="K55" s="30"/>
      <c r="L55" s="145"/>
    </row>
    <row r="56" spans="2:12" ht="30" customHeight="1" thickBot="1">
      <c r="B56" s="153" t="s">
        <v>39</v>
      </c>
      <c r="C56" s="330"/>
      <c r="D56" s="330"/>
      <c r="E56" s="154" t="s">
        <v>23</v>
      </c>
      <c r="F56" s="368"/>
      <c r="G56" s="368"/>
      <c r="H56" s="141"/>
      <c r="I56" s="141"/>
      <c r="J56" s="141"/>
      <c r="K56" s="256"/>
      <c r="L56" s="257"/>
    </row>
    <row r="57" spans="2:12" ht="30" customHeight="1" thickBot="1">
      <c r="B57" s="155"/>
      <c r="C57" s="156"/>
      <c r="D57" s="156"/>
      <c r="E57" s="156"/>
      <c r="F57" s="378"/>
      <c r="G57" s="378"/>
      <c r="H57" s="157"/>
      <c r="I57" s="157"/>
      <c r="J57" s="157"/>
      <c r="K57" s="258" t="s">
        <v>106</v>
      </c>
      <c r="L57" s="259">
        <f ca="1">IFERROR(SUM(L19:L54),"")</f>
        <v>6.1974914051214185</v>
      </c>
    </row>
    <row r="59" spans="2:12" ht="30" customHeight="1">
      <c r="C59" s="117"/>
    </row>
  </sheetData>
  <sheetProtection selectLockedCells="1"/>
  <mergeCells count="80">
    <mergeCell ref="F57:G57"/>
    <mergeCell ref="B50:B54"/>
    <mergeCell ref="C50:C54"/>
    <mergeCell ref="H53:K53"/>
    <mergeCell ref="H54:K54"/>
    <mergeCell ref="D55:E55"/>
    <mergeCell ref="C56:D56"/>
    <mergeCell ref="F56:G56"/>
    <mergeCell ref="B38:B39"/>
    <mergeCell ref="C38:C39"/>
    <mergeCell ref="H50:K50"/>
    <mergeCell ref="H51:K51"/>
    <mergeCell ref="H52:K52"/>
    <mergeCell ref="B40:B48"/>
    <mergeCell ref="C40:C48"/>
    <mergeCell ref="H39:K39"/>
    <mergeCell ref="H40:K40"/>
    <mergeCell ref="H41:K41"/>
    <mergeCell ref="H42:K42"/>
    <mergeCell ref="H37:K37"/>
    <mergeCell ref="H38:K38"/>
    <mergeCell ref="L40:L48"/>
    <mergeCell ref="H44:K44"/>
    <mergeCell ref="H45:K45"/>
    <mergeCell ref="H46:K46"/>
    <mergeCell ref="H47:K47"/>
    <mergeCell ref="H48:K48"/>
    <mergeCell ref="H43:K43"/>
    <mergeCell ref="L38:L39"/>
    <mergeCell ref="C3:D3"/>
    <mergeCell ref="F3:G3"/>
    <mergeCell ref="C6:D6"/>
    <mergeCell ref="F6:G6"/>
    <mergeCell ref="C7:D7"/>
    <mergeCell ref="F7:G7"/>
    <mergeCell ref="H9:K9"/>
    <mergeCell ref="H10:K10"/>
    <mergeCell ref="H11:K11"/>
    <mergeCell ref="B10:B15"/>
    <mergeCell ref="C10:C15"/>
    <mergeCell ref="L10:L15"/>
    <mergeCell ref="H13:K13"/>
    <mergeCell ref="H15:K15"/>
    <mergeCell ref="H16:K16"/>
    <mergeCell ref="H17:K17"/>
    <mergeCell ref="H14:K14"/>
    <mergeCell ref="B16:B20"/>
    <mergeCell ref="C16:C20"/>
    <mergeCell ref="B21:B24"/>
    <mergeCell ref="C21:C24"/>
    <mergeCell ref="L16:L20"/>
    <mergeCell ref="H20:K20"/>
    <mergeCell ref="H18:K18"/>
    <mergeCell ref="H19:K19"/>
    <mergeCell ref="L21:L24"/>
    <mergeCell ref="H23:K23"/>
    <mergeCell ref="H24:K24"/>
    <mergeCell ref="H21:K21"/>
    <mergeCell ref="H22:K22"/>
    <mergeCell ref="H35:K35"/>
    <mergeCell ref="H36:K36"/>
    <mergeCell ref="L30:L34"/>
    <mergeCell ref="H34:K34"/>
    <mergeCell ref="L35:L36"/>
    <mergeCell ref="H33:K33"/>
    <mergeCell ref="H30:K30"/>
    <mergeCell ref="H31:K31"/>
    <mergeCell ref="H32:K32"/>
    <mergeCell ref="B35:B36"/>
    <mergeCell ref="C35:C36"/>
    <mergeCell ref="B25:B29"/>
    <mergeCell ref="C25:C29"/>
    <mergeCell ref="B30:B34"/>
    <mergeCell ref="C30:C34"/>
    <mergeCell ref="L25:L29"/>
    <mergeCell ref="H29:K29"/>
    <mergeCell ref="H28:K28"/>
    <mergeCell ref="H25:K25"/>
    <mergeCell ref="H26:K26"/>
    <mergeCell ref="H27:K27"/>
  </mergeCells>
  <dataValidations count="9">
    <dataValidation allowBlank="1" showInputMessage="1" showErrorMessage="1" prompt="Escriba comentarios en las celdas de la derecha." sqref="C59"/>
    <dataValidation type="list" allowBlank="1" showInputMessage="1" showErrorMessage="1" sqref="D51:D54">
      <formula1>Herramientas_Ensamble</formula1>
    </dataValidation>
    <dataValidation type="list" allowBlank="1" showInputMessage="1" showErrorMessage="1" sqref="D12">
      <formula1>Areas_Ensamble</formula1>
    </dataValidation>
    <dataValidation type="list" allowBlank="1" showInputMessage="1" showErrorMessage="1" sqref="D16 D18">
      <formula1>Lubricantes_Ensamble</formula1>
    </dataValidation>
    <dataValidation type="list" allowBlank="1" showInputMessage="1" showErrorMessage="1" sqref="D21">
      <formula1>AireComprimido_Ensamble</formula1>
    </dataValidation>
    <dataValidation type="list" allowBlank="1" showInputMessage="1" showErrorMessage="1" sqref="D25 D27">
      <formula1>Refrigerantes_Ensamble</formula1>
    </dataValidation>
    <dataValidation type="list" allowBlank="1" showInputMessage="1" showErrorMessage="1" sqref="D30 D32">
      <formula1>Solvente_Ensamble</formula1>
    </dataValidation>
    <dataValidation type="list" allowBlank="1" showInputMessage="1" showErrorMessage="1" sqref="D42 D44 D46">
      <formula1>Repuestos_Ensamble</formula1>
    </dataValidation>
    <dataValidation type="list" allowBlank="1" showInputMessage="1" showErrorMessage="1" sqref="D10 D50">
      <formula1>Maquinaria_Ensamble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54</xdr:row>
                    <xdr:rowOff>333375</xdr:rowOff>
                  </from>
                  <to>
                    <xdr:col>1</xdr:col>
                    <xdr:colOff>1762125</xdr:colOff>
                    <xdr:row>55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>
    <tabColor rgb="FF0070C0"/>
    <pageSetUpPr autoPageBreaks="0" fitToPage="1"/>
  </sheetPr>
  <dimension ref="B1:M59"/>
  <sheetViews>
    <sheetView showGridLines="0" zoomScale="80" zoomScaleNormal="80" workbookViewId="0">
      <selection activeCell="G31" sqref="G31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3.140625" style="80" bestFit="1" customWidth="1"/>
    <col min="5" max="5" width="20.5703125" style="80" customWidth="1"/>
    <col min="6" max="6" width="16.5703125" style="80" bestFit="1" customWidth="1"/>
    <col min="7" max="7" width="19.7109375" style="80" bestFit="1" customWidth="1"/>
    <col min="8" max="8" width="15.28515625" style="80" customWidth="1"/>
    <col min="9" max="10" width="17" style="80" customWidth="1"/>
    <col min="11" max="11" width="28.42578125" style="80" customWidth="1"/>
    <col min="12" max="12" width="20.7109375" style="80" customWidth="1"/>
    <col min="13" max="13" width="2.7109375" style="80" customWidth="1"/>
    <col min="14" max="16384" width="9.140625" style="80"/>
  </cols>
  <sheetData>
    <row r="1" spans="2:13" ht="12" customHeight="1" thickBot="1"/>
    <row r="2" spans="2:13" ht="30" customHeight="1">
      <c r="B2" s="126" t="s">
        <v>95</v>
      </c>
      <c r="C2" s="127"/>
      <c r="D2" s="128"/>
      <c r="E2" s="128"/>
      <c r="F2" s="128"/>
      <c r="G2" s="128"/>
      <c r="H2" s="128"/>
      <c r="I2" s="128"/>
      <c r="J2" s="128"/>
      <c r="K2" s="128"/>
      <c r="L2" s="129"/>
    </row>
    <row r="3" spans="2:13" ht="30" customHeight="1">
      <c r="B3" s="130" t="s">
        <v>96</v>
      </c>
      <c r="C3" s="406" t="s">
        <v>115</v>
      </c>
      <c r="D3" s="406"/>
      <c r="E3" s="125" t="s">
        <v>3</v>
      </c>
      <c r="F3" s="356">
        <f ca="1">TODAY()</f>
        <v>46020</v>
      </c>
      <c r="G3" s="356"/>
      <c r="H3" s="125" t="s">
        <v>61</v>
      </c>
      <c r="I3" s="162">
        <f>'INFO-Direc'!H3</f>
        <v>1445</v>
      </c>
      <c r="J3" s="131"/>
      <c r="K3" s="132"/>
      <c r="L3" s="133"/>
      <c r="M3" s="134"/>
    </row>
    <row r="4" spans="2:13" ht="30" customHeight="1">
      <c r="B4" s="130" t="s">
        <v>97</v>
      </c>
      <c r="C4" s="160">
        <f>IFERROR(INDEX('INFO-OEE'!E17:CL17,
       MATCH(C3, 'INFO-OEE'!E9:CL9, 0)),"")</f>
        <v>0.8</v>
      </c>
      <c r="D4" s="135"/>
      <c r="E4" s="136"/>
      <c r="F4" s="136"/>
      <c r="G4" s="136"/>
      <c r="H4" s="125"/>
      <c r="I4" s="137"/>
      <c r="J4" s="131"/>
      <c r="K4" s="132"/>
      <c r="L4" s="138"/>
      <c r="M4" s="89"/>
    </row>
    <row r="5" spans="2:13" ht="30" customHeight="1">
      <c r="B5" s="139" t="s">
        <v>4</v>
      </c>
      <c r="C5" s="140"/>
      <c r="D5" s="141"/>
      <c r="E5" s="141"/>
      <c r="F5" s="141"/>
      <c r="G5" s="141"/>
      <c r="H5" s="141"/>
      <c r="I5" s="141"/>
      <c r="J5" s="141"/>
      <c r="K5" s="141"/>
      <c r="L5" s="142"/>
    </row>
    <row r="6" spans="2:13" ht="30" customHeight="1">
      <c r="B6" s="143" t="s">
        <v>5</v>
      </c>
      <c r="C6" s="407" t="s">
        <v>205</v>
      </c>
      <c r="D6" s="407"/>
      <c r="E6" s="144" t="s">
        <v>6</v>
      </c>
      <c r="F6" s="407"/>
      <c r="G6" s="407"/>
      <c r="H6" s="141"/>
      <c r="I6" s="141"/>
      <c r="J6" s="141"/>
      <c r="K6" s="30"/>
      <c r="L6" s="145"/>
    </row>
    <row r="7" spans="2:13" ht="30" customHeight="1">
      <c r="B7" s="143" t="s">
        <v>7</v>
      </c>
      <c r="C7" s="407" t="s">
        <v>206</v>
      </c>
      <c r="D7" s="407"/>
      <c r="E7" s="144" t="s">
        <v>62</v>
      </c>
      <c r="F7" s="408"/>
      <c r="G7" s="408"/>
      <c r="H7" s="141"/>
      <c r="I7" s="141"/>
      <c r="J7" s="141"/>
      <c r="K7" s="30"/>
      <c r="L7" s="145"/>
    </row>
    <row r="8" spans="2:13" ht="30" customHeight="1" thickBot="1">
      <c r="B8" s="146"/>
      <c r="C8" s="147"/>
      <c r="D8" s="148"/>
      <c r="E8" s="148"/>
      <c r="F8" s="30"/>
      <c r="G8" s="30"/>
      <c r="H8" s="149"/>
      <c r="I8" s="149"/>
      <c r="J8" s="149"/>
      <c r="K8" s="30"/>
      <c r="L8" s="145"/>
    </row>
    <row r="9" spans="2:13" ht="30" customHeight="1" thickBot="1">
      <c r="B9" s="67" t="s">
        <v>9</v>
      </c>
      <c r="C9" s="190" t="s">
        <v>63</v>
      </c>
      <c r="D9" s="190" t="s">
        <v>64</v>
      </c>
      <c r="E9" s="190" t="s">
        <v>65</v>
      </c>
      <c r="F9" s="190" t="s">
        <v>66</v>
      </c>
      <c r="G9" s="190" t="s">
        <v>67</v>
      </c>
      <c r="H9" s="319" t="s">
        <v>68</v>
      </c>
      <c r="I9" s="319"/>
      <c r="J9" s="319"/>
      <c r="K9" s="319"/>
      <c r="L9" s="191" t="s">
        <v>98</v>
      </c>
    </row>
    <row r="10" spans="2:13" ht="30" customHeight="1">
      <c r="B10" s="404" t="s">
        <v>88</v>
      </c>
      <c r="C10" s="405" t="s">
        <v>89</v>
      </c>
      <c r="D10" s="231" t="s">
        <v>115</v>
      </c>
      <c r="E10" s="218"/>
      <c r="F10" s="219" t="str">
        <f>IF(D10="","","kW")</f>
        <v>kW</v>
      </c>
      <c r="G10" s="220">
        <f>IF(D10="","",IFERROR(INDEX('[4]INFO-Consumo'!$F$9:$F$95,
       MATCH(D10, '[4]INFO-Consumo'!$D$9:$D$95, 0)),""))</f>
        <v>1</v>
      </c>
      <c r="H10" s="401"/>
      <c r="I10" s="402"/>
      <c r="J10" s="402"/>
      <c r="K10" s="403"/>
      <c r="L10" s="400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0.30316793172398854</v>
      </c>
    </row>
    <row r="11" spans="2:13" ht="30" customHeight="1">
      <c r="B11" s="392"/>
      <c r="C11" s="393"/>
      <c r="D11" s="221" t="str">
        <f>IF(D10="", "Seleccionar Maquinaria ↑", "Carga Promedio de Uso de " &amp; D10)</f>
        <v>Carga Promedio de Uso de LAVADORA 0448</v>
      </c>
      <c r="E11" s="222"/>
      <c r="F11" s="223" t="str">
        <f>IF(ISERROR(FIND("Seleccionar", D11)), "%", "")</f>
        <v>%</v>
      </c>
      <c r="G11" s="289">
        <f>IF(D10="","",IFERROR(
    INDEX('[4]INFO-Consumo'!I:I,
           MATCH(D10, '[4]INFO-Consumo'!D:D, 0)
    ),
""))</f>
        <v>0.6</v>
      </c>
      <c r="H11" s="384"/>
      <c r="I11" s="384"/>
      <c r="J11" s="384"/>
      <c r="K11" s="384"/>
      <c r="L11" s="399"/>
    </row>
    <row r="12" spans="2:13" ht="30" customHeight="1">
      <c r="B12" s="392"/>
      <c r="C12" s="393"/>
      <c r="D12" s="232" t="s">
        <v>173</v>
      </c>
      <c r="E12" s="222"/>
      <c r="F12" s="223" t="str">
        <f>IF(D12="","","kW")</f>
        <v>kW</v>
      </c>
      <c r="G12" s="224">
        <f>IFERROR(INDEX('[4]INFO-Ponderacion'!$S$9:$S$13,
       MATCH(D12,'[4]INFO-Ponderacion'!$C$9:$C$13, 0)),"")</f>
        <v>2.4095999999999997</v>
      </c>
      <c r="H12" s="286"/>
      <c r="I12" s="287"/>
      <c r="J12" s="287"/>
      <c r="K12" s="288"/>
      <c r="L12" s="399"/>
    </row>
    <row r="13" spans="2:13" ht="30" customHeight="1">
      <c r="B13" s="392"/>
      <c r="C13" s="393"/>
      <c r="D13" s="221" t="str">
        <f>IF(D12="", "Seleccionar Area ↑", "Tarifa Electrica ")</f>
        <v xml:space="preserve">Tarifa Electrica </v>
      </c>
      <c r="E13" s="222"/>
      <c r="F13" s="223" t="str">
        <f>IF(D12="","","$/kWh")</f>
        <v>$/kWh</v>
      </c>
      <c r="G13" s="228">
        <f>IF(D12="","",'INFO-Direc'!$G$9)</f>
        <v>5.2613958629577628E-2</v>
      </c>
      <c r="H13" s="384"/>
      <c r="I13" s="384"/>
      <c r="J13" s="384"/>
      <c r="K13" s="384"/>
      <c r="L13" s="399"/>
    </row>
    <row r="14" spans="2:13" ht="30" customHeight="1">
      <c r="B14" s="392"/>
      <c r="C14" s="393"/>
      <c r="D14" s="229" t="str">
        <f>IF(D12="", "Seleccionar Area ↑", "Costo Electrico Fijo de " &amp; D12)</f>
        <v>Costo Electrico Fijo de Ensamble</v>
      </c>
      <c r="E14" s="222"/>
      <c r="F14" s="223" t="str">
        <f>IF(D12="","","$/h")</f>
        <v>$/h</v>
      </c>
      <c r="G14" s="290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0.14482096183241172</v>
      </c>
      <c r="H14" s="385"/>
      <c r="I14" s="386"/>
      <c r="J14" s="386"/>
      <c r="K14" s="387"/>
      <c r="L14" s="399"/>
    </row>
    <row r="15" spans="2:13" ht="30" customHeight="1">
      <c r="B15" s="389"/>
      <c r="C15" s="391"/>
      <c r="D15" s="229" t="s">
        <v>85</v>
      </c>
      <c r="E15" s="230"/>
      <c r="F15" s="223" t="str">
        <f>IF(D12="","","$/h")</f>
        <v>$/h</v>
      </c>
      <c r="G15" s="233"/>
      <c r="H15" s="385"/>
      <c r="I15" s="386"/>
      <c r="J15" s="386"/>
      <c r="K15" s="387"/>
      <c r="L15" s="398"/>
    </row>
    <row r="16" spans="2:13" ht="30" customHeight="1">
      <c r="B16" s="388" t="s">
        <v>90</v>
      </c>
      <c r="C16" s="394" t="s">
        <v>89</v>
      </c>
      <c r="D16" s="232"/>
      <c r="E16" s="222"/>
      <c r="F16" s="223" t="str">
        <f>IF(D16="","","$/L")</f>
        <v/>
      </c>
      <c r="G16" s="228" t="str">
        <f>IFERROR(INDEX('INFO-Direc'!$G$9:$G$25,
       MATCH(D16, 'INFO-Direc'!$D$9:$D$25, 0)),"")</f>
        <v/>
      </c>
      <c r="H16" s="384"/>
      <c r="I16" s="384"/>
      <c r="J16" s="384"/>
      <c r="K16" s="384"/>
      <c r="L16" s="397" t="str">
        <f>IF(AND(D16="", D18=""), "",
    IFERROR(
        IFERROR(G16*G17,0)
        + IFERROR(G18*G19,0)
        + IFERROR(G20,0),
    "")
)</f>
        <v/>
      </c>
    </row>
    <row r="17" spans="2:12" ht="30" customHeight="1">
      <c r="B17" s="392"/>
      <c r="C17" s="395"/>
      <c r="D17" s="221" t="str">
        <f>IF(D16="", "Seleccionar Lubricante ↑", "Consumo de " &amp; D16)</f>
        <v>Seleccionar Lubricante ↑</v>
      </c>
      <c r="E17" s="222"/>
      <c r="F17" s="223" t="str">
        <f>IF(ISERROR(FIND("Seleccionar", D17)), "L/h", "")</f>
        <v/>
      </c>
      <c r="G17" s="234"/>
      <c r="H17" s="384"/>
      <c r="I17" s="384"/>
      <c r="J17" s="384"/>
      <c r="K17" s="384"/>
      <c r="L17" s="399"/>
    </row>
    <row r="18" spans="2:12" ht="30" customHeight="1">
      <c r="B18" s="392"/>
      <c r="C18" s="395"/>
      <c r="D18" s="232"/>
      <c r="E18" s="222"/>
      <c r="F18" s="223" t="str">
        <f>IF(D18="","","$/L")</f>
        <v/>
      </c>
      <c r="G18" s="228" t="str">
        <f>IFERROR(INDEX('INFO-Direc'!$G$9:$G$25,
       MATCH(D18, 'INFO-Direc'!$D$9:$D$25, 0)),"")</f>
        <v/>
      </c>
      <c r="H18" s="385"/>
      <c r="I18" s="386"/>
      <c r="J18" s="386"/>
      <c r="K18" s="387"/>
      <c r="L18" s="399"/>
    </row>
    <row r="19" spans="2:12" ht="30" customHeight="1">
      <c r="B19" s="392"/>
      <c r="C19" s="395"/>
      <c r="D19" s="221" t="str">
        <f>IF(D18="", "Seleccionar Lubricante ↑", "Consumo de " &amp; D18)</f>
        <v>Seleccionar Lubricante ↑</v>
      </c>
      <c r="E19" s="222"/>
      <c r="F19" s="223" t="str">
        <f>IF(ISERROR(FIND("Seleccionar", D19)), "L/h", "")</f>
        <v/>
      </c>
      <c r="G19" s="234"/>
      <c r="H19" s="385"/>
      <c r="I19" s="386"/>
      <c r="J19" s="386"/>
      <c r="K19" s="387"/>
      <c r="L19" s="399"/>
    </row>
    <row r="20" spans="2:12" ht="30" customHeight="1">
      <c r="B20" s="389"/>
      <c r="C20" s="396"/>
      <c r="D20" s="221" t="s">
        <v>85</v>
      </c>
      <c r="E20" s="222"/>
      <c r="F20" s="223" t="str">
        <f>IF(OR(D16&lt;&gt;"", D18&lt;&gt;""), "$/h", "")</f>
        <v/>
      </c>
      <c r="G20" s="233"/>
      <c r="H20" s="384"/>
      <c r="I20" s="384"/>
      <c r="J20" s="384"/>
      <c r="K20" s="384"/>
      <c r="L20" s="398"/>
    </row>
    <row r="21" spans="2:12" ht="30" customHeight="1">
      <c r="B21" s="388" t="s">
        <v>92</v>
      </c>
      <c r="C21" s="390" t="s">
        <v>89</v>
      </c>
      <c r="D21" s="232"/>
      <c r="E21" s="222"/>
      <c r="F21" s="223" t="str">
        <f>IF(D21="","","kW")</f>
        <v/>
      </c>
      <c r="G21" s="228" t="str">
        <f>IFERROR(INDEX('INFO-Direc'!$G$9:$G$25,
       MATCH(D21, 'INFO-Direc'!$D$9:$D$25, 0)),"")</f>
        <v/>
      </c>
      <c r="H21" s="385"/>
      <c r="I21" s="386"/>
      <c r="J21" s="386"/>
      <c r="K21" s="387"/>
      <c r="L21" s="397" t="str">
        <f>IFERROR(G21*G13*G22+G23+G24,"")</f>
        <v/>
      </c>
    </row>
    <row r="22" spans="2:12" ht="30" customHeight="1">
      <c r="B22" s="392"/>
      <c r="C22" s="393"/>
      <c r="D22" s="221" t="str">
        <f>IF(D21="", "Seleccionar Compresor ↑", "Carga Promedio de Uso de " &amp; D21)</f>
        <v>Seleccionar Compresor ↑</v>
      </c>
      <c r="E22" s="222"/>
      <c r="F22" s="223" t="str">
        <f>IF(ISERROR(FIND("Seleccionar", D22)), "%", "")</f>
        <v/>
      </c>
      <c r="G22" s="289" t="str">
        <f>IF(D21="","",IFERROR(
    INDEX('[4]INFO-Consumo'!I:I,
           MATCH(D21, '[4]INFO-Consumo'!D:D, 0)
    ),
""))</f>
        <v/>
      </c>
      <c r="H22" s="384"/>
      <c r="I22" s="384"/>
      <c r="J22" s="384"/>
      <c r="K22" s="384"/>
      <c r="L22" s="399"/>
    </row>
    <row r="23" spans="2:12" ht="30" customHeight="1">
      <c r="B23" s="392"/>
      <c r="C23" s="393"/>
      <c r="D23" s="235" t="str">
        <f>IF(D21="", "Seleccionar Compresor ↑", "Costo de Repuestos " &amp; D21)</f>
        <v>Seleccionar Compresor ↑</v>
      </c>
      <c r="E23" s="222"/>
      <c r="F23" s="223" t="str">
        <f>IF(ISERROR(FIND("Seleccionar", D23)), "$/h", "")</f>
        <v/>
      </c>
      <c r="G23" s="236" t="str">
        <f>IF(D21="","", SUM(IF(ISNUMBER(FIND("Compresor", 'INFO-Mant'!D9:D26)), 'INFO-Mant'!G9:G26 / 'INFO-Mant'!H9:H26, 0)))</f>
        <v/>
      </c>
      <c r="H23" s="385"/>
      <c r="I23" s="386"/>
      <c r="J23" s="386"/>
      <c r="K23" s="387"/>
      <c r="L23" s="399"/>
    </row>
    <row r="24" spans="2:12" ht="30" customHeight="1">
      <c r="B24" s="389"/>
      <c r="C24" s="391"/>
      <c r="D24" s="221" t="s">
        <v>85</v>
      </c>
      <c r="E24" s="222"/>
      <c r="F24" s="223" t="str">
        <f>IF(D21="","","$/h")</f>
        <v/>
      </c>
      <c r="G24" s="233"/>
      <c r="H24" s="384"/>
      <c r="I24" s="384"/>
      <c r="J24" s="384"/>
      <c r="K24" s="384"/>
      <c r="L24" s="398"/>
    </row>
    <row r="25" spans="2:12" ht="30" customHeight="1">
      <c r="B25" s="388" t="s">
        <v>94</v>
      </c>
      <c r="C25" s="390" t="s">
        <v>89</v>
      </c>
      <c r="D25" s="232"/>
      <c r="E25" s="222"/>
      <c r="F25" s="223" t="str">
        <f>IF(D25="","","$/L")</f>
        <v/>
      </c>
      <c r="G25" s="228" t="str">
        <f>IFERROR(INDEX('INFO-Direc'!$G$9:$G$25,
       MATCH(D25, 'INFO-Direc'!$D$9:$D$25, 0)),"")</f>
        <v/>
      </c>
      <c r="H25" s="384"/>
      <c r="I25" s="384"/>
      <c r="J25" s="384"/>
      <c r="K25" s="384"/>
      <c r="L25" s="381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92"/>
      <c r="C26" s="393"/>
      <c r="D26" s="221" t="str">
        <f>IF(D25="", "Seleccionar Refrigerante ↑", "Consumo de " &amp; D25)</f>
        <v>Seleccionar Refrigerante ↑</v>
      </c>
      <c r="E26" s="222"/>
      <c r="F26" s="223" t="str">
        <f>IF(ISERROR(FIND("Seleccionar", D26)), "L/Año", "")</f>
        <v/>
      </c>
      <c r="G26" s="238"/>
      <c r="H26" s="384"/>
      <c r="I26" s="384"/>
      <c r="J26" s="384"/>
      <c r="K26" s="384"/>
      <c r="L26" s="382"/>
    </row>
    <row r="27" spans="2:12" ht="30" customHeight="1">
      <c r="B27" s="392"/>
      <c r="C27" s="393"/>
      <c r="D27" s="232"/>
      <c r="E27" s="222"/>
      <c r="F27" s="223" t="str">
        <f>IF(D27="","","$/L")</f>
        <v/>
      </c>
      <c r="G27" s="228" t="str">
        <f>IFERROR(INDEX('INFO-Direc'!$G$9:$G$25,
       MATCH(D27, 'INFO-Direc'!$D$9:$D$25, 0)),"")</f>
        <v/>
      </c>
      <c r="H27" s="385"/>
      <c r="I27" s="386"/>
      <c r="J27" s="386"/>
      <c r="K27" s="387"/>
      <c r="L27" s="382"/>
    </row>
    <row r="28" spans="2:12" ht="30" customHeight="1">
      <c r="B28" s="392"/>
      <c r="C28" s="393"/>
      <c r="D28" s="221" t="str">
        <f>IF(D27="", "Seleccionar Refrigerante ↑", "Consumo de " &amp; D27)</f>
        <v>Seleccionar Refrigerante ↑</v>
      </c>
      <c r="E28" s="222"/>
      <c r="F28" s="223" t="str">
        <f>IF(ISERROR(FIND("Seleccionar", D28)), "L/Año", "")</f>
        <v/>
      </c>
      <c r="G28" s="239"/>
      <c r="H28" s="385"/>
      <c r="I28" s="386"/>
      <c r="J28" s="386"/>
      <c r="K28" s="387"/>
      <c r="L28" s="382"/>
    </row>
    <row r="29" spans="2:12" ht="30" customHeight="1">
      <c r="B29" s="389"/>
      <c r="C29" s="391"/>
      <c r="D29" s="221" t="s">
        <v>85</v>
      </c>
      <c r="E29" s="222"/>
      <c r="F29" s="223" t="str">
        <f>IF(OR(D25&lt;&gt;"", D27&lt;&gt;""), "$/h", "")</f>
        <v/>
      </c>
      <c r="G29" s="233"/>
      <c r="H29" s="384"/>
      <c r="I29" s="384"/>
      <c r="J29" s="384"/>
      <c r="K29" s="384"/>
      <c r="L29" s="383"/>
    </row>
    <row r="30" spans="2:12" s="152" customFormat="1" ht="30" customHeight="1">
      <c r="B30" s="388" t="s">
        <v>168</v>
      </c>
      <c r="C30" s="394" t="s">
        <v>89</v>
      </c>
      <c r="D30" s="232" t="s">
        <v>155</v>
      </c>
      <c r="E30" s="222"/>
      <c r="F30" s="223" t="str">
        <f>IF(D30="","","$/L")</f>
        <v>$/L</v>
      </c>
      <c r="G30" s="228">
        <f>IFERROR(INDEX('INFO-Direc'!$G$9:$G$25,
       MATCH(D30, 'INFO-Direc'!$D$9:$D$25, 0)),"")</f>
        <v>1.2463157894736843</v>
      </c>
      <c r="H30" s="384"/>
      <c r="I30" s="384"/>
      <c r="J30" s="384"/>
      <c r="K30" s="384"/>
      <c r="L30" s="381">
        <f>IF(
    AND(D30="", D32=""),
    "",
    IFERROR(
        IFERROR(G30 / (INDEX('INFO-OEE'!$E$18:$CA$18,
                               MATCH(#REF!, 'INFO-OEE'!$E$9:$CA$9, 0)) * 12), 0)
        * G31
        +
        IFERROR(G32 / (INDEX('INFO-OEE'!$E$18:$CA$18,
                               MATCH(#REF!, 'INFO-OEE'!$E$9:$CA$9, 0)) * 12), 0)
        * G33
        +
        IFERROR(G34, 0),
    "")
)</f>
        <v>0</v>
      </c>
    </row>
    <row r="31" spans="2:12" s="152" customFormat="1" ht="30" customHeight="1">
      <c r="B31" s="392"/>
      <c r="C31" s="395"/>
      <c r="D31" s="221" t="str">
        <f>IF(D30="", "Seleccionar Solvente ↑", "Consumo de " &amp; D30)</f>
        <v>Consumo de Solvente 261</v>
      </c>
      <c r="E31" s="222"/>
      <c r="F31" s="223" t="str">
        <f>IF(ISERROR(FIND("Seleccionar", D31)), "L/Año", "")</f>
        <v>L/Año</v>
      </c>
      <c r="G31" s="234"/>
      <c r="H31" s="384"/>
      <c r="I31" s="384"/>
      <c r="J31" s="384"/>
      <c r="K31" s="384"/>
      <c r="L31" s="382"/>
    </row>
    <row r="32" spans="2:12" s="152" customFormat="1" ht="30" customHeight="1">
      <c r="B32" s="392"/>
      <c r="C32" s="395"/>
      <c r="D32" s="232"/>
      <c r="E32" s="222"/>
      <c r="F32" s="223" t="str">
        <f>IF(D32="","","$/L")</f>
        <v/>
      </c>
      <c r="G32" s="228" t="str">
        <f>IFERROR(INDEX('INFO-Direc'!$G$9:$G$25,
       MATCH(D32, 'INFO-Direc'!$D$9:$D$25, 0)),"")</f>
        <v/>
      </c>
      <c r="H32" s="385"/>
      <c r="I32" s="386"/>
      <c r="J32" s="386"/>
      <c r="K32" s="387"/>
      <c r="L32" s="382"/>
    </row>
    <row r="33" spans="2:12" s="152" customFormat="1" ht="30" customHeight="1">
      <c r="B33" s="392"/>
      <c r="C33" s="395"/>
      <c r="D33" s="221" t="str">
        <f>IF(D32="", "Seleccionar Solvente ↑", "Consumo de " &amp; D32)</f>
        <v>Seleccionar Solvente ↑</v>
      </c>
      <c r="E33" s="222"/>
      <c r="F33" s="223" t="str">
        <f>IF(ISERROR(FIND("Seleccionar", D33)), "L/Año", "")</f>
        <v/>
      </c>
      <c r="G33" s="234"/>
      <c r="H33" s="385"/>
      <c r="I33" s="386"/>
      <c r="J33" s="386"/>
      <c r="K33" s="387"/>
      <c r="L33" s="382"/>
    </row>
    <row r="34" spans="2:12" s="152" customFormat="1" ht="30" customHeight="1">
      <c r="B34" s="389"/>
      <c r="C34" s="396"/>
      <c r="D34" s="221" t="s">
        <v>85</v>
      </c>
      <c r="E34" s="222"/>
      <c r="F34" s="223" t="str">
        <f>IF(OR(D30&lt;&gt;"", D32&lt;&gt;""), "$/h", "")</f>
        <v>$/h</v>
      </c>
      <c r="G34" s="233"/>
      <c r="H34" s="384"/>
      <c r="I34" s="384"/>
      <c r="J34" s="384"/>
      <c r="K34" s="384"/>
      <c r="L34" s="383"/>
    </row>
    <row r="35" spans="2:12" ht="30" customHeight="1">
      <c r="B35" s="388" t="s">
        <v>100</v>
      </c>
      <c r="C35" s="390" t="s">
        <v>89</v>
      </c>
      <c r="D35" s="221" t="str">
        <f>IF(D12="", "Seleccionar Area ↑", "Costo de Operarios")</f>
        <v>Costo de Operarios</v>
      </c>
      <c r="E35" s="222"/>
      <c r="F35" s="223" t="str">
        <f>IF(D12="","","$/mes")</f>
        <v>$/mes</v>
      </c>
      <c r="G35" s="237">
        <f>IF(D12="","",IFERROR(
    INDEX('INFO-Personal'!$E$26:$CA$26,
           MATCH($C$3, 'INFO-Personal'!$E$9:$CA$9, 0)
    ),
""))</f>
        <v>525.00459233449487</v>
      </c>
      <c r="H35" s="384"/>
      <c r="I35" s="384"/>
      <c r="J35" s="384"/>
      <c r="K35" s="384"/>
      <c r="L35" s="397">
        <f>IFERROR(
    (G35 / INDEX('INFO-OEE'!$E$18:$CA$18,
                  MATCH($C$3, 'INFO-OEE'!$E$9:$CA$9, 0)))
    + G36,
"")</f>
        <v>3.7287257978302191</v>
      </c>
    </row>
    <row r="36" spans="2:12" ht="30" customHeight="1">
      <c r="B36" s="389"/>
      <c r="C36" s="391"/>
      <c r="D36" s="221" t="s">
        <v>85</v>
      </c>
      <c r="E36" s="222"/>
      <c r="F36" s="223" t="str">
        <f>IF(D12="","","$/h")</f>
        <v>$/h</v>
      </c>
      <c r="G36" s="240"/>
      <c r="H36" s="384"/>
      <c r="I36" s="384"/>
      <c r="J36" s="384"/>
      <c r="K36" s="384"/>
      <c r="L36" s="398"/>
    </row>
    <row r="37" spans="2:12" ht="30" customHeight="1">
      <c r="B37" s="241"/>
      <c r="C37" s="242"/>
      <c r="D37" s="243"/>
      <c r="E37" s="242"/>
      <c r="F37" s="244"/>
      <c r="G37" s="245"/>
      <c r="H37" s="409"/>
      <c r="I37" s="409"/>
      <c r="J37" s="409"/>
      <c r="K37" s="409"/>
      <c r="L37" s="246"/>
    </row>
    <row r="38" spans="2:12" ht="30" customHeight="1">
      <c r="B38" s="388" t="s">
        <v>16</v>
      </c>
      <c r="C38" s="390" t="s">
        <v>69</v>
      </c>
      <c r="D38" s="221" t="str">
        <f>IF(D12="", "Seleccionar Area ↑", "Costo de Supervisores")</f>
        <v>Costo de Supervisores</v>
      </c>
      <c r="E38" s="222"/>
      <c r="F38" s="247" t="str">
        <f>IF(D12="","","$/mes")</f>
        <v>$/mes</v>
      </c>
      <c r="G38" s="237">
        <f>IF(D12="","",IFERROR(
    INDEX('INFO-Personal'!$E$27:$CA$27,
           MATCH($C$3, 'INFO-Personal'!$E$9:$CA$9, 0)
    ),
""))</f>
        <v>51.241933194853928</v>
      </c>
      <c r="H38" s="385"/>
      <c r="I38" s="386"/>
      <c r="J38" s="386"/>
      <c r="K38" s="387"/>
      <c r="L38" s="397">
        <f>IFERROR(
    (G38 / INDEX('INFO-OEE'!$E$18:$CA$18,
                  MATCH($C$3, 'INFO-OEE'!$E$9:$CA$9, 0)))
    + G39,
"")</f>
        <v>0.36393418462254207</v>
      </c>
    </row>
    <row r="39" spans="2:12" ht="30" customHeight="1">
      <c r="B39" s="392"/>
      <c r="C39" s="393"/>
      <c r="D39" s="221" t="s">
        <v>85</v>
      </c>
      <c r="E39" s="222"/>
      <c r="F39" s="223" t="str">
        <f>IF(D12="","","$/h")</f>
        <v>$/h</v>
      </c>
      <c r="G39" s="240"/>
      <c r="H39" s="385"/>
      <c r="I39" s="386"/>
      <c r="J39" s="386"/>
      <c r="K39" s="387"/>
      <c r="L39" s="399"/>
    </row>
    <row r="40" spans="2:12" ht="30" customHeight="1">
      <c r="B40" s="388" t="s">
        <v>101</v>
      </c>
      <c r="C40" s="390" t="s">
        <v>69</v>
      </c>
      <c r="D40" s="221" t="str">
        <f>IF(D12="", "Seleccionar Area ↑", "Costo de Mant. Preventivo")</f>
        <v>Costo de Mant. Preventivo</v>
      </c>
      <c r="E40" s="222"/>
      <c r="F40" s="247" t="str">
        <f>IF(D12="","","$/mes")</f>
        <v>$/mes</v>
      </c>
      <c r="G40" s="237">
        <f>IF(D12="","",IFERROR(
    INDEX('INFO-Personal'!$E$28:$CA$28,
           MATCH($C$3, 'INFO-Personal'!$E$9:$CA$9, 0)
    ),
""))</f>
        <v>3.4161288796569287</v>
      </c>
      <c r="H40" s="385"/>
      <c r="I40" s="386"/>
      <c r="J40" s="386"/>
      <c r="K40" s="387"/>
      <c r="L40" s="397">
        <f>IF(D12="","",SUM(
    IFERROR((G40+G41) / INDEX('INFO-OEE'!$E$18:$CA$18, MATCH(C3, 'INFO-OEE'!$E$9:$CA$9, 0)), 0),
    IFERROR(G42 / G43, 0),
    IFERROR(G44 / G45, 0),
    IFERROR(G46 / G47, 0),
    IFERROR(G48, 0)
))</f>
        <v>0.27449741271484929</v>
      </c>
    </row>
    <row r="41" spans="2:12" ht="30" customHeight="1">
      <c r="B41" s="392"/>
      <c r="C41" s="393"/>
      <c r="D41" s="221" t="str">
        <f>IF(D12="", "Seleccionar Area ↑", "Costo de Mant. Correctivo")</f>
        <v>Costo de Mant. Correctivo</v>
      </c>
      <c r="E41" s="222"/>
      <c r="F41" s="247" t="str">
        <f>IF(D12="","","$/mes")</f>
        <v>$/mes</v>
      </c>
      <c r="G41" s="237">
        <f>IF(D12="","",IFERROR(
    INDEX('INFO-Personal'!$E$29:$CA$29,
           MATCH($C$3, 'INFO-Personal'!$E$9:$CA$9, 0)
    ),
""))</f>
        <v>35.233106830593854</v>
      </c>
      <c r="H41" s="385"/>
      <c r="I41" s="386"/>
      <c r="J41" s="386"/>
      <c r="K41" s="387"/>
      <c r="L41" s="399"/>
    </row>
    <row r="42" spans="2:12" ht="30" customHeight="1">
      <c r="B42" s="392"/>
      <c r="C42" s="393"/>
      <c r="D42" s="232"/>
      <c r="E42" s="222"/>
      <c r="F42" s="223" t="str">
        <f>IF(D42="","","$/u")</f>
        <v/>
      </c>
      <c r="G42" s="237" t="str">
        <f>IFERROR(INDEX('INFO-Mant'!$G$9:$G$26,
       MATCH(D42, 'INFO-Mant'!$D$9:$D$26, 0)),"")</f>
        <v/>
      </c>
      <c r="H42" s="385"/>
      <c r="I42" s="386"/>
      <c r="J42" s="386"/>
      <c r="K42" s="387"/>
      <c r="L42" s="399"/>
    </row>
    <row r="43" spans="2:12" ht="30" customHeight="1">
      <c r="B43" s="392"/>
      <c r="C43" s="393"/>
      <c r="D43" s="221" t="str">
        <f>IF(D42="", "Seleccionar Repuesto ↑", "Vida Util de " &amp; D42)</f>
        <v>Seleccionar Repuesto ↑</v>
      </c>
      <c r="E43" s="222"/>
      <c r="F43" s="223" t="str">
        <f>IF(ISERROR(FIND("Seleccionar", D43)), "Horas/u", "")</f>
        <v/>
      </c>
      <c r="G43" s="238"/>
      <c r="H43" s="385"/>
      <c r="I43" s="386"/>
      <c r="J43" s="386"/>
      <c r="K43" s="387"/>
      <c r="L43" s="399"/>
    </row>
    <row r="44" spans="2:12" ht="30" customHeight="1">
      <c r="B44" s="392"/>
      <c r="C44" s="393"/>
      <c r="D44" s="232"/>
      <c r="E44" s="222"/>
      <c r="F44" s="223" t="str">
        <f>IF(D44="","","$/u")</f>
        <v/>
      </c>
      <c r="G44" s="237" t="str">
        <f>IFERROR(INDEX('INFO-Mant'!$G$9:$G$26,
       MATCH(D44, 'INFO-Mant'!$D$9:$D$26, 0)),"")</f>
        <v/>
      </c>
      <c r="H44" s="385"/>
      <c r="I44" s="386"/>
      <c r="J44" s="386"/>
      <c r="K44" s="387"/>
      <c r="L44" s="399"/>
    </row>
    <row r="45" spans="2:12" ht="30" customHeight="1">
      <c r="B45" s="392"/>
      <c r="C45" s="393"/>
      <c r="D45" s="221" t="str">
        <f>IF(D44="", "Seleccionar Repuesto ↑", "Vida Util de " &amp; D44)</f>
        <v>Seleccionar Repuesto ↑</v>
      </c>
      <c r="E45" s="222"/>
      <c r="F45" s="223" t="str">
        <f>IF(ISERROR(FIND("Seleccionar", D45)), "Horas/u", "")</f>
        <v/>
      </c>
      <c r="G45" s="238"/>
      <c r="H45" s="385"/>
      <c r="I45" s="386"/>
      <c r="J45" s="386"/>
      <c r="K45" s="387"/>
      <c r="L45" s="399"/>
    </row>
    <row r="46" spans="2:12" ht="30" customHeight="1">
      <c r="B46" s="392"/>
      <c r="C46" s="393"/>
      <c r="D46" s="232"/>
      <c r="E46" s="222"/>
      <c r="F46" s="223" t="str">
        <f>IF(D46="","","$/u")</f>
        <v/>
      </c>
      <c r="G46" s="237" t="str">
        <f>IFERROR(INDEX('INFO-Mant'!$G$9:$G$26,
       MATCH(D46, 'INFO-Mant'!$D$9:$D$26, 0)),"")</f>
        <v/>
      </c>
      <c r="H46" s="385"/>
      <c r="I46" s="386"/>
      <c r="J46" s="386"/>
      <c r="K46" s="387"/>
      <c r="L46" s="399"/>
    </row>
    <row r="47" spans="2:12" ht="33" customHeight="1">
      <c r="B47" s="392"/>
      <c r="C47" s="393"/>
      <c r="D47" s="221" t="str">
        <f>IF(D46="", "Seleccionar Repuesto ↑", "Vida Util de " &amp; D46)</f>
        <v>Seleccionar Repuesto ↑</v>
      </c>
      <c r="E47" s="222"/>
      <c r="F47" s="223" t="str">
        <f>IF(ISERROR(FIND("Seleccionar", D47)), "Horas/u", "")</f>
        <v/>
      </c>
      <c r="G47" s="240"/>
      <c r="H47" s="385"/>
      <c r="I47" s="386"/>
      <c r="J47" s="386"/>
      <c r="K47" s="387"/>
      <c r="L47" s="399"/>
    </row>
    <row r="48" spans="2:12" ht="30" customHeight="1">
      <c r="B48" s="389"/>
      <c r="C48" s="391"/>
      <c r="D48" s="221" t="s">
        <v>85</v>
      </c>
      <c r="E48" s="222"/>
      <c r="F48" s="223" t="str">
        <f>IF(D12="","","$/h")</f>
        <v>$/h</v>
      </c>
      <c r="G48" s="240"/>
      <c r="H48" s="385"/>
      <c r="I48" s="386"/>
      <c r="J48" s="386"/>
      <c r="K48" s="387"/>
      <c r="L48" s="398"/>
    </row>
    <row r="49" spans="2:12" ht="30" customHeight="1">
      <c r="B49" s="248"/>
      <c r="C49" s="249"/>
      <c r="D49" s="250"/>
      <c r="E49" s="249"/>
      <c r="F49" s="251"/>
      <c r="G49" s="252"/>
      <c r="H49" s="249"/>
      <c r="I49" s="249"/>
      <c r="J49" s="249"/>
      <c r="K49" s="249"/>
      <c r="L49" s="253"/>
    </row>
    <row r="50" spans="2:12" ht="30" customHeight="1">
      <c r="B50" s="388" t="s">
        <v>102</v>
      </c>
      <c r="C50" s="394" t="s">
        <v>103</v>
      </c>
      <c r="D50" s="232"/>
      <c r="E50" s="222"/>
      <c r="F50" s="223" t="str">
        <f>IF(D50="","","$/h")</f>
        <v/>
      </c>
      <c r="G50" s="23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410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410"/>
      <c r="J50" s="410"/>
      <c r="K50" s="410"/>
      <c r="L50" s="255" t="str">
        <f ca="1">G50</f>
        <v/>
      </c>
    </row>
    <row r="51" spans="2:12" ht="30" customHeight="1">
      <c r="B51" s="392"/>
      <c r="C51" s="395"/>
      <c r="D51" s="232"/>
      <c r="E51" s="254"/>
      <c r="F51" s="223" t="str">
        <f>IF(D51="","","$/h")</f>
        <v/>
      </c>
      <c r="G51" s="23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410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410"/>
      <c r="J51" s="410"/>
      <c r="K51" s="410"/>
      <c r="L51" s="255" t="str">
        <f ca="1">G51</f>
        <v/>
      </c>
    </row>
    <row r="52" spans="2:12" ht="30" customHeight="1">
      <c r="B52" s="392"/>
      <c r="C52" s="395"/>
      <c r="D52" s="232"/>
      <c r="E52" s="222"/>
      <c r="F52" s="223" t="str">
        <f t="shared" ref="F52:F54" si="0">IF(D52="","","$/h")</f>
        <v/>
      </c>
      <c r="G52" s="23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410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410"/>
      <c r="J52" s="410"/>
      <c r="K52" s="410"/>
      <c r="L52" s="255" t="str">
        <f ca="1">G52</f>
        <v/>
      </c>
    </row>
    <row r="53" spans="2:12" ht="30" customHeight="1">
      <c r="B53" s="392"/>
      <c r="C53" s="395"/>
      <c r="D53" s="232"/>
      <c r="E53" s="222"/>
      <c r="F53" s="223" t="str">
        <f t="shared" si="0"/>
        <v/>
      </c>
      <c r="G53" s="23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410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410"/>
      <c r="J53" s="410"/>
      <c r="K53" s="410"/>
      <c r="L53" s="255" t="str">
        <f ca="1">G53</f>
        <v/>
      </c>
    </row>
    <row r="54" spans="2:12" ht="30" customHeight="1">
      <c r="B54" s="389"/>
      <c r="C54" s="396"/>
      <c r="D54" s="232"/>
      <c r="E54" s="222"/>
      <c r="F54" s="223" t="str">
        <f t="shared" si="0"/>
        <v/>
      </c>
      <c r="G54" s="23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410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410"/>
      <c r="J54" s="410"/>
      <c r="K54" s="410"/>
      <c r="L54" s="255" t="str">
        <f ca="1">G54</f>
        <v/>
      </c>
    </row>
    <row r="55" spans="2:12" ht="30" customHeight="1">
      <c r="B55" s="146"/>
      <c r="C55" s="147"/>
      <c r="D55" s="411"/>
      <c r="E55" s="411"/>
      <c r="F55" s="30"/>
      <c r="G55" s="30"/>
      <c r="H55" s="149"/>
      <c r="I55" s="149"/>
      <c r="J55" s="149"/>
      <c r="K55" s="30"/>
      <c r="L55" s="145"/>
    </row>
    <row r="56" spans="2:12" ht="30" customHeight="1" thickBot="1">
      <c r="B56" s="153" t="s">
        <v>39</v>
      </c>
      <c r="C56" s="330"/>
      <c r="D56" s="330"/>
      <c r="E56" s="154" t="s">
        <v>23</v>
      </c>
      <c r="F56" s="368"/>
      <c r="G56" s="368"/>
      <c r="H56" s="141"/>
      <c r="I56" s="141"/>
      <c r="J56" s="141"/>
      <c r="K56" s="256"/>
      <c r="L56" s="257"/>
    </row>
    <row r="57" spans="2:12" ht="30" customHeight="1" thickBot="1">
      <c r="B57" s="155"/>
      <c r="C57" s="156"/>
      <c r="D57" s="156"/>
      <c r="E57" s="156"/>
      <c r="F57" s="378"/>
      <c r="G57" s="378"/>
      <c r="H57" s="157"/>
      <c r="I57" s="157"/>
      <c r="J57" s="157"/>
      <c r="K57" s="258" t="s">
        <v>106</v>
      </c>
      <c r="L57" s="259">
        <f ca="1">IFERROR(SUM(L19:L54),"")</f>
        <v>4.3671573951676104</v>
      </c>
    </row>
    <row r="59" spans="2:12" ht="30" customHeight="1">
      <c r="C59" s="117"/>
    </row>
  </sheetData>
  <sheetProtection selectLockedCells="1"/>
  <mergeCells count="80">
    <mergeCell ref="F57:G57"/>
    <mergeCell ref="B50:B54"/>
    <mergeCell ref="C50:C54"/>
    <mergeCell ref="H53:K53"/>
    <mergeCell ref="H54:K54"/>
    <mergeCell ref="D55:E55"/>
    <mergeCell ref="C56:D56"/>
    <mergeCell ref="F56:G56"/>
    <mergeCell ref="B38:B39"/>
    <mergeCell ref="C38:C39"/>
    <mergeCell ref="H50:K50"/>
    <mergeCell ref="H51:K51"/>
    <mergeCell ref="H52:K52"/>
    <mergeCell ref="B40:B48"/>
    <mergeCell ref="C40:C48"/>
    <mergeCell ref="H39:K39"/>
    <mergeCell ref="H40:K40"/>
    <mergeCell ref="H41:K41"/>
    <mergeCell ref="H42:K42"/>
    <mergeCell ref="H37:K37"/>
    <mergeCell ref="H38:K38"/>
    <mergeCell ref="L40:L48"/>
    <mergeCell ref="H44:K44"/>
    <mergeCell ref="H45:K45"/>
    <mergeCell ref="H46:K46"/>
    <mergeCell ref="H47:K47"/>
    <mergeCell ref="H48:K48"/>
    <mergeCell ref="H43:K43"/>
    <mergeCell ref="L38:L39"/>
    <mergeCell ref="C3:D3"/>
    <mergeCell ref="F3:G3"/>
    <mergeCell ref="C6:D6"/>
    <mergeCell ref="F6:G6"/>
    <mergeCell ref="C7:D7"/>
    <mergeCell ref="F7:G7"/>
    <mergeCell ref="H9:K9"/>
    <mergeCell ref="H10:K10"/>
    <mergeCell ref="H11:K11"/>
    <mergeCell ref="B10:B15"/>
    <mergeCell ref="C10:C15"/>
    <mergeCell ref="L10:L15"/>
    <mergeCell ref="H13:K13"/>
    <mergeCell ref="H15:K15"/>
    <mergeCell ref="H16:K16"/>
    <mergeCell ref="H17:K17"/>
    <mergeCell ref="H14:K14"/>
    <mergeCell ref="B16:B20"/>
    <mergeCell ref="C16:C20"/>
    <mergeCell ref="B21:B24"/>
    <mergeCell ref="C21:C24"/>
    <mergeCell ref="L16:L20"/>
    <mergeCell ref="H20:K20"/>
    <mergeCell ref="H18:K18"/>
    <mergeCell ref="H19:K19"/>
    <mergeCell ref="L21:L24"/>
    <mergeCell ref="H23:K23"/>
    <mergeCell ref="H24:K24"/>
    <mergeCell ref="H21:K21"/>
    <mergeCell ref="H22:K22"/>
    <mergeCell ref="H35:K35"/>
    <mergeCell ref="H36:K36"/>
    <mergeCell ref="L30:L34"/>
    <mergeCell ref="H34:K34"/>
    <mergeCell ref="L35:L36"/>
    <mergeCell ref="H33:K33"/>
    <mergeCell ref="H30:K30"/>
    <mergeCell ref="H31:K31"/>
    <mergeCell ref="H32:K32"/>
    <mergeCell ref="B35:B36"/>
    <mergeCell ref="C35:C36"/>
    <mergeCell ref="B25:B29"/>
    <mergeCell ref="C25:C29"/>
    <mergeCell ref="B30:B34"/>
    <mergeCell ref="C30:C34"/>
    <mergeCell ref="L25:L29"/>
    <mergeCell ref="H29:K29"/>
    <mergeCell ref="H28:K28"/>
    <mergeCell ref="H25:K25"/>
    <mergeCell ref="H26:K26"/>
    <mergeCell ref="H27:K27"/>
  </mergeCells>
  <dataValidations count="9">
    <dataValidation allowBlank="1" showInputMessage="1" showErrorMessage="1" prompt="Escriba comentarios en las celdas de la derecha." sqref="C59"/>
    <dataValidation type="list" allowBlank="1" showInputMessage="1" showErrorMessage="1" sqref="D51:D54">
      <formula1>Herramientas_Ensamble</formula1>
    </dataValidation>
    <dataValidation type="list" allowBlank="1" showInputMessage="1" showErrorMessage="1" sqref="D10 D50">
      <formula1>Maquinaria_Ensamble</formula1>
    </dataValidation>
    <dataValidation type="list" allowBlank="1" showInputMessage="1" showErrorMessage="1" sqref="D42 D44 D46">
      <formula1>Repuestos_Ensamble</formula1>
    </dataValidation>
    <dataValidation type="list" allowBlank="1" showInputMessage="1" showErrorMessage="1" sqref="D30 D32">
      <formula1>Solvente_Ensamble</formula1>
    </dataValidation>
    <dataValidation type="list" allowBlank="1" showInputMessage="1" showErrorMessage="1" sqref="D25 D27">
      <formula1>Refrigerantes_Ensamble</formula1>
    </dataValidation>
    <dataValidation type="list" allowBlank="1" showInputMessage="1" showErrorMessage="1" sqref="D21">
      <formula1>AireComprimido_Ensamble</formula1>
    </dataValidation>
    <dataValidation type="list" allowBlank="1" showInputMessage="1" showErrorMessage="1" sqref="D16 D18">
      <formula1>Lubricantes_Ensamble</formula1>
    </dataValidation>
    <dataValidation type="list" allowBlank="1" showInputMessage="1" showErrorMessage="1" sqref="D12">
      <formula1>Areas_Ensamble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54</xdr:row>
                    <xdr:rowOff>333375</xdr:rowOff>
                  </from>
                  <to>
                    <xdr:col>1</xdr:col>
                    <xdr:colOff>1762125</xdr:colOff>
                    <xdr:row>55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5">
    <tabColor rgb="FF0070C0"/>
    <pageSetUpPr autoPageBreaks="0" fitToPage="1"/>
  </sheetPr>
  <dimension ref="B1:M59"/>
  <sheetViews>
    <sheetView showGridLines="0" zoomScale="80" zoomScaleNormal="80" workbookViewId="0">
      <selection activeCell="D12" sqref="D12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3.140625" style="80" bestFit="1" customWidth="1"/>
    <col min="5" max="5" width="20.5703125" style="80" customWidth="1"/>
    <col min="6" max="6" width="16.5703125" style="80" bestFit="1" customWidth="1"/>
    <col min="7" max="7" width="19.7109375" style="80" bestFit="1" customWidth="1"/>
    <col min="8" max="8" width="15.28515625" style="80" customWidth="1"/>
    <col min="9" max="10" width="17" style="80" customWidth="1"/>
    <col min="11" max="11" width="28.42578125" style="80" customWidth="1"/>
    <col min="12" max="12" width="20.7109375" style="80" customWidth="1"/>
    <col min="13" max="13" width="2.7109375" style="80" customWidth="1"/>
    <col min="14" max="16384" width="9.140625" style="80"/>
  </cols>
  <sheetData>
    <row r="1" spans="2:13" ht="12" customHeight="1" thickBot="1"/>
    <row r="2" spans="2:13" ht="30" customHeight="1">
      <c r="B2" s="126" t="s">
        <v>95</v>
      </c>
      <c r="C2" s="127"/>
      <c r="D2" s="128"/>
      <c r="E2" s="128"/>
      <c r="F2" s="128"/>
      <c r="G2" s="128"/>
      <c r="H2" s="128"/>
      <c r="I2" s="128"/>
      <c r="J2" s="128"/>
      <c r="K2" s="128"/>
      <c r="L2" s="129"/>
    </row>
    <row r="3" spans="2:13" ht="30" customHeight="1">
      <c r="B3" s="130" t="s">
        <v>96</v>
      </c>
      <c r="C3" s="406" t="s">
        <v>116</v>
      </c>
      <c r="D3" s="406"/>
      <c r="E3" s="125" t="s">
        <v>3</v>
      </c>
      <c r="F3" s="356">
        <f ca="1">TODAY()</f>
        <v>46020</v>
      </c>
      <c r="G3" s="356"/>
      <c r="H3" s="125" t="s">
        <v>61</v>
      </c>
      <c r="I3" s="162">
        <f>'INFO-Direc'!H3</f>
        <v>1445</v>
      </c>
      <c r="J3" s="131"/>
      <c r="K3" s="132"/>
      <c r="L3" s="133"/>
      <c r="M3" s="134"/>
    </row>
    <row r="4" spans="2:13" ht="30" customHeight="1">
      <c r="B4" s="130" t="s">
        <v>97</v>
      </c>
      <c r="C4" s="160">
        <f>IFERROR(INDEX('INFO-OEE'!E17:CL17,
       MATCH(C3, 'INFO-OEE'!E9:CL9, 0)),"")</f>
        <v>0.8</v>
      </c>
      <c r="D4" s="135"/>
      <c r="E4" s="136"/>
      <c r="F4" s="136"/>
      <c r="G4" s="136"/>
      <c r="H4" s="125"/>
      <c r="I4" s="137"/>
      <c r="J4" s="131"/>
      <c r="K4" s="132"/>
      <c r="L4" s="138"/>
      <c r="M4" s="89"/>
    </row>
    <row r="5" spans="2:13" ht="30" customHeight="1">
      <c r="B5" s="139" t="s">
        <v>4</v>
      </c>
      <c r="C5" s="140"/>
      <c r="D5" s="141"/>
      <c r="E5" s="141"/>
      <c r="F5" s="141"/>
      <c r="G5" s="141"/>
      <c r="H5" s="141"/>
      <c r="I5" s="141"/>
      <c r="J5" s="141"/>
      <c r="K5" s="141"/>
      <c r="L5" s="142"/>
    </row>
    <row r="6" spans="2:13" ht="30" customHeight="1">
      <c r="B6" s="143" t="s">
        <v>5</v>
      </c>
      <c r="C6" s="407" t="s">
        <v>205</v>
      </c>
      <c r="D6" s="407"/>
      <c r="E6" s="144" t="s">
        <v>6</v>
      </c>
      <c r="F6" s="407"/>
      <c r="G6" s="407"/>
      <c r="H6" s="141"/>
      <c r="I6" s="141"/>
      <c r="J6" s="141"/>
      <c r="K6" s="30"/>
      <c r="L6" s="145"/>
    </row>
    <row r="7" spans="2:13" ht="30" customHeight="1">
      <c r="B7" s="143" t="s">
        <v>7</v>
      </c>
      <c r="C7" s="407" t="s">
        <v>206</v>
      </c>
      <c r="D7" s="407"/>
      <c r="E7" s="144" t="s">
        <v>62</v>
      </c>
      <c r="F7" s="408"/>
      <c r="G7" s="408"/>
      <c r="H7" s="141"/>
      <c r="I7" s="141"/>
      <c r="J7" s="141"/>
      <c r="K7" s="30"/>
      <c r="L7" s="145"/>
    </row>
    <row r="8" spans="2:13" ht="30" customHeight="1" thickBot="1">
      <c r="B8" s="146"/>
      <c r="C8" s="147"/>
      <c r="D8" s="148"/>
      <c r="E8" s="148"/>
      <c r="F8" s="30"/>
      <c r="G8" s="30"/>
      <c r="H8" s="149"/>
      <c r="I8" s="149"/>
      <c r="J8" s="149"/>
      <c r="K8" s="30"/>
      <c r="L8" s="145"/>
    </row>
    <row r="9" spans="2:13" ht="30" customHeight="1" thickBot="1">
      <c r="B9" s="67" t="s">
        <v>9</v>
      </c>
      <c r="C9" s="190" t="s">
        <v>63</v>
      </c>
      <c r="D9" s="190" t="s">
        <v>64</v>
      </c>
      <c r="E9" s="190" t="s">
        <v>65</v>
      </c>
      <c r="F9" s="190" t="s">
        <v>66</v>
      </c>
      <c r="G9" s="190" t="s">
        <v>67</v>
      </c>
      <c r="H9" s="319" t="s">
        <v>68</v>
      </c>
      <c r="I9" s="319"/>
      <c r="J9" s="319"/>
      <c r="K9" s="319"/>
      <c r="L9" s="191" t="s">
        <v>98</v>
      </c>
    </row>
    <row r="10" spans="2:13" ht="30" customHeight="1">
      <c r="B10" s="404" t="s">
        <v>88</v>
      </c>
      <c r="C10" s="405" t="s">
        <v>89</v>
      </c>
      <c r="D10" s="231" t="s">
        <v>116</v>
      </c>
      <c r="E10" s="218"/>
      <c r="F10" s="219" t="str">
        <f>IF(D10="","","kW")</f>
        <v>kW</v>
      </c>
      <c r="G10" s="220">
        <f>IF(D10="","",IFERROR(INDEX('[4]INFO-Consumo'!$F$9:$F$95,
       MATCH(D10, '[4]INFO-Consumo'!$D$9:$D$95, 0)),""))</f>
        <v>1</v>
      </c>
      <c r="H10" s="401"/>
      <c r="I10" s="402"/>
      <c r="J10" s="402"/>
      <c r="K10" s="403"/>
      <c r="L10" s="400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0.30316793172398854</v>
      </c>
    </row>
    <row r="11" spans="2:13" ht="30" customHeight="1">
      <c r="B11" s="392"/>
      <c r="C11" s="393"/>
      <c r="D11" s="221" t="str">
        <f>IF(D10="", "Seleccionar Maquinaria ↑", "Carga Promedio de Uso de " &amp; D10)</f>
        <v>Carga Promedio de Uso de TB-SCAMRIVT-40120 CONICO 518</v>
      </c>
      <c r="E11" s="222"/>
      <c r="F11" s="223" t="str">
        <f>IF(ISERROR(FIND("Seleccionar", D11)), "%", "")</f>
        <v>%</v>
      </c>
      <c r="G11" s="289">
        <f>IF(D10="","",IFERROR(
    INDEX('[4]INFO-Consumo'!I:I,
           MATCH(D10, '[4]INFO-Consumo'!D:D, 0)
    ),
""))</f>
        <v>0.6</v>
      </c>
      <c r="H11" s="384"/>
      <c r="I11" s="384"/>
      <c r="J11" s="384"/>
      <c r="K11" s="384"/>
      <c r="L11" s="399"/>
    </row>
    <row r="12" spans="2:13" ht="30" customHeight="1">
      <c r="B12" s="392"/>
      <c r="C12" s="393"/>
      <c r="D12" s="232" t="s">
        <v>173</v>
      </c>
      <c r="E12" s="222"/>
      <c r="F12" s="223" t="str">
        <f>IF(D12="","","kW")</f>
        <v>kW</v>
      </c>
      <c r="G12" s="224">
        <f>IFERROR(INDEX('[4]INFO-Ponderacion'!$S$9:$S$13,
       MATCH(D12,'[4]INFO-Ponderacion'!$C$9:$C$13, 0)),"")</f>
        <v>2.4095999999999997</v>
      </c>
      <c r="H12" s="286"/>
      <c r="I12" s="287"/>
      <c r="J12" s="287"/>
      <c r="K12" s="288"/>
      <c r="L12" s="399"/>
    </row>
    <row r="13" spans="2:13" ht="30" customHeight="1">
      <c r="B13" s="392"/>
      <c r="C13" s="393"/>
      <c r="D13" s="221" t="str">
        <f>IF(D12="", "Seleccionar Area ↑", "Tarifa Electrica ")</f>
        <v xml:space="preserve">Tarifa Electrica </v>
      </c>
      <c r="E13" s="222"/>
      <c r="F13" s="223" t="str">
        <f>IF(D12="","","$/kWh")</f>
        <v>$/kWh</v>
      </c>
      <c r="G13" s="228">
        <f>IF(D12="","",'INFO-Direc'!$G$9)</f>
        <v>5.2613958629577628E-2</v>
      </c>
      <c r="H13" s="384"/>
      <c r="I13" s="384"/>
      <c r="J13" s="384"/>
      <c r="K13" s="384"/>
      <c r="L13" s="399"/>
    </row>
    <row r="14" spans="2:13" ht="30" customHeight="1">
      <c r="B14" s="392"/>
      <c r="C14" s="393"/>
      <c r="D14" s="229" t="str">
        <f>IF(D12="", "Seleccionar Area ↑", "Costo Electrico Fijo de " &amp; D12)</f>
        <v>Costo Electrico Fijo de Ensamble</v>
      </c>
      <c r="E14" s="222"/>
      <c r="F14" s="223" t="str">
        <f>IF(D12="","","$/h")</f>
        <v>$/h</v>
      </c>
      <c r="G14" s="290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0.14482096183241172</v>
      </c>
      <c r="H14" s="385"/>
      <c r="I14" s="386"/>
      <c r="J14" s="386"/>
      <c r="K14" s="387"/>
      <c r="L14" s="399"/>
    </row>
    <row r="15" spans="2:13" ht="30" customHeight="1">
      <c r="B15" s="389"/>
      <c r="C15" s="391"/>
      <c r="D15" s="229" t="s">
        <v>85</v>
      </c>
      <c r="E15" s="230"/>
      <c r="F15" s="223" t="str">
        <f>IF(D12="","","$/h")</f>
        <v>$/h</v>
      </c>
      <c r="G15" s="233"/>
      <c r="H15" s="385"/>
      <c r="I15" s="386"/>
      <c r="J15" s="386"/>
      <c r="K15" s="387"/>
      <c r="L15" s="398"/>
    </row>
    <row r="16" spans="2:13" ht="30" customHeight="1">
      <c r="B16" s="388" t="s">
        <v>90</v>
      </c>
      <c r="C16" s="394" t="s">
        <v>89</v>
      </c>
      <c r="D16" s="232"/>
      <c r="E16" s="222"/>
      <c r="F16" s="223" t="str">
        <f>IF(D16="","","$/L")</f>
        <v/>
      </c>
      <c r="G16" s="228" t="str">
        <f>IFERROR(INDEX('INFO-Direc'!$G$9:$G$25,
       MATCH(D16, 'INFO-Direc'!$D$9:$D$25, 0)),"")</f>
        <v/>
      </c>
      <c r="H16" s="384"/>
      <c r="I16" s="384"/>
      <c r="J16" s="384"/>
      <c r="K16" s="384"/>
      <c r="L16" s="397" t="str">
        <f>IF(AND(D16="", D18=""), "",
    IFERROR(
        IFERROR(G16*G17,0)
        + IFERROR(G18*G19,0)
        + IFERROR(G20,0),
    "")
)</f>
        <v/>
      </c>
    </row>
    <row r="17" spans="2:12" ht="30" customHeight="1">
      <c r="B17" s="392"/>
      <c r="C17" s="395"/>
      <c r="D17" s="221" t="str">
        <f>IF(D16="", "Seleccionar Lubricante ↑", "Consumo de " &amp; D16)</f>
        <v>Seleccionar Lubricante ↑</v>
      </c>
      <c r="E17" s="222"/>
      <c r="F17" s="223" t="str">
        <f>IF(ISERROR(FIND("Seleccionar", D17)), "L/h", "")</f>
        <v/>
      </c>
      <c r="G17" s="234"/>
      <c r="H17" s="384"/>
      <c r="I17" s="384"/>
      <c r="J17" s="384"/>
      <c r="K17" s="384"/>
      <c r="L17" s="399"/>
    </row>
    <row r="18" spans="2:12" ht="30" customHeight="1">
      <c r="B18" s="392"/>
      <c r="C18" s="395"/>
      <c r="D18" s="232"/>
      <c r="E18" s="222"/>
      <c r="F18" s="223" t="str">
        <f>IF(D18="","","$/L")</f>
        <v/>
      </c>
      <c r="G18" s="228" t="str">
        <f>IFERROR(INDEX('INFO-Direc'!$G$9:$G$25,
       MATCH(D18, 'INFO-Direc'!$D$9:$D$25, 0)),"")</f>
        <v/>
      </c>
      <c r="H18" s="385"/>
      <c r="I18" s="386"/>
      <c r="J18" s="386"/>
      <c r="K18" s="387"/>
      <c r="L18" s="399"/>
    </row>
    <row r="19" spans="2:12" ht="30" customHeight="1">
      <c r="B19" s="392"/>
      <c r="C19" s="395"/>
      <c r="D19" s="221" t="str">
        <f>IF(D18="", "Seleccionar Lubricante ↑", "Consumo de " &amp; D18)</f>
        <v>Seleccionar Lubricante ↑</v>
      </c>
      <c r="E19" s="222"/>
      <c r="F19" s="223" t="str">
        <f>IF(ISERROR(FIND("Seleccionar", D19)), "L/h", "")</f>
        <v/>
      </c>
      <c r="G19" s="234"/>
      <c r="H19" s="385"/>
      <c r="I19" s="386"/>
      <c r="J19" s="386"/>
      <c r="K19" s="387"/>
      <c r="L19" s="399"/>
    </row>
    <row r="20" spans="2:12" ht="30" customHeight="1">
      <c r="B20" s="389"/>
      <c r="C20" s="396"/>
      <c r="D20" s="221" t="s">
        <v>85</v>
      </c>
      <c r="E20" s="222"/>
      <c r="F20" s="223" t="str">
        <f>IF(OR(D16&lt;&gt;"", D18&lt;&gt;""), "$/h", "")</f>
        <v/>
      </c>
      <c r="G20" s="233"/>
      <c r="H20" s="384"/>
      <c r="I20" s="384"/>
      <c r="J20" s="384"/>
      <c r="K20" s="384"/>
      <c r="L20" s="398"/>
    </row>
    <row r="21" spans="2:12" ht="30" customHeight="1">
      <c r="B21" s="388" t="s">
        <v>92</v>
      </c>
      <c r="C21" s="390" t="s">
        <v>89</v>
      </c>
      <c r="D21" s="232" t="s">
        <v>138</v>
      </c>
      <c r="E21" s="222"/>
      <c r="F21" s="223" t="str">
        <f>IF(D21="","","kW")</f>
        <v>kW</v>
      </c>
      <c r="G21" s="228">
        <f>IFERROR(INDEX('INFO-Direc'!$G$9:$G$25,
       MATCH(D21, 'INFO-Direc'!$D$9:$D$25, 0)),"")</f>
        <v>56</v>
      </c>
      <c r="H21" s="385"/>
      <c r="I21" s="386"/>
      <c r="J21" s="386"/>
      <c r="K21" s="387"/>
      <c r="L21" s="397">
        <f>IFERROR(G21*G13*G22+G23+G24,"")</f>
        <v>1.8303340099538083</v>
      </c>
    </row>
    <row r="22" spans="2:12" ht="30" customHeight="1">
      <c r="B22" s="392"/>
      <c r="C22" s="393"/>
      <c r="D22" s="221" t="str">
        <f>IF(D21="", "Seleccionar Compresor ↑", "Carga Promedio de Uso de " &amp; D21)</f>
        <v>Carga Promedio de Uso de Compresor</v>
      </c>
      <c r="E22" s="222"/>
      <c r="F22" s="223" t="str">
        <f>IF(ISERROR(FIND("Seleccionar", D22)), "%", "")</f>
        <v>%</v>
      </c>
      <c r="G22" s="289">
        <f>IF(D21="","",IFERROR(
    INDEX('[4]INFO-Consumo'!I:I,
           MATCH(D21, '[4]INFO-Consumo'!D:D, 0)
    ),
""))</f>
        <v>0.6</v>
      </c>
      <c r="H22" s="384"/>
      <c r="I22" s="384"/>
      <c r="J22" s="384"/>
      <c r="K22" s="384"/>
      <c r="L22" s="399"/>
    </row>
    <row r="23" spans="2:12" ht="30" customHeight="1">
      <c r="B23" s="392"/>
      <c r="C23" s="393"/>
      <c r="D23" s="235" t="str">
        <f>IF(D21="", "Seleccionar Compresor ↑", "Costo de Repuestos " &amp; D21)</f>
        <v>Costo de Repuestos Compresor</v>
      </c>
      <c r="E23" s="222"/>
      <c r="F23" s="223" t="str">
        <f>IF(ISERROR(FIND("Seleccionar", D23)), "$/h", "")</f>
        <v>$/h</v>
      </c>
      <c r="G23" s="236">
        <f>IF(D21="","", SUM(IF(ISNUMBER(FIND("Compresor", 'INFO-Mant'!D9:D26)), 'INFO-Mant'!G9:G26 / 'INFO-Mant'!H9:H26, 0)))</f>
        <v>6.2505000000000005E-2</v>
      </c>
      <c r="H23" s="385"/>
      <c r="I23" s="386"/>
      <c r="J23" s="386"/>
      <c r="K23" s="387"/>
      <c r="L23" s="399"/>
    </row>
    <row r="24" spans="2:12" ht="30" customHeight="1">
      <c r="B24" s="389"/>
      <c r="C24" s="391"/>
      <c r="D24" s="221" t="s">
        <v>85</v>
      </c>
      <c r="E24" s="222"/>
      <c r="F24" s="223" t="str">
        <f>IF(D21="","","$/h")</f>
        <v>$/h</v>
      </c>
      <c r="G24" s="233"/>
      <c r="H24" s="384"/>
      <c r="I24" s="384"/>
      <c r="J24" s="384"/>
      <c r="K24" s="384"/>
      <c r="L24" s="398"/>
    </row>
    <row r="25" spans="2:12" ht="30" customHeight="1">
      <c r="B25" s="388" t="s">
        <v>94</v>
      </c>
      <c r="C25" s="390" t="s">
        <v>89</v>
      </c>
      <c r="D25" s="232"/>
      <c r="E25" s="222"/>
      <c r="F25" s="223" t="str">
        <f>IF(D25="","","$/L")</f>
        <v/>
      </c>
      <c r="G25" s="228" t="str">
        <f>IFERROR(INDEX('INFO-Direc'!$G$9:$G$25,
       MATCH(D25, 'INFO-Direc'!$D$9:$D$25, 0)),"")</f>
        <v/>
      </c>
      <c r="H25" s="384"/>
      <c r="I25" s="384"/>
      <c r="J25" s="384"/>
      <c r="K25" s="384"/>
      <c r="L25" s="381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92"/>
      <c r="C26" s="393"/>
      <c r="D26" s="221" t="str">
        <f>IF(D25="", "Seleccionar Refrigerante ↑", "Consumo de " &amp; D25)</f>
        <v>Seleccionar Refrigerante ↑</v>
      </c>
      <c r="E26" s="222"/>
      <c r="F26" s="223" t="str">
        <f>IF(ISERROR(FIND("Seleccionar", D26)), "L/Año", "")</f>
        <v/>
      </c>
      <c r="G26" s="238"/>
      <c r="H26" s="384"/>
      <c r="I26" s="384"/>
      <c r="J26" s="384"/>
      <c r="K26" s="384"/>
      <c r="L26" s="382"/>
    </row>
    <row r="27" spans="2:12" ht="30" customHeight="1">
      <c r="B27" s="392"/>
      <c r="C27" s="393"/>
      <c r="D27" s="232"/>
      <c r="E27" s="222"/>
      <c r="F27" s="223" t="str">
        <f>IF(D27="","","$/L")</f>
        <v/>
      </c>
      <c r="G27" s="228" t="str">
        <f>IFERROR(INDEX('INFO-Direc'!$G$9:$G$25,
       MATCH(D27, 'INFO-Direc'!$D$9:$D$25, 0)),"")</f>
        <v/>
      </c>
      <c r="H27" s="385"/>
      <c r="I27" s="386"/>
      <c r="J27" s="386"/>
      <c r="K27" s="387"/>
      <c r="L27" s="382"/>
    </row>
    <row r="28" spans="2:12" ht="30" customHeight="1">
      <c r="B28" s="392"/>
      <c r="C28" s="393"/>
      <c r="D28" s="221" t="str">
        <f>IF(D27="", "Seleccionar Refrigerante ↑", "Consumo de " &amp; D27)</f>
        <v>Seleccionar Refrigerante ↑</v>
      </c>
      <c r="E28" s="222"/>
      <c r="F28" s="223" t="str">
        <f>IF(ISERROR(FIND("Seleccionar", D28)), "L/Año", "")</f>
        <v/>
      </c>
      <c r="G28" s="239"/>
      <c r="H28" s="385"/>
      <c r="I28" s="386"/>
      <c r="J28" s="386"/>
      <c r="K28" s="387"/>
      <c r="L28" s="382"/>
    </row>
    <row r="29" spans="2:12" ht="30" customHeight="1">
      <c r="B29" s="389"/>
      <c r="C29" s="391"/>
      <c r="D29" s="221" t="s">
        <v>85</v>
      </c>
      <c r="E29" s="222"/>
      <c r="F29" s="223" t="str">
        <f>IF(OR(D25&lt;&gt;"", D27&lt;&gt;""), "$/h", "")</f>
        <v/>
      </c>
      <c r="G29" s="233"/>
      <c r="H29" s="384"/>
      <c r="I29" s="384"/>
      <c r="J29" s="384"/>
      <c r="K29" s="384"/>
      <c r="L29" s="383"/>
    </row>
    <row r="30" spans="2:12" s="152" customFormat="1" ht="30" customHeight="1">
      <c r="B30" s="388" t="s">
        <v>168</v>
      </c>
      <c r="C30" s="394" t="s">
        <v>89</v>
      </c>
      <c r="D30" s="232"/>
      <c r="E30" s="222"/>
      <c r="F30" s="223" t="str">
        <f>IF(D30="","","$/L")</f>
        <v/>
      </c>
      <c r="G30" s="228" t="str">
        <f>IFERROR(INDEX('INFO-Direc'!$G$9:$G$25,
       MATCH(D30, 'INFO-Direc'!$D$9:$D$25, 0)),"")</f>
        <v/>
      </c>
      <c r="H30" s="384"/>
      <c r="I30" s="384"/>
      <c r="J30" s="384"/>
      <c r="K30" s="384"/>
      <c r="L30" s="381" t="str">
        <f>IF(
    AND(D30="", D32=""),
    "",
    IFERROR(
        IFERROR(G30 / (INDEX('INFO-OEE'!$E$18:$CA$18,
                               MATCH(#REF!, 'INFO-OEE'!$E$9:$CA$9, 0)) * 12), 0)
        * G31
        +
        IFERROR(G32 / (INDEX('INFO-OEE'!$E$18:$CA$18,
                               MATCH(#REF!, 'INFO-OEE'!$E$9:$CA$9, 0)) * 12), 0)
        * G33
        +
        IFERROR(G34, 0),
    "")
)</f>
        <v/>
      </c>
    </row>
    <row r="31" spans="2:12" s="152" customFormat="1" ht="30" customHeight="1">
      <c r="B31" s="392"/>
      <c r="C31" s="395"/>
      <c r="D31" s="221" t="str">
        <f>IF(D30="", "Seleccionar Solvente ↑", "Consumo de " &amp; D30)</f>
        <v>Seleccionar Solvente ↑</v>
      </c>
      <c r="E31" s="222"/>
      <c r="F31" s="223" t="str">
        <f>IF(ISERROR(FIND("Seleccionar", D31)), "L/Año", "")</f>
        <v/>
      </c>
      <c r="G31" s="234"/>
      <c r="H31" s="384"/>
      <c r="I31" s="384"/>
      <c r="J31" s="384"/>
      <c r="K31" s="384"/>
      <c r="L31" s="382"/>
    </row>
    <row r="32" spans="2:12" s="152" customFormat="1" ht="30" customHeight="1">
      <c r="B32" s="392"/>
      <c r="C32" s="395"/>
      <c r="D32" s="232"/>
      <c r="E32" s="222"/>
      <c r="F32" s="223" t="str">
        <f>IF(D32="","","$/L")</f>
        <v/>
      </c>
      <c r="G32" s="228" t="str">
        <f>IFERROR(INDEX('INFO-Direc'!$G$9:$G$25,
       MATCH(D32, 'INFO-Direc'!$D$9:$D$25, 0)),"")</f>
        <v/>
      </c>
      <c r="H32" s="385"/>
      <c r="I32" s="386"/>
      <c r="J32" s="386"/>
      <c r="K32" s="387"/>
      <c r="L32" s="382"/>
    </row>
    <row r="33" spans="2:12" s="152" customFormat="1" ht="30" customHeight="1">
      <c r="B33" s="392"/>
      <c r="C33" s="395"/>
      <c r="D33" s="221" t="str">
        <f>IF(D32="", "Seleccionar Solvente ↑", "Consumo de " &amp; D32)</f>
        <v>Seleccionar Solvente ↑</v>
      </c>
      <c r="E33" s="222"/>
      <c r="F33" s="223" t="str">
        <f>IF(ISERROR(FIND("Seleccionar", D33)), "L/Año", "")</f>
        <v/>
      </c>
      <c r="G33" s="234"/>
      <c r="H33" s="385"/>
      <c r="I33" s="386"/>
      <c r="J33" s="386"/>
      <c r="K33" s="387"/>
      <c r="L33" s="382"/>
    </row>
    <row r="34" spans="2:12" s="152" customFormat="1" ht="30" customHeight="1">
      <c r="B34" s="389"/>
      <c r="C34" s="396"/>
      <c r="D34" s="221" t="s">
        <v>85</v>
      </c>
      <c r="E34" s="222"/>
      <c r="F34" s="223" t="str">
        <f>IF(OR(D30&lt;&gt;"", D32&lt;&gt;""), "$/h", "")</f>
        <v/>
      </c>
      <c r="G34" s="233"/>
      <c r="H34" s="384"/>
      <c r="I34" s="384"/>
      <c r="J34" s="384"/>
      <c r="K34" s="384"/>
      <c r="L34" s="383"/>
    </row>
    <row r="35" spans="2:12" ht="30" customHeight="1">
      <c r="B35" s="388" t="s">
        <v>100</v>
      </c>
      <c r="C35" s="390" t="s">
        <v>89</v>
      </c>
      <c r="D35" s="221" t="str">
        <f>IF(D12="", "Seleccionar Area ↑", "Costo de Operarios")</f>
        <v>Costo de Operarios</v>
      </c>
      <c r="E35" s="222"/>
      <c r="F35" s="223" t="str">
        <f>IF(D12="","","$/mes")</f>
        <v>$/mes</v>
      </c>
      <c r="G35" s="237">
        <f>IF(D12="","",IFERROR(
    INDEX('INFO-Personal'!$E$26:$CA$26,
           MATCH($C$3, 'INFO-Personal'!$E$9:$CA$9, 0)
    ),
""))</f>
        <v>807.32018257839729</v>
      </c>
      <c r="H35" s="384"/>
      <c r="I35" s="384"/>
      <c r="J35" s="384"/>
      <c r="K35" s="384"/>
      <c r="L35" s="397">
        <f>IFERROR(
    (G35 / INDEX('INFO-OEE'!$E$18:$CA$18,
                  MATCH($C$3, 'INFO-OEE'!$E$9:$CA$9, 0)))
    + G36,
"")</f>
        <v>5.7338081149033897</v>
      </c>
    </row>
    <row r="36" spans="2:12" ht="30" customHeight="1">
      <c r="B36" s="389"/>
      <c r="C36" s="391"/>
      <c r="D36" s="221" t="s">
        <v>85</v>
      </c>
      <c r="E36" s="222"/>
      <c r="F36" s="223" t="str">
        <f>IF(D12="","","$/h")</f>
        <v>$/h</v>
      </c>
      <c r="G36" s="240"/>
      <c r="H36" s="384"/>
      <c r="I36" s="384"/>
      <c r="J36" s="384"/>
      <c r="K36" s="384"/>
      <c r="L36" s="398"/>
    </row>
    <row r="37" spans="2:12" ht="30" customHeight="1">
      <c r="B37" s="241"/>
      <c r="C37" s="242"/>
      <c r="D37" s="243"/>
      <c r="E37" s="242"/>
      <c r="F37" s="244"/>
      <c r="G37" s="245"/>
      <c r="H37" s="409"/>
      <c r="I37" s="409"/>
      <c r="J37" s="409"/>
      <c r="K37" s="409"/>
      <c r="L37" s="246"/>
    </row>
    <row r="38" spans="2:12" ht="30" customHeight="1">
      <c r="B38" s="388" t="s">
        <v>16</v>
      </c>
      <c r="C38" s="390" t="s">
        <v>69</v>
      </c>
      <c r="D38" s="221" t="str">
        <f>IF(D12="", "Seleccionar Area ↑", "Costo de Supervisores")</f>
        <v>Costo de Supervisores</v>
      </c>
      <c r="E38" s="222"/>
      <c r="F38" s="247" t="str">
        <f>IF(D12="","","$/mes")</f>
        <v>$/mes</v>
      </c>
      <c r="G38" s="237">
        <f>IF(D12="","",IFERROR(
    INDEX('INFO-Personal'!$E$27:$CA$27,
           MATCH($C$3, 'INFO-Personal'!$E$9:$CA$9, 0)
    ),
""))</f>
        <v>51.241933194853928</v>
      </c>
      <c r="H38" s="385"/>
      <c r="I38" s="386"/>
      <c r="J38" s="386"/>
      <c r="K38" s="387"/>
      <c r="L38" s="397">
        <f>IFERROR(
    (G38 / INDEX('INFO-OEE'!$E$18:$CA$18,
                  MATCH($C$3, 'INFO-OEE'!$E$9:$CA$9, 0)))
    + G39,
"")</f>
        <v>0.36393418462254207</v>
      </c>
    </row>
    <row r="39" spans="2:12" ht="41.25" customHeight="1">
      <c r="B39" s="392"/>
      <c r="C39" s="393"/>
      <c r="D39" s="221" t="s">
        <v>85</v>
      </c>
      <c r="E39" s="222"/>
      <c r="F39" s="223" t="str">
        <f>IF(D12="","","$/h")</f>
        <v>$/h</v>
      </c>
      <c r="G39" s="240"/>
      <c r="H39" s="385"/>
      <c r="I39" s="386"/>
      <c r="J39" s="386"/>
      <c r="K39" s="387"/>
      <c r="L39" s="399"/>
    </row>
    <row r="40" spans="2:12" ht="30" customHeight="1">
      <c r="B40" s="388" t="s">
        <v>101</v>
      </c>
      <c r="C40" s="390" t="s">
        <v>69</v>
      </c>
      <c r="D40" s="221" t="str">
        <f>IF(D12="", "Seleccionar Area ↑", "Costo de Mant. Preventivo")</f>
        <v>Costo de Mant. Preventivo</v>
      </c>
      <c r="E40" s="222"/>
      <c r="F40" s="247" t="str">
        <f>IF(D12="","","$/mes")</f>
        <v>$/mes</v>
      </c>
      <c r="G40" s="237">
        <f>IF(D12="","",IFERROR(
    INDEX('INFO-Personal'!$E$28:$CA$28,
           MATCH($C$3, 'INFO-Personal'!$E$9:$CA$9, 0)
    ),
""))</f>
        <v>3.4161288796569287</v>
      </c>
      <c r="H40" s="385"/>
      <c r="I40" s="386"/>
      <c r="J40" s="386"/>
      <c r="K40" s="387"/>
      <c r="L40" s="397">
        <f>IF(D12="","",SUM(
    IFERROR((G40+G41) / INDEX('INFO-OEE'!$E$18:$CA$18, MATCH(C3, 'INFO-OEE'!$E$9:$CA$9, 0)), 0),
    IFERROR(G42 / G43, 0),
    IFERROR(G44 / G45, 0),
    IFERROR(G46 / G47, 0),
    IFERROR(G48, 0)
))</f>
        <v>0.27449741271484929</v>
      </c>
    </row>
    <row r="41" spans="2:12" ht="30" customHeight="1">
      <c r="B41" s="392"/>
      <c r="C41" s="393"/>
      <c r="D41" s="221" t="str">
        <f>IF(D12="", "Seleccionar Area ↑", "Costo de Mant. Correctivo")</f>
        <v>Costo de Mant. Correctivo</v>
      </c>
      <c r="E41" s="222"/>
      <c r="F41" s="247" t="str">
        <f>IF(D12="","","$/mes")</f>
        <v>$/mes</v>
      </c>
      <c r="G41" s="237">
        <f>IF(D12="","",IFERROR(
    INDEX('INFO-Personal'!$E$29:$CA$29,
           MATCH($C$3, 'INFO-Personal'!$E$9:$CA$9, 0)
    ),
""))</f>
        <v>35.233106830593854</v>
      </c>
      <c r="H41" s="385"/>
      <c r="I41" s="386"/>
      <c r="J41" s="386"/>
      <c r="K41" s="387"/>
      <c r="L41" s="399"/>
    </row>
    <row r="42" spans="2:12" ht="30" customHeight="1">
      <c r="B42" s="392"/>
      <c r="C42" s="393"/>
      <c r="D42" s="232"/>
      <c r="E42" s="222"/>
      <c r="F42" s="223" t="str">
        <f>IF(D42="","","$/u")</f>
        <v/>
      </c>
      <c r="G42" s="237" t="str">
        <f>IFERROR(INDEX('INFO-Mant'!$G$9:$G$26,
       MATCH(D42, 'INFO-Mant'!$D$9:$D$26, 0)),"")</f>
        <v/>
      </c>
      <c r="H42" s="385"/>
      <c r="I42" s="386"/>
      <c r="J42" s="386"/>
      <c r="K42" s="387"/>
      <c r="L42" s="399"/>
    </row>
    <row r="43" spans="2:12" ht="30" customHeight="1">
      <c r="B43" s="392"/>
      <c r="C43" s="393"/>
      <c r="D43" s="221" t="str">
        <f>IF(D42="", "Seleccionar Repuesto ↑", "Vida Util de " &amp; D42)</f>
        <v>Seleccionar Repuesto ↑</v>
      </c>
      <c r="E43" s="222"/>
      <c r="F43" s="223" t="str">
        <f>IF(ISERROR(FIND("Seleccionar", D43)), "Horas/u", "")</f>
        <v/>
      </c>
      <c r="G43" s="238"/>
      <c r="H43" s="385"/>
      <c r="I43" s="386"/>
      <c r="J43" s="386"/>
      <c r="K43" s="387"/>
      <c r="L43" s="399"/>
    </row>
    <row r="44" spans="2:12" ht="30" customHeight="1">
      <c r="B44" s="392"/>
      <c r="C44" s="393"/>
      <c r="D44" s="232"/>
      <c r="E44" s="222"/>
      <c r="F44" s="223" t="str">
        <f>IF(D44="","","$/u")</f>
        <v/>
      </c>
      <c r="G44" s="237" t="str">
        <f>IFERROR(INDEX('INFO-Mant'!$G$9:$G$26,
       MATCH(D44, 'INFO-Mant'!$D$9:$D$26, 0)),"")</f>
        <v/>
      </c>
      <c r="H44" s="385"/>
      <c r="I44" s="386"/>
      <c r="J44" s="386"/>
      <c r="K44" s="387"/>
      <c r="L44" s="399"/>
    </row>
    <row r="45" spans="2:12" ht="30" customHeight="1">
      <c r="B45" s="392"/>
      <c r="C45" s="393"/>
      <c r="D45" s="221" t="str">
        <f>IF(D44="", "Seleccionar Repuesto ↑", "Vida Util de " &amp; D44)</f>
        <v>Seleccionar Repuesto ↑</v>
      </c>
      <c r="E45" s="222"/>
      <c r="F45" s="223" t="str">
        <f>IF(ISERROR(FIND("Seleccionar", D45)), "Horas/u", "")</f>
        <v/>
      </c>
      <c r="G45" s="238"/>
      <c r="H45" s="385"/>
      <c r="I45" s="386"/>
      <c r="J45" s="386"/>
      <c r="K45" s="387"/>
      <c r="L45" s="399"/>
    </row>
    <row r="46" spans="2:12" ht="30" customHeight="1">
      <c r="B46" s="392"/>
      <c r="C46" s="393"/>
      <c r="D46" s="232"/>
      <c r="E46" s="222"/>
      <c r="F46" s="223" t="str">
        <f>IF(D46="","","$/u")</f>
        <v/>
      </c>
      <c r="G46" s="237" t="str">
        <f>IFERROR(INDEX('INFO-Mant'!$G$9:$G$26,
       MATCH(D46, 'INFO-Mant'!$D$9:$D$26, 0)),"")</f>
        <v/>
      </c>
      <c r="H46" s="385"/>
      <c r="I46" s="386"/>
      <c r="J46" s="386"/>
      <c r="K46" s="387"/>
      <c r="L46" s="399"/>
    </row>
    <row r="47" spans="2:12" ht="33" customHeight="1">
      <c r="B47" s="392"/>
      <c r="C47" s="393"/>
      <c r="D47" s="221" t="str">
        <f>IF(D46="", "Seleccionar Repuesto ↑", "Vida Util de " &amp; D46)</f>
        <v>Seleccionar Repuesto ↑</v>
      </c>
      <c r="E47" s="222"/>
      <c r="F47" s="223" t="str">
        <f>IF(ISERROR(FIND("Seleccionar", D47)), "Horas/u", "")</f>
        <v/>
      </c>
      <c r="G47" s="240"/>
      <c r="H47" s="385"/>
      <c r="I47" s="386"/>
      <c r="J47" s="386"/>
      <c r="K47" s="387"/>
      <c r="L47" s="399"/>
    </row>
    <row r="48" spans="2:12" ht="30" customHeight="1">
      <c r="B48" s="389"/>
      <c r="C48" s="391"/>
      <c r="D48" s="221" t="s">
        <v>85</v>
      </c>
      <c r="E48" s="222"/>
      <c r="F48" s="223" t="str">
        <f>IF(D12="","","$/h")</f>
        <v>$/h</v>
      </c>
      <c r="G48" s="240"/>
      <c r="H48" s="385"/>
      <c r="I48" s="386"/>
      <c r="J48" s="386"/>
      <c r="K48" s="387"/>
      <c r="L48" s="398"/>
    </row>
    <row r="49" spans="2:12" ht="30" customHeight="1">
      <c r="B49" s="248"/>
      <c r="C49" s="249"/>
      <c r="D49" s="250"/>
      <c r="E49" s="249"/>
      <c r="F49" s="251"/>
      <c r="G49" s="252"/>
      <c r="H49" s="249"/>
      <c r="I49" s="249"/>
      <c r="J49" s="249"/>
      <c r="K49" s="249"/>
      <c r="L49" s="253"/>
    </row>
    <row r="50" spans="2:12" ht="30" customHeight="1">
      <c r="B50" s="388" t="s">
        <v>102</v>
      </c>
      <c r="C50" s="394" t="s">
        <v>103</v>
      </c>
      <c r="D50" s="232"/>
      <c r="E50" s="222"/>
      <c r="F50" s="223" t="str">
        <f>IF(D50="","","$/h")</f>
        <v/>
      </c>
      <c r="G50" s="23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410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410"/>
      <c r="J50" s="410"/>
      <c r="K50" s="410"/>
      <c r="L50" s="255" t="str">
        <f ca="1">G50</f>
        <v/>
      </c>
    </row>
    <row r="51" spans="2:12" ht="30" customHeight="1">
      <c r="B51" s="392"/>
      <c r="C51" s="395"/>
      <c r="D51" s="232"/>
      <c r="E51" s="254"/>
      <c r="F51" s="223" t="str">
        <f>IF(D51="","","$/h")</f>
        <v/>
      </c>
      <c r="G51" s="23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410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410"/>
      <c r="J51" s="410"/>
      <c r="K51" s="410"/>
      <c r="L51" s="255" t="str">
        <f ca="1">G51</f>
        <v/>
      </c>
    </row>
    <row r="52" spans="2:12" ht="30" customHeight="1">
      <c r="B52" s="392"/>
      <c r="C52" s="395"/>
      <c r="D52" s="232"/>
      <c r="E52" s="222"/>
      <c r="F52" s="223" t="str">
        <f t="shared" ref="F52:F54" si="0">IF(D52="","","$/h")</f>
        <v/>
      </c>
      <c r="G52" s="23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410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410"/>
      <c r="J52" s="410"/>
      <c r="K52" s="410"/>
      <c r="L52" s="255" t="str">
        <f ca="1">G52</f>
        <v/>
      </c>
    </row>
    <row r="53" spans="2:12" ht="30" customHeight="1">
      <c r="B53" s="392"/>
      <c r="C53" s="395"/>
      <c r="D53" s="232"/>
      <c r="E53" s="222"/>
      <c r="F53" s="223" t="str">
        <f t="shared" si="0"/>
        <v/>
      </c>
      <c r="G53" s="23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410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410"/>
      <c r="J53" s="410"/>
      <c r="K53" s="410"/>
      <c r="L53" s="255" t="str">
        <f ca="1">G53</f>
        <v/>
      </c>
    </row>
    <row r="54" spans="2:12" ht="30" customHeight="1">
      <c r="B54" s="389"/>
      <c r="C54" s="396"/>
      <c r="D54" s="232"/>
      <c r="E54" s="222"/>
      <c r="F54" s="223" t="str">
        <f t="shared" si="0"/>
        <v/>
      </c>
      <c r="G54" s="23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410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410"/>
      <c r="J54" s="410"/>
      <c r="K54" s="410"/>
      <c r="L54" s="255" t="str">
        <f ca="1">G54</f>
        <v/>
      </c>
    </row>
    <row r="55" spans="2:12" ht="30" customHeight="1">
      <c r="B55" s="146"/>
      <c r="C55" s="147"/>
      <c r="D55" s="411"/>
      <c r="E55" s="411"/>
      <c r="F55" s="30"/>
      <c r="G55" s="30"/>
      <c r="H55" s="149"/>
      <c r="I55" s="149"/>
      <c r="J55" s="149"/>
      <c r="K55" s="30"/>
      <c r="L55" s="145"/>
    </row>
    <row r="56" spans="2:12" ht="30" customHeight="1" thickBot="1">
      <c r="B56" s="153" t="s">
        <v>39</v>
      </c>
      <c r="C56" s="330"/>
      <c r="D56" s="330"/>
      <c r="E56" s="154" t="s">
        <v>23</v>
      </c>
      <c r="F56" s="368"/>
      <c r="G56" s="368"/>
      <c r="H56" s="141"/>
      <c r="I56" s="141"/>
      <c r="J56" s="141"/>
      <c r="K56" s="256"/>
      <c r="L56" s="257"/>
    </row>
    <row r="57" spans="2:12" ht="30" customHeight="1" thickBot="1">
      <c r="B57" s="155"/>
      <c r="C57" s="156"/>
      <c r="D57" s="156"/>
      <c r="E57" s="156"/>
      <c r="F57" s="378"/>
      <c r="G57" s="378"/>
      <c r="H57" s="157"/>
      <c r="I57" s="157"/>
      <c r="J57" s="157"/>
      <c r="K57" s="258" t="s">
        <v>106</v>
      </c>
      <c r="L57" s="259">
        <f ca="1">IFERROR(SUM(L19:L54),"")</f>
        <v>8.2025737221945896</v>
      </c>
    </row>
    <row r="59" spans="2:12" ht="30" customHeight="1">
      <c r="C59" s="117"/>
    </row>
  </sheetData>
  <sheetProtection selectLockedCells="1"/>
  <mergeCells count="80">
    <mergeCell ref="F57:G57"/>
    <mergeCell ref="B50:B54"/>
    <mergeCell ref="C50:C54"/>
    <mergeCell ref="H53:K53"/>
    <mergeCell ref="H54:K54"/>
    <mergeCell ref="D55:E55"/>
    <mergeCell ref="C56:D56"/>
    <mergeCell ref="F56:G56"/>
    <mergeCell ref="B38:B39"/>
    <mergeCell ref="C38:C39"/>
    <mergeCell ref="H50:K50"/>
    <mergeCell ref="H51:K51"/>
    <mergeCell ref="H52:K52"/>
    <mergeCell ref="B40:B48"/>
    <mergeCell ref="C40:C48"/>
    <mergeCell ref="H39:K39"/>
    <mergeCell ref="H40:K40"/>
    <mergeCell ref="H41:K41"/>
    <mergeCell ref="H42:K42"/>
    <mergeCell ref="H37:K37"/>
    <mergeCell ref="H38:K38"/>
    <mergeCell ref="L40:L48"/>
    <mergeCell ref="H44:K44"/>
    <mergeCell ref="H45:K45"/>
    <mergeCell ref="H46:K46"/>
    <mergeCell ref="H47:K47"/>
    <mergeCell ref="H48:K48"/>
    <mergeCell ref="H43:K43"/>
    <mergeCell ref="L38:L39"/>
    <mergeCell ref="C3:D3"/>
    <mergeCell ref="F3:G3"/>
    <mergeCell ref="C6:D6"/>
    <mergeCell ref="F6:G6"/>
    <mergeCell ref="C7:D7"/>
    <mergeCell ref="F7:G7"/>
    <mergeCell ref="H9:K9"/>
    <mergeCell ref="H10:K10"/>
    <mergeCell ref="H11:K11"/>
    <mergeCell ref="B10:B15"/>
    <mergeCell ref="C10:C15"/>
    <mergeCell ref="L10:L15"/>
    <mergeCell ref="H13:K13"/>
    <mergeCell ref="H15:K15"/>
    <mergeCell ref="H16:K16"/>
    <mergeCell ref="H17:K17"/>
    <mergeCell ref="H14:K14"/>
    <mergeCell ref="B16:B20"/>
    <mergeCell ref="C16:C20"/>
    <mergeCell ref="B21:B24"/>
    <mergeCell ref="C21:C24"/>
    <mergeCell ref="L16:L20"/>
    <mergeCell ref="H20:K20"/>
    <mergeCell ref="H18:K18"/>
    <mergeCell ref="H19:K19"/>
    <mergeCell ref="L21:L24"/>
    <mergeCell ref="H23:K23"/>
    <mergeCell ref="H24:K24"/>
    <mergeCell ref="H21:K21"/>
    <mergeCell ref="H22:K22"/>
    <mergeCell ref="H35:K35"/>
    <mergeCell ref="H36:K36"/>
    <mergeCell ref="L30:L34"/>
    <mergeCell ref="H34:K34"/>
    <mergeCell ref="L35:L36"/>
    <mergeCell ref="H33:K33"/>
    <mergeCell ref="H30:K30"/>
    <mergeCell ref="H31:K31"/>
    <mergeCell ref="H32:K32"/>
    <mergeCell ref="B35:B36"/>
    <mergeCell ref="C35:C36"/>
    <mergeCell ref="B25:B29"/>
    <mergeCell ref="C25:C29"/>
    <mergeCell ref="B30:B34"/>
    <mergeCell ref="C30:C34"/>
    <mergeCell ref="L25:L29"/>
    <mergeCell ref="H29:K29"/>
    <mergeCell ref="H28:K28"/>
    <mergeCell ref="H25:K25"/>
    <mergeCell ref="H26:K26"/>
    <mergeCell ref="H27:K27"/>
  </mergeCells>
  <dataValidations count="9">
    <dataValidation allowBlank="1" showInputMessage="1" showErrorMessage="1" prompt="Escriba comentarios en las celdas de la derecha." sqref="C59"/>
    <dataValidation type="list" allowBlank="1" showInputMessage="1" showErrorMessage="1" sqref="D51:D54">
      <formula1>Herramientas_Ensamble</formula1>
    </dataValidation>
    <dataValidation type="list" allowBlank="1" showInputMessage="1" showErrorMessage="1" sqref="D12">
      <formula1>Areas_Ensamble</formula1>
    </dataValidation>
    <dataValidation type="list" allowBlank="1" showInputMessage="1" showErrorMessage="1" sqref="D16 D18">
      <formula1>Lubricantes_Ensamble</formula1>
    </dataValidation>
    <dataValidation type="list" allowBlank="1" showInputMessage="1" showErrorMessage="1" sqref="D21">
      <formula1>AireComprimido_Ensamble</formula1>
    </dataValidation>
    <dataValidation type="list" allowBlank="1" showInputMessage="1" showErrorMessage="1" sqref="D25 D27">
      <formula1>Refrigerantes_Ensamble</formula1>
    </dataValidation>
    <dataValidation type="list" allowBlank="1" showInputMessage="1" showErrorMessage="1" sqref="D30 D32">
      <formula1>Solvente_Ensamble</formula1>
    </dataValidation>
    <dataValidation type="list" allowBlank="1" showInputMessage="1" showErrorMessage="1" sqref="D42 D44 D46">
      <formula1>Repuestos_Ensamble</formula1>
    </dataValidation>
    <dataValidation type="list" allowBlank="1" showInputMessage="1" showErrorMessage="1" sqref="D10 D50">
      <formula1>Maquinaria_Ensamble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54</xdr:row>
                    <xdr:rowOff>333375</xdr:rowOff>
                  </from>
                  <to>
                    <xdr:col>1</xdr:col>
                    <xdr:colOff>1762125</xdr:colOff>
                    <xdr:row>55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>
    <tabColor rgb="FF0070C0"/>
    <pageSetUpPr autoPageBreaks="0" fitToPage="1"/>
  </sheetPr>
  <dimension ref="B1:M59"/>
  <sheetViews>
    <sheetView showGridLines="0" zoomScale="80" zoomScaleNormal="80" workbookViewId="0">
      <selection activeCell="D12" sqref="D12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3.140625" style="80" bestFit="1" customWidth="1"/>
    <col min="5" max="5" width="20.5703125" style="80" customWidth="1"/>
    <col min="6" max="6" width="16.5703125" style="80" bestFit="1" customWidth="1"/>
    <col min="7" max="7" width="19.7109375" style="80" bestFit="1" customWidth="1"/>
    <col min="8" max="8" width="15.28515625" style="80" customWidth="1"/>
    <col min="9" max="10" width="17" style="80" customWidth="1"/>
    <col min="11" max="11" width="28.42578125" style="80" customWidth="1"/>
    <col min="12" max="12" width="20.7109375" style="80" customWidth="1"/>
    <col min="13" max="13" width="2.7109375" style="80" customWidth="1"/>
    <col min="14" max="16384" width="9.140625" style="80"/>
  </cols>
  <sheetData>
    <row r="1" spans="2:13" ht="12" customHeight="1" thickBot="1"/>
    <row r="2" spans="2:13" ht="30" customHeight="1">
      <c r="B2" s="126" t="s">
        <v>95</v>
      </c>
      <c r="C2" s="127"/>
      <c r="D2" s="128"/>
      <c r="E2" s="128"/>
      <c r="F2" s="128"/>
      <c r="G2" s="128"/>
      <c r="H2" s="128"/>
      <c r="I2" s="128"/>
      <c r="J2" s="128"/>
      <c r="K2" s="128"/>
      <c r="L2" s="129"/>
    </row>
    <row r="3" spans="2:13" ht="30" customHeight="1">
      <c r="B3" s="130" t="s">
        <v>96</v>
      </c>
      <c r="C3" s="406" t="s">
        <v>117</v>
      </c>
      <c r="D3" s="406"/>
      <c r="E3" s="125" t="s">
        <v>3</v>
      </c>
      <c r="F3" s="356">
        <f ca="1">TODAY()</f>
        <v>46020</v>
      </c>
      <c r="G3" s="356"/>
      <c r="H3" s="125" t="s">
        <v>61</v>
      </c>
      <c r="I3" s="162">
        <f>'INFO-Direc'!H3</f>
        <v>1445</v>
      </c>
      <c r="J3" s="131"/>
      <c r="K3" s="132"/>
      <c r="L3" s="133"/>
      <c r="M3" s="134"/>
    </row>
    <row r="4" spans="2:13" ht="30" customHeight="1">
      <c r="B4" s="130" t="s">
        <v>97</v>
      </c>
      <c r="C4" s="160">
        <f>IFERROR(INDEX('INFO-OEE'!E17:CL17,
       MATCH(C3, 'INFO-OEE'!E9:CL9, 0)),"")</f>
        <v>0.8</v>
      </c>
      <c r="D4" s="135"/>
      <c r="E4" s="136"/>
      <c r="F4" s="136"/>
      <c r="G4" s="136"/>
      <c r="H4" s="125"/>
      <c r="I4" s="137"/>
      <c r="J4" s="131"/>
      <c r="K4" s="132"/>
      <c r="L4" s="138"/>
      <c r="M4" s="89"/>
    </row>
    <row r="5" spans="2:13" ht="30" customHeight="1">
      <c r="B5" s="139" t="s">
        <v>4</v>
      </c>
      <c r="C5" s="140"/>
      <c r="D5" s="141"/>
      <c r="E5" s="141"/>
      <c r="F5" s="141"/>
      <c r="G5" s="141"/>
      <c r="H5" s="141"/>
      <c r="I5" s="141"/>
      <c r="J5" s="141"/>
      <c r="K5" s="141"/>
      <c r="L5" s="142"/>
    </row>
    <row r="6" spans="2:13" ht="30" customHeight="1">
      <c r="B6" s="143" t="s">
        <v>5</v>
      </c>
      <c r="C6" s="407" t="s">
        <v>205</v>
      </c>
      <c r="D6" s="407"/>
      <c r="E6" s="144" t="s">
        <v>6</v>
      </c>
      <c r="F6" s="407"/>
      <c r="G6" s="407"/>
      <c r="H6" s="141"/>
      <c r="I6" s="141"/>
      <c r="J6" s="141"/>
      <c r="K6" s="30"/>
      <c r="L6" s="145"/>
    </row>
    <row r="7" spans="2:13" ht="30" customHeight="1">
      <c r="B7" s="143" t="s">
        <v>7</v>
      </c>
      <c r="C7" s="407" t="s">
        <v>206</v>
      </c>
      <c r="D7" s="407"/>
      <c r="E7" s="144" t="s">
        <v>62</v>
      </c>
      <c r="F7" s="408"/>
      <c r="G7" s="408"/>
      <c r="H7" s="141"/>
      <c r="I7" s="141"/>
      <c r="J7" s="141"/>
      <c r="K7" s="30"/>
      <c r="L7" s="145"/>
    </row>
    <row r="8" spans="2:13" ht="30" customHeight="1" thickBot="1">
      <c r="B8" s="146"/>
      <c r="C8" s="147"/>
      <c r="D8" s="148"/>
      <c r="E8" s="148"/>
      <c r="F8" s="30"/>
      <c r="G8" s="30"/>
      <c r="H8" s="149"/>
      <c r="I8" s="149"/>
      <c r="J8" s="149"/>
      <c r="K8" s="30"/>
      <c r="L8" s="145"/>
    </row>
    <row r="9" spans="2:13" ht="30" customHeight="1" thickBot="1">
      <c r="B9" s="67" t="s">
        <v>9</v>
      </c>
      <c r="C9" s="190" t="s">
        <v>63</v>
      </c>
      <c r="D9" s="190" t="s">
        <v>64</v>
      </c>
      <c r="E9" s="190" t="s">
        <v>65</v>
      </c>
      <c r="F9" s="190" t="s">
        <v>66</v>
      </c>
      <c r="G9" s="190" t="s">
        <v>67</v>
      </c>
      <c r="H9" s="319" t="s">
        <v>68</v>
      </c>
      <c r="I9" s="319"/>
      <c r="J9" s="319"/>
      <c r="K9" s="319"/>
      <c r="L9" s="191" t="s">
        <v>98</v>
      </c>
    </row>
    <row r="10" spans="2:13" ht="30" customHeight="1">
      <c r="B10" s="404" t="s">
        <v>88</v>
      </c>
      <c r="C10" s="405" t="s">
        <v>89</v>
      </c>
      <c r="D10" s="231" t="s">
        <v>117</v>
      </c>
      <c r="E10" s="218"/>
      <c r="F10" s="219" t="str">
        <f>IF(D10="","","kW")</f>
        <v>kW</v>
      </c>
      <c r="G10" s="220">
        <f>IF(D10="","",IFERROR(INDEX('[4]INFO-Consumo'!$F$9:$F$95,
       MATCH(D10, '[4]INFO-Consumo'!$D$9:$D$95, 0)),""))</f>
        <v>1</v>
      </c>
      <c r="H10" s="401"/>
      <c r="I10" s="402"/>
      <c r="J10" s="402"/>
      <c r="K10" s="403"/>
      <c r="L10" s="400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0.30316793172398854</v>
      </c>
    </row>
    <row r="11" spans="2:13" ht="30" customHeight="1">
      <c r="B11" s="392"/>
      <c r="C11" s="393"/>
      <c r="D11" s="221" t="str">
        <f>IF(D10="", "Seleccionar Maquinaria ↑", "Carga Promedio de Uso de " &amp; D10)</f>
        <v>Carga Promedio de Uso de TE-SCAMRIVT-2060 CONICO 30207</v>
      </c>
      <c r="E11" s="222"/>
      <c r="F11" s="223" t="str">
        <f>IF(ISERROR(FIND("Seleccionar", D11)), "%", "")</f>
        <v>%</v>
      </c>
      <c r="G11" s="289">
        <f>IF(D10="","",IFERROR(
    INDEX('[4]INFO-Consumo'!I:I,
           MATCH(D10, '[4]INFO-Consumo'!D:D, 0)
    ),
""))</f>
        <v>0.6</v>
      </c>
      <c r="H11" s="384"/>
      <c r="I11" s="384"/>
      <c r="J11" s="384"/>
      <c r="K11" s="384"/>
      <c r="L11" s="399"/>
    </row>
    <row r="12" spans="2:13" ht="30" customHeight="1">
      <c r="B12" s="392"/>
      <c r="C12" s="393"/>
      <c r="D12" s="232" t="s">
        <v>173</v>
      </c>
      <c r="E12" s="222"/>
      <c r="F12" s="223" t="str">
        <f>IF(D12="","","kW")</f>
        <v>kW</v>
      </c>
      <c r="G12" s="224">
        <f>IFERROR(INDEX('[4]INFO-Ponderacion'!$S$9:$S$13,
       MATCH(D12,'[4]INFO-Ponderacion'!$C$9:$C$13, 0)),"")</f>
        <v>2.4095999999999997</v>
      </c>
      <c r="H12" s="286"/>
      <c r="I12" s="287"/>
      <c r="J12" s="287"/>
      <c r="K12" s="288"/>
      <c r="L12" s="399"/>
    </row>
    <row r="13" spans="2:13" ht="30" customHeight="1">
      <c r="B13" s="392"/>
      <c r="C13" s="393"/>
      <c r="D13" s="221" t="str">
        <f>IF(D12="", "Seleccionar Area ↑", "Tarifa Electrica ")</f>
        <v xml:space="preserve">Tarifa Electrica </v>
      </c>
      <c r="E13" s="222"/>
      <c r="F13" s="223" t="str">
        <f>IF(D12="","","$/kWh")</f>
        <v>$/kWh</v>
      </c>
      <c r="G13" s="228">
        <f>IF(D12="","",'INFO-Direc'!$G$9)</f>
        <v>5.2613958629577628E-2</v>
      </c>
      <c r="H13" s="384"/>
      <c r="I13" s="384"/>
      <c r="J13" s="384"/>
      <c r="K13" s="384"/>
      <c r="L13" s="399"/>
    </row>
    <row r="14" spans="2:13" ht="30" customHeight="1">
      <c r="B14" s="392"/>
      <c r="C14" s="393"/>
      <c r="D14" s="229" t="str">
        <f>IF(D12="", "Seleccionar Area ↑", "Costo Electrico Fijo de " &amp; D12)</f>
        <v>Costo Electrico Fijo de Ensamble</v>
      </c>
      <c r="E14" s="222"/>
      <c r="F14" s="223" t="str">
        <f>IF(D12="","","$/h")</f>
        <v>$/h</v>
      </c>
      <c r="G14" s="290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0.14482096183241172</v>
      </c>
      <c r="H14" s="385"/>
      <c r="I14" s="386"/>
      <c r="J14" s="386"/>
      <c r="K14" s="387"/>
      <c r="L14" s="399"/>
    </row>
    <row r="15" spans="2:13" ht="30" customHeight="1">
      <c r="B15" s="389"/>
      <c r="C15" s="391"/>
      <c r="D15" s="229" t="s">
        <v>85</v>
      </c>
      <c r="E15" s="230"/>
      <c r="F15" s="223" t="str">
        <f>IF(D12="","","$/h")</f>
        <v>$/h</v>
      </c>
      <c r="G15" s="233"/>
      <c r="H15" s="385"/>
      <c r="I15" s="386"/>
      <c r="J15" s="386"/>
      <c r="K15" s="387"/>
      <c r="L15" s="398"/>
    </row>
    <row r="16" spans="2:13" ht="30" customHeight="1">
      <c r="B16" s="388" t="s">
        <v>90</v>
      </c>
      <c r="C16" s="394" t="s">
        <v>89</v>
      </c>
      <c r="D16" s="232"/>
      <c r="E16" s="222"/>
      <c r="F16" s="223" t="str">
        <f>IF(D16="","","$/L")</f>
        <v/>
      </c>
      <c r="G16" s="228" t="str">
        <f>IFERROR(INDEX('INFO-Direc'!$G$9:$G$25,
       MATCH(D16, 'INFO-Direc'!$D$9:$D$25, 0)),"")</f>
        <v/>
      </c>
      <c r="H16" s="384"/>
      <c r="I16" s="384"/>
      <c r="J16" s="384"/>
      <c r="K16" s="384"/>
      <c r="L16" s="397" t="str">
        <f>IF(AND(D16="", D18=""), "",
    IFERROR(
        IFERROR(G16*G17,0)
        + IFERROR(G18*G19,0)
        + IFERROR(G20,0),
    "")
)</f>
        <v/>
      </c>
    </row>
    <row r="17" spans="2:12" ht="30" customHeight="1">
      <c r="B17" s="392"/>
      <c r="C17" s="395"/>
      <c r="D17" s="221" t="str">
        <f>IF(D16="", "Seleccionar Lubricante ↑", "Consumo de " &amp; D16)</f>
        <v>Seleccionar Lubricante ↑</v>
      </c>
      <c r="E17" s="222"/>
      <c r="F17" s="223" t="str">
        <f>IF(ISERROR(FIND("Seleccionar", D17)), "L/h", "")</f>
        <v/>
      </c>
      <c r="G17" s="234"/>
      <c r="H17" s="384"/>
      <c r="I17" s="384"/>
      <c r="J17" s="384"/>
      <c r="K17" s="384"/>
      <c r="L17" s="399"/>
    </row>
    <row r="18" spans="2:12" ht="30" customHeight="1">
      <c r="B18" s="392"/>
      <c r="C18" s="395"/>
      <c r="D18" s="232"/>
      <c r="E18" s="222"/>
      <c r="F18" s="223" t="str">
        <f>IF(D18="","","$/L")</f>
        <v/>
      </c>
      <c r="G18" s="228" t="str">
        <f>IFERROR(INDEX('INFO-Direc'!$G$9:$G$25,
       MATCH(D18, 'INFO-Direc'!$D$9:$D$25, 0)),"")</f>
        <v/>
      </c>
      <c r="H18" s="385"/>
      <c r="I18" s="386"/>
      <c r="J18" s="386"/>
      <c r="K18" s="387"/>
      <c r="L18" s="399"/>
    </row>
    <row r="19" spans="2:12" ht="30" customHeight="1">
      <c r="B19" s="392"/>
      <c r="C19" s="395"/>
      <c r="D19" s="221" t="str">
        <f>IF(D18="", "Seleccionar Lubricante ↑", "Consumo de " &amp; D18)</f>
        <v>Seleccionar Lubricante ↑</v>
      </c>
      <c r="E19" s="222"/>
      <c r="F19" s="223" t="str">
        <f>IF(ISERROR(FIND("Seleccionar", D19)), "L/h", "")</f>
        <v/>
      </c>
      <c r="G19" s="234"/>
      <c r="H19" s="385"/>
      <c r="I19" s="386"/>
      <c r="J19" s="386"/>
      <c r="K19" s="387"/>
      <c r="L19" s="399"/>
    </row>
    <row r="20" spans="2:12" ht="30" customHeight="1">
      <c r="B20" s="389"/>
      <c r="C20" s="396"/>
      <c r="D20" s="221" t="s">
        <v>85</v>
      </c>
      <c r="E20" s="222"/>
      <c r="F20" s="223" t="str">
        <f>IF(OR(D16&lt;&gt;"", D18&lt;&gt;""), "$/h", "")</f>
        <v/>
      </c>
      <c r="G20" s="233"/>
      <c r="H20" s="384"/>
      <c r="I20" s="384"/>
      <c r="J20" s="384"/>
      <c r="K20" s="384"/>
      <c r="L20" s="398"/>
    </row>
    <row r="21" spans="2:12" ht="30" customHeight="1">
      <c r="B21" s="388" t="s">
        <v>92</v>
      </c>
      <c r="C21" s="390" t="s">
        <v>89</v>
      </c>
      <c r="D21" s="232" t="s">
        <v>138</v>
      </c>
      <c r="E21" s="222"/>
      <c r="F21" s="223" t="str">
        <f>IF(D21="","","kW")</f>
        <v>kW</v>
      </c>
      <c r="G21" s="228">
        <f>IFERROR(INDEX('INFO-Direc'!$G$9:$G$25,
       MATCH(D21, 'INFO-Direc'!$D$9:$D$25, 0)),"")</f>
        <v>56</v>
      </c>
      <c r="H21" s="385"/>
      <c r="I21" s="386"/>
      <c r="J21" s="386"/>
      <c r="K21" s="387"/>
      <c r="L21" s="397">
        <f>IFERROR(G21*G13*G22+G23+G24,"")</f>
        <v>1.8303340099538083</v>
      </c>
    </row>
    <row r="22" spans="2:12" ht="30" customHeight="1">
      <c r="B22" s="392"/>
      <c r="C22" s="393"/>
      <c r="D22" s="221" t="str">
        <f>IF(D21="", "Seleccionar Compresor ↑", "Carga Promedio de Uso de " &amp; D21)</f>
        <v>Carga Promedio de Uso de Compresor</v>
      </c>
      <c r="E22" s="222"/>
      <c r="F22" s="223" t="str">
        <f>IF(ISERROR(FIND("Seleccionar", D22)), "%", "")</f>
        <v>%</v>
      </c>
      <c r="G22" s="289">
        <f>IF(D21="","",IFERROR(
    INDEX('[4]INFO-Consumo'!I:I,
           MATCH(D21, '[4]INFO-Consumo'!D:D, 0)
    ),
""))</f>
        <v>0.6</v>
      </c>
      <c r="H22" s="384"/>
      <c r="I22" s="384"/>
      <c r="J22" s="384"/>
      <c r="K22" s="384"/>
      <c r="L22" s="399"/>
    </row>
    <row r="23" spans="2:12" ht="30" customHeight="1">
      <c r="B23" s="392"/>
      <c r="C23" s="393"/>
      <c r="D23" s="235" t="str">
        <f>IF(D21="", "Seleccionar Compresor ↑", "Costo de Repuestos " &amp; D21)</f>
        <v>Costo de Repuestos Compresor</v>
      </c>
      <c r="E23" s="222"/>
      <c r="F23" s="223" t="str">
        <f>IF(ISERROR(FIND("Seleccionar", D23)), "$/h", "")</f>
        <v>$/h</v>
      </c>
      <c r="G23" s="236">
        <f>IF(D21="","", SUM(IF(ISNUMBER(FIND("Compresor", 'INFO-Mant'!D9:D26)), 'INFO-Mant'!G9:G26 / 'INFO-Mant'!H9:H26, 0)))</f>
        <v>6.2505000000000005E-2</v>
      </c>
      <c r="H23" s="385"/>
      <c r="I23" s="386"/>
      <c r="J23" s="386"/>
      <c r="K23" s="387"/>
      <c r="L23" s="399"/>
    </row>
    <row r="24" spans="2:12" ht="30" customHeight="1">
      <c r="B24" s="389"/>
      <c r="C24" s="391"/>
      <c r="D24" s="221" t="s">
        <v>85</v>
      </c>
      <c r="E24" s="222"/>
      <c r="F24" s="223" t="str">
        <f>IF(D21="","","$/h")</f>
        <v>$/h</v>
      </c>
      <c r="G24" s="233"/>
      <c r="H24" s="384"/>
      <c r="I24" s="384"/>
      <c r="J24" s="384"/>
      <c r="K24" s="384"/>
      <c r="L24" s="398"/>
    </row>
    <row r="25" spans="2:12" ht="30" customHeight="1">
      <c r="B25" s="388" t="s">
        <v>94</v>
      </c>
      <c r="C25" s="390" t="s">
        <v>89</v>
      </c>
      <c r="D25" s="232"/>
      <c r="E25" s="222"/>
      <c r="F25" s="223" t="str">
        <f>IF(D25="","","$/L")</f>
        <v/>
      </c>
      <c r="G25" s="228" t="str">
        <f>IFERROR(INDEX('INFO-Direc'!$G$9:$G$25,
       MATCH(D25, 'INFO-Direc'!$D$9:$D$25, 0)),"")</f>
        <v/>
      </c>
      <c r="H25" s="384"/>
      <c r="I25" s="384"/>
      <c r="J25" s="384"/>
      <c r="K25" s="384"/>
      <c r="L25" s="381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92"/>
      <c r="C26" s="393"/>
      <c r="D26" s="221" t="str">
        <f>IF(D25="", "Seleccionar Refrigerante ↑", "Consumo de " &amp; D25)</f>
        <v>Seleccionar Refrigerante ↑</v>
      </c>
      <c r="E26" s="222"/>
      <c r="F26" s="223" t="str">
        <f>IF(ISERROR(FIND("Seleccionar", D26)), "L/Año", "")</f>
        <v/>
      </c>
      <c r="G26" s="238"/>
      <c r="H26" s="384"/>
      <c r="I26" s="384"/>
      <c r="J26" s="384"/>
      <c r="K26" s="384"/>
      <c r="L26" s="382"/>
    </row>
    <row r="27" spans="2:12" ht="30" customHeight="1">
      <c r="B27" s="392"/>
      <c r="C27" s="393"/>
      <c r="D27" s="232"/>
      <c r="E27" s="222"/>
      <c r="F27" s="223" t="str">
        <f>IF(D27="","","$/L")</f>
        <v/>
      </c>
      <c r="G27" s="228" t="str">
        <f>IFERROR(INDEX('INFO-Direc'!$G$9:$G$25,
       MATCH(D27, 'INFO-Direc'!$D$9:$D$25, 0)),"")</f>
        <v/>
      </c>
      <c r="H27" s="385"/>
      <c r="I27" s="386"/>
      <c r="J27" s="386"/>
      <c r="K27" s="387"/>
      <c r="L27" s="382"/>
    </row>
    <row r="28" spans="2:12" ht="30" customHeight="1">
      <c r="B28" s="392"/>
      <c r="C28" s="393"/>
      <c r="D28" s="221" t="str">
        <f>IF(D27="", "Seleccionar Refrigerante ↑", "Consumo de " &amp; D27)</f>
        <v>Seleccionar Refrigerante ↑</v>
      </c>
      <c r="E28" s="222"/>
      <c r="F28" s="223" t="str">
        <f>IF(ISERROR(FIND("Seleccionar", D28)), "L/Año", "")</f>
        <v/>
      </c>
      <c r="G28" s="239"/>
      <c r="H28" s="385"/>
      <c r="I28" s="386"/>
      <c r="J28" s="386"/>
      <c r="K28" s="387"/>
      <c r="L28" s="382"/>
    </row>
    <row r="29" spans="2:12" ht="30" customHeight="1">
      <c r="B29" s="389"/>
      <c r="C29" s="391"/>
      <c r="D29" s="221" t="s">
        <v>85</v>
      </c>
      <c r="E29" s="222"/>
      <c r="F29" s="223" t="str">
        <f>IF(OR(D25&lt;&gt;"", D27&lt;&gt;""), "$/h", "")</f>
        <v/>
      </c>
      <c r="G29" s="233"/>
      <c r="H29" s="384"/>
      <c r="I29" s="384"/>
      <c r="J29" s="384"/>
      <c r="K29" s="384"/>
      <c r="L29" s="383"/>
    </row>
    <row r="30" spans="2:12" s="152" customFormat="1" ht="30" customHeight="1">
      <c r="B30" s="388" t="s">
        <v>168</v>
      </c>
      <c r="C30" s="394" t="s">
        <v>89</v>
      </c>
      <c r="D30" s="232"/>
      <c r="E30" s="222"/>
      <c r="F30" s="223" t="str">
        <f>IF(D30="","","$/L")</f>
        <v/>
      </c>
      <c r="G30" s="228" t="str">
        <f>IFERROR(INDEX('INFO-Direc'!$G$9:$G$25,
       MATCH(D30, 'INFO-Direc'!$D$9:$D$25, 0)),"")</f>
        <v/>
      </c>
      <c r="H30" s="384"/>
      <c r="I30" s="384"/>
      <c r="J30" s="384"/>
      <c r="K30" s="384"/>
      <c r="L30" s="381" t="str">
        <f>IF(
    AND(D30="", D32=""),
    "",
    IFERROR(
        IFERROR(G30 / (INDEX('INFO-OEE'!$E$18:$CA$18,
                               MATCH(#REF!, 'INFO-OEE'!$E$9:$CA$9, 0)) * 12), 0)
        * G31
        +
        IFERROR(G32 / (INDEX('INFO-OEE'!$E$18:$CA$18,
                               MATCH(#REF!, 'INFO-OEE'!$E$9:$CA$9, 0)) * 12), 0)
        * G33
        +
        IFERROR(G34, 0),
    "")
)</f>
        <v/>
      </c>
    </row>
    <row r="31" spans="2:12" s="152" customFormat="1" ht="30" customHeight="1">
      <c r="B31" s="392"/>
      <c r="C31" s="395"/>
      <c r="D31" s="221" t="str">
        <f>IF(D30="", "Seleccionar Solvente ↑", "Consumo de " &amp; D30)</f>
        <v>Seleccionar Solvente ↑</v>
      </c>
      <c r="E31" s="222"/>
      <c r="F31" s="223" t="str">
        <f>IF(ISERROR(FIND("Seleccionar", D31)), "L/Año", "")</f>
        <v/>
      </c>
      <c r="G31" s="234"/>
      <c r="H31" s="384"/>
      <c r="I31" s="384"/>
      <c r="J31" s="384"/>
      <c r="K31" s="384"/>
      <c r="L31" s="382"/>
    </row>
    <row r="32" spans="2:12" s="152" customFormat="1" ht="30" customHeight="1">
      <c r="B32" s="392"/>
      <c r="C32" s="395"/>
      <c r="D32" s="232"/>
      <c r="E32" s="222"/>
      <c r="F32" s="223" t="str">
        <f>IF(D32="","","$/L")</f>
        <v/>
      </c>
      <c r="G32" s="228" t="str">
        <f>IFERROR(INDEX('INFO-Direc'!$G$9:$G$25,
       MATCH(D32, 'INFO-Direc'!$D$9:$D$25, 0)),"")</f>
        <v/>
      </c>
      <c r="H32" s="385"/>
      <c r="I32" s="386"/>
      <c r="J32" s="386"/>
      <c r="K32" s="387"/>
      <c r="L32" s="382"/>
    </row>
    <row r="33" spans="2:12" s="152" customFormat="1" ht="30" customHeight="1">
      <c r="B33" s="392"/>
      <c r="C33" s="395"/>
      <c r="D33" s="221" t="str">
        <f>IF(D32="", "Seleccionar Solvente ↑", "Consumo de " &amp; D32)</f>
        <v>Seleccionar Solvente ↑</v>
      </c>
      <c r="E33" s="222"/>
      <c r="F33" s="223" t="str">
        <f>IF(ISERROR(FIND("Seleccionar", D33)), "L/Año", "")</f>
        <v/>
      </c>
      <c r="G33" s="234"/>
      <c r="H33" s="385"/>
      <c r="I33" s="386"/>
      <c r="J33" s="386"/>
      <c r="K33" s="387"/>
      <c r="L33" s="382"/>
    </row>
    <row r="34" spans="2:12" s="152" customFormat="1" ht="30" customHeight="1">
      <c r="B34" s="389"/>
      <c r="C34" s="396"/>
      <c r="D34" s="221" t="s">
        <v>85</v>
      </c>
      <c r="E34" s="222"/>
      <c r="F34" s="223" t="str">
        <f>IF(OR(D30&lt;&gt;"", D32&lt;&gt;""), "$/h", "")</f>
        <v/>
      </c>
      <c r="G34" s="233"/>
      <c r="H34" s="384"/>
      <c r="I34" s="384"/>
      <c r="J34" s="384"/>
      <c r="K34" s="384"/>
      <c r="L34" s="383"/>
    </row>
    <row r="35" spans="2:12" ht="30" customHeight="1">
      <c r="B35" s="388" t="s">
        <v>100</v>
      </c>
      <c r="C35" s="390" t="s">
        <v>89</v>
      </c>
      <c r="D35" s="221" t="str">
        <f>IF(D12="", "Seleccionar Area ↑", "Costo de Operarios")</f>
        <v>Costo de Operarios</v>
      </c>
      <c r="E35" s="222"/>
      <c r="F35" s="223" t="str">
        <f>IF(D12="","","$/mes")</f>
        <v>$/mes</v>
      </c>
      <c r="G35" s="237">
        <f>IF(D12="","",IFERROR(
    INDEX('INFO-Personal'!$E$26:$CA$26,
           MATCH($C$3, 'INFO-Personal'!$E$9:$CA$9, 0)
    ),
""))</f>
        <v>710.55480696864117</v>
      </c>
      <c r="H35" s="384"/>
      <c r="I35" s="384"/>
      <c r="J35" s="384"/>
      <c r="K35" s="384"/>
      <c r="L35" s="397">
        <f>IFERROR(
    (G35 / INDEX('INFO-OEE'!$E$18:$CA$18,
                  MATCH($C$3, 'INFO-OEE'!$E$9:$CA$9, 0)))
    + G36,
"")</f>
        <v>5.046554026765917</v>
      </c>
    </row>
    <row r="36" spans="2:12" ht="30" customHeight="1">
      <c r="B36" s="389"/>
      <c r="C36" s="391"/>
      <c r="D36" s="221" t="s">
        <v>85</v>
      </c>
      <c r="E36" s="222"/>
      <c r="F36" s="223" t="str">
        <f>IF(D12="","","$/h")</f>
        <v>$/h</v>
      </c>
      <c r="G36" s="240"/>
      <c r="H36" s="384"/>
      <c r="I36" s="384"/>
      <c r="J36" s="384"/>
      <c r="K36" s="384"/>
      <c r="L36" s="398"/>
    </row>
    <row r="37" spans="2:12" ht="30" customHeight="1">
      <c r="B37" s="241"/>
      <c r="C37" s="242"/>
      <c r="D37" s="243"/>
      <c r="E37" s="242"/>
      <c r="F37" s="244"/>
      <c r="G37" s="245"/>
      <c r="H37" s="409"/>
      <c r="I37" s="409"/>
      <c r="J37" s="409"/>
      <c r="K37" s="409"/>
      <c r="L37" s="246"/>
    </row>
    <row r="38" spans="2:12" ht="30" customHeight="1">
      <c r="B38" s="388" t="s">
        <v>16</v>
      </c>
      <c r="C38" s="390" t="s">
        <v>69</v>
      </c>
      <c r="D38" s="221" t="str">
        <f>IF(D12="", "Seleccionar Area ↑", "Costo de Supervisores")</f>
        <v>Costo de Supervisores</v>
      </c>
      <c r="E38" s="222"/>
      <c r="F38" s="247" t="str">
        <f>IF(D12="","","$/mes")</f>
        <v>$/mes</v>
      </c>
      <c r="G38" s="237">
        <f>IF(D12="","",IFERROR(
    INDEX('INFO-Personal'!$E$27:$CA$27,
           MATCH($C$3, 'INFO-Personal'!$E$9:$CA$9, 0)
    ),
""))</f>
        <v>51.241933194853928</v>
      </c>
      <c r="H38" s="385"/>
      <c r="I38" s="386"/>
      <c r="J38" s="386"/>
      <c r="K38" s="387"/>
      <c r="L38" s="397">
        <f>IFERROR(
    (G38 / INDEX('INFO-OEE'!$E$18:$CA$18,
                  MATCH($C$3, 'INFO-OEE'!$E$9:$CA$9, 0)))
    + G39,
"")</f>
        <v>0.36393418462254207</v>
      </c>
    </row>
    <row r="39" spans="2:12" ht="30" customHeight="1">
      <c r="B39" s="392"/>
      <c r="C39" s="393"/>
      <c r="D39" s="221" t="s">
        <v>85</v>
      </c>
      <c r="E39" s="222"/>
      <c r="F39" s="223" t="str">
        <f>IF(D12="","","$/h")</f>
        <v>$/h</v>
      </c>
      <c r="G39" s="240"/>
      <c r="H39" s="385"/>
      <c r="I39" s="386"/>
      <c r="J39" s="386"/>
      <c r="K39" s="387"/>
      <c r="L39" s="399"/>
    </row>
    <row r="40" spans="2:12" ht="30" customHeight="1">
      <c r="B40" s="388" t="s">
        <v>101</v>
      </c>
      <c r="C40" s="390" t="s">
        <v>69</v>
      </c>
      <c r="D40" s="221" t="str">
        <f>IF(D12="", "Seleccionar Area ↑", "Costo de Mant. Preventivo")</f>
        <v>Costo de Mant. Preventivo</v>
      </c>
      <c r="E40" s="222"/>
      <c r="F40" s="247" t="str">
        <f>IF(D12="","","$/mes")</f>
        <v>$/mes</v>
      </c>
      <c r="G40" s="237">
        <f>IF(D12="","",IFERROR(
    INDEX('INFO-Personal'!$E$28:$CA$28,
           MATCH($C$3, 'INFO-Personal'!$E$9:$CA$9, 0)
    ),
""))</f>
        <v>3.4161288796569287</v>
      </c>
      <c r="H40" s="385"/>
      <c r="I40" s="386"/>
      <c r="J40" s="386"/>
      <c r="K40" s="387"/>
      <c r="L40" s="397">
        <f>IF(D12="","",SUM(
    IFERROR((G40+G41) / INDEX('INFO-OEE'!$E$18:$CA$18, MATCH(C3, 'INFO-OEE'!$E$9:$CA$9, 0)), 0),
    IFERROR(G42 / G43, 0),
    IFERROR(G44 / G45, 0),
    IFERROR(G46 / G47, 0),
    IFERROR(G48, 0)
))</f>
        <v>0.27449741271484929</v>
      </c>
    </row>
    <row r="41" spans="2:12" ht="30" customHeight="1">
      <c r="B41" s="392"/>
      <c r="C41" s="393"/>
      <c r="D41" s="221" t="str">
        <f>IF(D12="", "Seleccionar Area ↑", "Costo de Mant. Correctivo")</f>
        <v>Costo de Mant. Correctivo</v>
      </c>
      <c r="E41" s="222"/>
      <c r="F41" s="247" t="str">
        <f>IF(D12="","","$/mes")</f>
        <v>$/mes</v>
      </c>
      <c r="G41" s="237">
        <f>IF(D12="","",IFERROR(
    INDEX('INFO-Personal'!$E$29:$CA$29,
           MATCH($C$3, 'INFO-Personal'!$E$9:$CA$9, 0)
    ),
""))</f>
        <v>35.233106830593854</v>
      </c>
      <c r="H41" s="385"/>
      <c r="I41" s="386"/>
      <c r="J41" s="386"/>
      <c r="K41" s="387"/>
      <c r="L41" s="399"/>
    </row>
    <row r="42" spans="2:12" ht="30" customHeight="1">
      <c r="B42" s="392"/>
      <c r="C42" s="393"/>
      <c r="D42" s="232"/>
      <c r="E42" s="222"/>
      <c r="F42" s="223" t="str">
        <f>IF(D42="","","$/u")</f>
        <v/>
      </c>
      <c r="G42" s="237" t="str">
        <f>IFERROR(INDEX('INFO-Mant'!$G$9:$G$26,
       MATCH(D42, 'INFO-Mant'!$D$9:$D$26, 0)),"")</f>
        <v/>
      </c>
      <c r="H42" s="385"/>
      <c r="I42" s="386"/>
      <c r="J42" s="386"/>
      <c r="K42" s="387"/>
      <c r="L42" s="399"/>
    </row>
    <row r="43" spans="2:12" ht="30" customHeight="1">
      <c r="B43" s="392"/>
      <c r="C43" s="393"/>
      <c r="D43" s="221" t="str">
        <f>IF(D42="", "Seleccionar Repuesto ↑", "Vida Util de " &amp; D42)</f>
        <v>Seleccionar Repuesto ↑</v>
      </c>
      <c r="E43" s="222"/>
      <c r="F43" s="223" t="str">
        <f>IF(ISERROR(FIND("Seleccionar", D43)), "Horas/u", "")</f>
        <v/>
      </c>
      <c r="G43" s="238"/>
      <c r="H43" s="385"/>
      <c r="I43" s="386"/>
      <c r="J43" s="386"/>
      <c r="K43" s="387"/>
      <c r="L43" s="399"/>
    </row>
    <row r="44" spans="2:12" ht="30" customHeight="1">
      <c r="B44" s="392"/>
      <c r="C44" s="393"/>
      <c r="D44" s="232"/>
      <c r="E44" s="222"/>
      <c r="F44" s="223" t="str">
        <f>IF(D44="","","$/u")</f>
        <v/>
      </c>
      <c r="G44" s="237" t="str">
        <f>IFERROR(INDEX('INFO-Mant'!$G$9:$G$26,
       MATCH(D44, 'INFO-Mant'!$D$9:$D$26, 0)),"")</f>
        <v/>
      </c>
      <c r="H44" s="385"/>
      <c r="I44" s="386"/>
      <c r="J44" s="386"/>
      <c r="K44" s="387"/>
      <c r="L44" s="399"/>
    </row>
    <row r="45" spans="2:12" ht="30" customHeight="1">
      <c r="B45" s="392"/>
      <c r="C45" s="393"/>
      <c r="D45" s="221" t="str">
        <f>IF(D44="", "Seleccionar Repuesto ↑", "Vida Util de " &amp; D44)</f>
        <v>Seleccionar Repuesto ↑</v>
      </c>
      <c r="E45" s="222"/>
      <c r="F45" s="223" t="str">
        <f>IF(ISERROR(FIND("Seleccionar", D45)), "Horas/u", "")</f>
        <v/>
      </c>
      <c r="G45" s="238"/>
      <c r="H45" s="385"/>
      <c r="I45" s="386"/>
      <c r="J45" s="386"/>
      <c r="K45" s="387"/>
      <c r="L45" s="399"/>
    </row>
    <row r="46" spans="2:12" ht="30" customHeight="1">
      <c r="B46" s="392"/>
      <c r="C46" s="393"/>
      <c r="D46" s="232"/>
      <c r="E46" s="222"/>
      <c r="F46" s="223" t="str">
        <f>IF(D46="","","$/u")</f>
        <v/>
      </c>
      <c r="G46" s="237" t="str">
        <f>IFERROR(INDEX('INFO-Mant'!$G$9:$G$26,
       MATCH(D46, 'INFO-Mant'!$D$9:$D$26, 0)),"")</f>
        <v/>
      </c>
      <c r="H46" s="385"/>
      <c r="I46" s="386"/>
      <c r="J46" s="386"/>
      <c r="K46" s="387"/>
      <c r="L46" s="399"/>
    </row>
    <row r="47" spans="2:12" ht="33.75" customHeight="1">
      <c r="B47" s="392"/>
      <c r="C47" s="393"/>
      <c r="D47" s="221" t="str">
        <f>IF(D46="", "Seleccionar Repuesto ↑", "Vida Util de " &amp; D46)</f>
        <v>Seleccionar Repuesto ↑</v>
      </c>
      <c r="E47" s="222"/>
      <c r="F47" s="223" t="str">
        <f>IF(ISERROR(FIND("Seleccionar", D47)), "Horas/u", "")</f>
        <v/>
      </c>
      <c r="G47" s="240"/>
      <c r="H47" s="385"/>
      <c r="I47" s="386"/>
      <c r="J47" s="386"/>
      <c r="K47" s="387"/>
      <c r="L47" s="399"/>
    </row>
    <row r="48" spans="2:12" ht="30" customHeight="1">
      <c r="B48" s="389"/>
      <c r="C48" s="391"/>
      <c r="D48" s="221" t="s">
        <v>85</v>
      </c>
      <c r="E48" s="222"/>
      <c r="F48" s="223" t="str">
        <f>IF(D12="","","$/h")</f>
        <v>$/h</v>
      </c>
      <c r="G48" s="240"/>
      <c r="H48" s="385"/>
      <c r="I48" s="386"/>
      <c r="J48" s="386"/>
      <c r="K48" s="387"/>
      <c r="L48" s="398"/>
    </row>
    <row r="49" spans="2:12" ht="30" customHeight="1">
      <c r="B49" s="248"/>
      <c r="C49" s="249"/>
      <c r="D49" s="250"/>
      <c r="E49" s="249"/>
      <c r="F49" s="251"/>
      <c r="G49" s="252"/>
      <c r="H49" s="249"/>
      <c r="I49" s="249"/>
      <c r="J49" s="249"/>
      <c r="K49" s="249"/>
      <c r="L49" s="253"/>
    </row>
    <row r="50" spans="2:12" ht="30" customHeight="1">
      <c r="B50" s="388" t="s">
        <v>102</v>
      </c>
      <c r="C50" s="394" t="s">
        <v>103</v>
      </c>
      <c r="D50" s="232"/>
      <c r="E50" s="222"/>
      <c r="F50" s="223" t="str">
        <f>IF(D50="","","$/h")</f>
        <v/>
      </c>
      <c r="G50" s="23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410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410"/>
      <c r="J50" s="410"/>
      <c r="K50" s="410"/>
      <c r="L50" s="255" t="str">
        <f ca="1">G50</f>
        <v/>
      </c>
    </row>
    <row r="51" spans="2:12" ht="30" customHeight="1">
      <c r="B51" s="392"/>
      <c r="C51" s="395"/>
      <c r="D51" s="232"/>
      <c r="E51" s="254"/>
      <c r="F51" s="223" t="str">
        <f>IF(D51="","","$/h")</f>
        <v/>
      </c>
      <c r="G51" s="23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410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410"/>
      <c r="J51" s="410"/>
      <c r="K51" s="410"/>
      <c r="L51" s="255" t="str">
        <f ca="1">G51</f>
        <v/>
      </c>
    </row>
    <row r="52" spans="2:12" ht="30" customHeight="1">
      <c r="B52" s="392"/>
      <c r="C52" s="395"/>
      <c r="D52" s="232"/>
      <c r="E52" s="222"/>
      <c r="F52" s="223" t="str">
        <f t="shared" ref="F52:F54" si="0">IF(D52="","","$/h")</f>
        <v/>
      </c>
      <c r="G52" s="23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410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410"/>
      <c r="J52" s="410"/>
      <c r="K52" s="410"/>
      <c r="L52" s="255" t="str">
        <f ca="1">G52</f>
        <v/>
      </c>
    </row>
    <row r="53" spans="2:12" ht="30" customHeight="1">
      <c r="B53" s="392"/>
      <c r="C53" s="395"/>
      <c r="D53" s="232"/>
      <c r="E53" s="222"/>
      <c r="F53" s="223" t="str">
        <f t="shared" si="0"/>
        <v/>
      </c>
      <c r="G53" s="23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410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410"/>
      <c r="J53" s="410"/>
      <c r="K53" s="410"/>
      <c r="L53" s="255" t="str">
        <f ca="1">G53</f>
        <v/>
      </c>
    </row>
    <row r="54" spans="2:12" ht="30" customHeight="1">
      <c r="B54" s="389"/>
      <c r="C54" s="396"/>
      <c r="D54" s="232"/>
      <c r="E54" s="222"/>
      <c r="F54" s="223" t="str">
        <f t="shared" si="0"/>
        <v/>
      </c>
      <c r="G54" s="23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410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410"/>
      <c r="J54" s="410"/>
      <c r="K54" s="410"/>
      <c r="L54" s="255" t="str">
        <f ca="1">G54</f>
        <v/>
      </c>
    </row>
    <row r="55" spans="2:12" ht="30" customHeight="1">
      <c r="B55" s="146"/>
      <c r="C55" s="147"/>
      <c r="D55" s="411"/>
      <c r="E55" s="411"/>
      <c r="F55" s="30"/>
      <c r="G55" s="30"/>
      <c r="H55" s="149"/>
      <c r="I55" s="149"/>
      <c r="J55" s="149"/>
      <c r="K55" s="30"/>
      <c r="L55" s="145"/>
    </row>
    <row r="56" spans="2:12" ht="30" customHeight="1" thickBot="1">
      <c r="B56" s="153" t="s">
        <v>39</v>
      </c>
      <c r="C56" s="330"/>
      <c r="D56" s="330"/>
      <c r="E56" s="154" t="s">
        <v>23</v>
      </c>
      <c r="F56" s="368"/>
      <c r="G56" s="368"/>
      <c r="H56" s="141"/>
      <c r="I56" s="141"/>
      <c r="J56" s="141"/>
      <c r="K56" s="256"/>
      <c r="L56" s="257"/>
    </row>
    <row r="57" spans="2:12" ht="30" customHeight="1" thickBot="1">
      <c r="B57" s="155"/>
      <c r="C57" s="156"/>
      <c r="D57" s="156"/>
      <c r="E57" s="156"/>
      <c r="F57" s="378"/>
      <c r="G57" s="378"/>
      <c r="H57" s="157"/>
      <c r="I57" s="157"/>
      <c r="J57" s="157"/>
      <c r="K57" s="258" t="s">
        <v>106</v>
      </c>
      <c r="L57" s="259">
        <f ca="1">IFERROR(SUM(L19:L54),"")</f>
        <v>7.515319634057116</v>
      </c>
    </row>
    <row r="59" spans="2:12" ht="30" customHeight="1">
      <c r="C59" s="117"/>
    </row>
  </sheetData>
  <sheetProtection selectLockedCells="1"/>
  <mergeCells count="80">
    <mergeCell ref="F57:G57"/>
    <mergeCell ref="B50:B54"/>
    <mergeCell ref="C50:C54"/>
    <mergeCell ref="H53:K53"/>
    <mergeCell ref="H54:K54"/>
    <mergeCell ref="D55:E55"/>
    <mergeCell ref="C56:D56"/>
    <mergeCell ref="F56:G56"/>
    <mergeCell ref="B38:B39"/>
    <mergeCell ref="C38:C39"/>
    <mergeCell ref="H50:K50"/>
    <mergeCell ref="H51:K51"/>
    <mergeCell ref="H52:K52"/>
    <mergeCell ref="B40:B48"/>
    <mergeCell ref="C40:C48"/>
    <mergeCell ref="H39:K39"/>
    <mergeCell ref="H40:K40"/>
    <mergeCell ref="H41:K41"/>
    <mergeCell ref="H42:K42"/>
    <mergeCell ref="H37:K37"/>
    <mergeCell ref="H38:K38"/>
    <mergeCell ref="L40:L48"/>
    <mergeCell ref="H44:K44"/>
    <mergeCell ref="H45:K45"/>
    <mergeCell ref="H46:K46"/>
    <mergeCell ref="H47:K47"/>
    <mergeCell ref="H48:K48"/>
    <mergeCell ref="H43:K43"/>
    <mergeCell ref="L38:L39"/>
    <mergeCell ref="C3:D3"/>
    <mergeCell ref="F3:G3"/>
    <mergeCell ref="C6:D6"/>
    <mergeCell ref="F6:G6"/>
    <mergeCell ref="C7:D7"/>
    <mergeCell ref="F7:G7"/>
    <mergeCell ref="H9:K9"/>
    <mergeCell ref="H10:K10"/>
    <mergeCell ref="H11:K11"/>
    <mergeCell ref="B10:B15"/>
    <mergeCell ref="C10:C15"/>
    <mergeCell ref="L10:L15"/>
    <mergeCell ref="H13:K13"/>
    <mergeCell ref="H15:K15"/>
    <mergeCell ref="H16:K16"/>
    <mergeCell ref="H17:K17"/>
    <mergeCell ref="H14:K14"/>
    <mergeCell ref="B16:B20"/>
    <mergeCell ref="C16:C20"/>
    <mergeCell ref="B21:B24"/>
    <mergeCell ref="C21:C24"/>
    <mergeCell ref="L16:L20"/>
    <mergeCell ref="H20:K20"/>
    <mergeCell ref="H18:K18"/>
    <mergeCell ref="H19:K19"/>
    <mergeCell ref="L21:L24"/>
    <mergeCell ref="H23:K23"/>
    <mergeCell ref="H24:K24"/>
    <mergeCell ref="H21:K21"/>
    <mergeCell ref="H22:K22"/>
    <mergeCell ref="H35:K35"/>
    <mergeCell ref="H36:K36"/>
    <mergeCell ref="L30:L34"/>
    <mergeCell ref="H34:K34"/>
    <mergeCell ref="L35:L36"/>
    <mergeCell ref="H33:K33"/>
    <mergeCell ref="H30:K30"/>
    <mergeCell ref="H31:K31"/>
    <mergeCell ref="H32:K32"/>
    <mergeCell ref="B35:B36"/>
    <mergeCell ref="C35:C36"/>
    <mergeCell ref="B25:B29"/>
    <mergeCell ref="C25:C29"/>
    <mergeCell ref="B30:B34"/>
    <mergeCell ref="C30:C34"/>
    <mergeCell ref="L25:L29"/>
    <mergeCell ref="H29:K29"/>
    <mergeCell ref="H28:K28"/>
    <mergeCell ref="H25:K25"/>
    <mergeCell ref="H26:K26"/>
    <mergeCell ref="H27:K27"/>
  </mergeCells>
  <dataValidations count="9">
    <dataValidation allowBlank="1" showInputMessage="1" showErrorMessage="1" prompt="Escriba comentarios en las celdas de la derecha." sqref="C59"/>
    <dataValidation type="list" allowBlank="1" showInputMessage="1" showErrorMessage="1" sqref="D51:D54">
      <formula1>Herramientas_Ensamble</formula1>
    </dataValidation>
    <dataValidation type="list" allowBlank="1" showInputMessage="1" showErrorMessage="1" sqref="D10 D50">
      <formula1>Maquinaria_Ensamble</formula1>
    </dataValidation>
    <dataValidation type="list" allowBlank="1" showInputMessage="1" showErrorMessage="1" sqref="D42 D44 D46">
      <formula1>Repuestos_Ensamble</formula1>
    </dataValidation>
    <dataValidation type="list" allowBlank="1" showInputMessage="1" showErrorMessage="1" sqref="D30 D32">
      <formula1>Solvente_Ensamble</formula1>
    </dataValidation>
    <dataValidation type="list" allowBlank="1" showInputMessage="1" showErrorMessage="1" sqref="D25 D27">
      <formula1>Refrigerantes_Ensamble</formula1>
    </dataValidation>
    <dataValidation type="list" allowBlank="1" showInputMessage="1" showErrorMessage="1" sqref="D21">
      <formula1>AireComprimido_Ensamble</formula1>
    </dataValidation>
    <dataValidation type="list" allowBlank="1" showInputMessage="1" showErrorMessage="1" sqref="D16 D18">
      <formula1>Lubricantes_Ensamble</formula1>
    </dataValidation>
    <dataValidation type="list" allowBlank="1" showInputMessage="1" showErrorMessage="1" sqref="D12">
      <formula1>Areas_Ensamble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54</xdr:row>
                    <xdr:rowOff>333375</xdr:rowOff>
                  </from>
                  <to>
                    <xdr:col>1</xdr:col>
                    <xdr:colOff>1762125</xdr:colOff>
                    <xdr:row>55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7">
    <tabColor rgb="FF0070C0"/>
    <pageSetUpPr autoPageBreaks="0" fitToPage="1"/>
  </sheetPr>
  <dimension ref="B1:M59"/>
  <sheetViews>
    <sheetView showGridLines="0" topLeftCell="A22" zoomScale="80" zoomScaleNormal="80" workbookViewId="0">
      <selection activeCell="H13" sqref="H13:K13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3.140625" style="80" bestFit="1" customWidth="1"/>
    <col min="5" max="5" width="20.5703125" style="80" customWidth="1"/>
    <col min="6" max="6" width="16.5703125" style="80" bestFit="1" customWidth="1"/>
    <col min="7" max="7" width="19.7109375" style="80" bestFit="1" customWidth="1"/>
    <col min="8" max="8" width="15.28515625" style="80" customWidth="1"/>
    <col min="9" max="10" width="17" style="80" customWidth="1"/>
    <col min="11" max="11" width="28.42578125" style="80" customWidth="1"/>
    <col min="12" max="12" width="20.7109375" style="80" customWidth="1"/>
    <col min="13" max="13" width="2.7109375" style="80" customWidth="1"/>
    <col min="14" max="16384" width="9.140625" style="80"/>
  </cols>
  <sheetData>
    <row r="1" spans="2:13" ht="12" customHeight="1" thickBot="1"/>
    <row r="2" spans="2:13" ht="30" customHeight="1">
      <c r="B2" s="126" t="s">
        <v>95</v>
      </c>
      <c r="C2" s="127"/>
      <c r="D2" s="128"/>
      <c r="E2" s="128"/>
      <c r="F2" s="128"/>
      <c r="G2" s="128"/>
      <c r="H2" s="128"/>
      <c r="I2" s="128"/>
      <c r="J2" s="128"/>
      <c r="K2" s="128"/>
      <c r="L2" s="129"/>
    </row>
    <row r="3" spans="2:13" ht="30" customHeight="1">
      <c r="B3" s="130" t="s">
        <v>96</v>
      </c>
      <c r="C3" s="406" t="s">
        <v>118</v>
      </c>
      <c r="D3" s="406"/>
      <c r="E3" s="125" t="s">
        <v>3</v>
      </c>
      <c r="F3" s="356">
        <f ca="1">TODAY()</f>
        <v>46020</v>
      </c>
      <c r="G3" s="356"/>
      <c r="H3" s="125" t="s">
        <v>61</v>
      </c>
      <c r="I3" s="162">
        <f>'INFO-Direc'!H3</f>
        <v>1445</v>
      </c>
      <c r="J3" s="131"/>
      <c r="K3" s="132"/>
      <c r="L3" s="133"/>
      <c r="M3" s="134"/>
    </row>
    <row r="4" spans="2:13" ht="30" customHeight="1">
      <c r="B4" s="130" t="s">
        <v>97</v>
      </c>
      <c r="C4" s="160">
        <f>IFERROR(INDEX('INFO-OEE'!E17:CL17,
       MATCH(C3, 'INFO-OEE'!E9:CL9, 0)),"")</f>
        <v>0.8</v>
      </c>
      <c r="D4" s="135"/>
      <c r="E4" s="136"/>
      <c r="F4" s="136"/>
      <c r="G4" s="136"/>
      <c r="H4" s="125"/>
      <c r="I4" s="137"/>
      <c r="J4" s="131"/>
      <c r="K4" s="132"/>
      <c r="L4" s="138"/>
      <c r="M4" s="89"/>
    </row>
    <row r="5" spans="2:13" ht="30" customHeight="1">
      <c r="B5" s="139" t="s">
        <v>4</v>
      </c>
      <c r="C5" s="140"/>
      <c r="D5" s="141"/>
      <c r="E5" s="141"/>
      <c r="F5" s="141"/>
      <c r="G5" s="141"/>
      <c r="H5" s="141"/>
      <c r="I5" s="141"/>
      <c r="J5" s="141"/>
      <c r="K5" s="141"/>
      <c r="L5" s="142"/>
    </row>
    <row r="6" spans="2:13" ht="30" customHeight="1">
      <c r="B6" s="143" t="s">
        <v>5</v>
      </c>
      <c r="C6" s="407" t="s">
        <v>205</v>
      </c>
      <c r="D6" s="407"/>
      <c r="E6" s="144" t="s">
        <v>6</v>
      </c>
      <c r="F6" s="407"/>
      <c r="G6" s="407"/>
      <c r="H6" s="141"/>
      <c r="I6" s="141"/>
      <c r="J6" s="141"/>
      <c r="K6" s="30"/>
      <c r="L6" s="145"/>
    </row>
    <row r="7" spans="2:13" ht="30" customHeight="1">
      <c r="B7" s="143" t="s">
        <v>7</v>
      </c>
      <c r="C7" s="407" t="s">
        <v>206</v>
      </c>
      <c r="D7" s="407"/>
      <c r="E7" s="144" t="s">
        <v>62</v>
      </c>
      <c r="F7" s="408"/>
      <c r="G7" s="408"/>
      <c r="H7" s="141"/>
      <c r="I7" s="141"/>
      <c r="J7" s="141"/>
      <c r="K7" s="30"/>
      <c r="L7" s="145"/>
    </row>
    <row r="8" spans="2:13" ht="30" customHeight="1" thickBot="1">
      <c r="B8" s="146"/>
      <c r="C8" s="147"/>
      <c r="D8" s="148"/>
      <c r="E8" s="148"/>
      <c r="F8" s="30"/>
      <c r="G8" s="30"/>
      <c r="H8" s="149"/>
      <c r="I8" s="149"/>
      <c r="J8" s="149"/>
      <c r="K8" s="30"/>
      <c r="L8" s="145"/>
    </row>
    <row r="9" spans="2:13" ht="30" customHeight="1" thickBot="1">
      <c r="B9" s="67" t="s">
        <v>9</v>
      </c>
      <c r="C9" s="190" t="s">
        <v>63</v>
      </c>
      <c r="D9" s="190" t="s">
        <v>64</v>
      </c>
      <c r="E9" s="190" t="s">
        <v>65</v>
      </c>
      <c r="F9" s="190" t="s">
        <v>66</v>
      </c>
      <c r="G9" s="190" t="s">
        <v>67</v>
      </c>
      <c r="H9" s="319" t="s">
        <v>68</v>
      </c>
      <c r="I9" s="319"/>
      <c r="J9" s="319"/>
      <c r="K9" s="319"/>
      <c r="L9" s="191" t="s">
        <v>98</v>
      </c>
    </row>
    <row r="10" spans="2:13" ht="30" customHeight="1">
      <c r="B10" s="404" t="s">
        <v>88</v>
      </c>
      <c r="C10" s="405" t="s">
        <v>89</v>
      </c>
      <c r="D10" s="231" t="s">
        <v>118</v>
      </c>
      <c r="E10" s="218"/>
      <c r="F10" s="219" t="str">
        <f>IF(D10="","","kW")</f>
        <v>kW</v>
      </c>
      <c r="G10" s="220">
        <f>IF(D10="","",IFERROR(INDEX('[4]INFO-Consumo'!$F$9:$F$95,
       MATCH(D10, '[4]INFO-Consumo'!$D$9:$D$95, 0)),""))</f>
        <v>1</v>
      </c>
      <c r="H10" s="401"/>
      <c r="I10" s="402"/>
      <c r="J10" s="402"/>
      <c r="K10" s="403"/>
      <c r="L10" s="400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0.30316793172398854</v>
      </c>
    </row>
    <row r="11" spans="2:13" ht="30" customHeight="1">
      <c r="B11" s="392"/>
      <c r="C11" s="393"/>
      <c r="D11" s="221" t="str">
        <f>IF(D10="", "Seleccionar Maquinaria ↑", "Carga Promedio de Uso de " &amp; D10)</f>
        <v>Carga Promedio de Uso de HERMANADORA MANUAL IM247</v>
      </c>
      <c r="E11" s="222"/>
      <c r="F11" s="223" t="str">
        <f>IF(ISERROR(FIND("Seleccionar", D11)), "%", "")</f>
        <v>%</v>
      </c>
      <c r="G11" s="289">
        <f>IF(D10="","",IFERROR(
    INDEX('[4]INFO-Consumo'!I:I,
           MATCH(D10, '[4]INFO-Consumo'!D:D, 0)
    ),
""))</f>
        <v>0.6</v>
      </c>
      <c r="H11" s="384"/>
      <c r="I11" s="384"/>
      <c r="J11" s="384"/>
      <c r="K11" s="384"/>
      <c r="L11" s="399"/>
    </row>
    <row r="12" spans="2:13" ht="30" customHeight="1">
      <c r="B12" s="392"/>
      <c r="C12" s="393"/>
      <c r="D12" s="232" t="s">
        <v>173</v>
      </c>
      <c r="E12" s="222"/>
      <c r="F12" s="223" t="str">
        <f>IF(D12="","","kW")</f>
        <v>kW</v>
      </c>
      <c r="G12" s="224">
        <f>IFERROR(INDEX('[4]INFO-Ponderacion'!$S$9:$S$13,
       MATCH(D12,'[4]INFO-Ponderacion'!$C$9:$C$13, 0)),"")</f>
        <v>2.4095999999999997</v>
      </c>
      <c r="H12" s="286"/>
      <c r="I12" s="287"/>
      <c r="J12" s="287"/>
      <c r="K12" s="288"/>
      <c r="L12" s="399"/>
    </row>
    <row r="13" spans="2:13" ht="30" customHeight="1">
      <c r="B13" s="392"/>
      <c r="C13" s="393"/>
      <c r="D13" s="221" t="str">
        <f>IF(D12="", "Seleccionar Area ↑", "Tarifa Electrica ")</f>
        <v xml:space="preserve">Tarifa Electrica </v>
      </c>
      <c r="E13" s="222"/>
      <c r="F13" s="223" t="str">
        <f>IF(D12="","","$/kWh")</f>
        <v>$/kWh</v>
      </c>
      <c r="G13" s="228">
        <f>IF(D12="","",'INFO-Direc'!$G$9)</f>
        <v>5.2613958629577628E-2</v>
      </c>
      <c r="H13" s="384"/>
      <c r="I13" s="384"/>
      <c r="J13" s="384"/>
      <c r="K13" s="384"/>
      <c r="L13" s="399"/>
    </row>
    <row r="14" spans="2:13" ht="30" customHeight="1">
      <c r="B14" s="392"/>
      <c r="C14" s="393"/>
      <c r="D14" s="229" t="str">
        <f>IF(D12="", "Seleccionar Area ↑", "Costo Electrico Fijo de " &amp; D12)</f>
        <v>Costo Electrico Fijo de Ensamble</v>
      </c>
      <c r="E14" s="222"/>
      <c r="F14" s="223" t="str">
        <f>IF(D12="","","$/h")</f>
        <v>$/h</v>
      </c>
      <c r="G14" s="290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0.14482096183241172</v>
      </c>
      <c r="H14" s="385"/>
      <c r="I14" s="386"/>
      <c r="J14" s="386"/>
      <c r="K14" s="387"/>
      <c r="L14" s="399"/>
    </row>
    <row r="15" spans="2:13" ht="30" customHeight="1">
      <c r="B15" s="389"/>
      <c r="C15" s="391"/>
      <c r="D15" s="229" t="s">
        <v>85</v>
      </c>
      <c r="E15" s="230"/>
      <c r="F15" s="223" t="str">
        <f>IF(D12="","","$/h")</f>
        <v>$/h</v>
      </c>
      <c r="G15" s="233"/>
      <c r="H15" s="385"/>
      <c r="I15" s="386"/>
      <c r="J15" s="386"/>
      <c r="K15" s="387"/>
      <c r="L15" s="398"/>
    </row>
    <row r="16" spans="2:13" ht="30" customHeight="1">
      <c r="B16" s="388" t="s">
        <v>90</v>
      </c>
      <c r="C16" s="394" t="s">
        <v>89</v>
      </c>
      <c r="D16" s="232"/>
      <c r="E16" s="222"/>
      <c r="F16" s="223" t="str">
        <f>IF(D16="","","$/L")</f>
        <v/>
      </c>
      <c r="G16" s="228" t="str">
        <f>IFERROR(INDEX('INFO-Direc'!$G$9:$G$25,
       MATCH(D16, 'INFO-Direc'!$D$9:$D$25, 0)),"")</f>
        <v/>
      </c>
      <c r="H16" s="384"/>
      <c r="I16" s="384"/>
      <c r="J16" s="384"/>
      <c r="K16" s="384"/>
      <c r="L16" s="397" t="str">
        <f>IF(AND(D16="", D18=""), "",
    IFERROR(
        IFERROR(G16*G17,0)
        + IFERROR(G18*G19,0)
        + IFERROR(G20,0),
    "")
)</f>
        <v/>
      </c>
    </row>
    <row r="17" spans="2:12" ht="30" customHeight="1">
      <c r="B17" s="392"/>
      <c r="C17" s="395"/>
      <c r="D17" s="221" t="str">
        <f>IF(D16="", "Seleccionar Lubricante ↑", "Consumo de " &amp; D16)</f>
        <v>Seleccionar Lubricante ↑</v>
      </c>
      <c r="E17" s="222"/>
      <c r="F17" s="223" t="str">
        <f>IF(ISERROR(FIND("Seleccionar", D17)), "L/h", "")</f>
        <v/>
      </c>
      <c r="G17" s="234"/>
      <c r="H17" s="384"/>
      <c r="I17" s="384"/>
      <c r="J17" s="384"/>
      <c r="K17" s="384"/>
      <c r="L17" s="399"/>
    </row>
    <row r="18" spans="2:12" ht="30" customHeight="1">
      <c r="B18" s="392"/>
      <c r="C18" s="395"/>
      <c r="D18" s="232"/>
      <c r="E18" s="222"/>
      <c r="F18" s="223" t="str">
        <f>IF(D18="","","$/L")</f>
        <v/>
      </c>
      <c r="G18" s="228" t="str">
        <f>IFERROR(INDEX('INFO-Direc'!$G$9:$G$25,
       MATCH(D18, 'INFO-Direc'!$D$9:$D$25, 0)),"")</f>
        <v/>
      </c>
      <c r="H18" s="385"/>
      <c r="I18" s="386"/>
      <c r="J18" s="386"/>
      <c r="K18" s="387"/>
      <c r="L18" s="399"/>
    </row>
    <row r="19" spans="2:12" ht="30" customHeight="1">
      <c r="B19" s="392"/>
      <c r="C19" s="395"/>
      <c r="D19" s="221" t="str">
        <f>IF(D18="", "Seleccionar Lubricante ↑", "Consumo de " &amp; D18)</f>
        <v>Seleccionar Lubricante ↑</v>
      </c>
      <c r="E19" s="222"/>
      <c r="F19" s="223" t="str">
        <f>IF(ISERROR(FIND("Seleccionar", D19)), "L/h", "")</f>
        <v/>
      </c>
      <c r="G19" s="234"/>
      <c r="H19" s="385"/>
      <c r="I19" s="386"/>
      <c r="J19" s="386"/>
      <c r="K19" s="387"/>
      <c r="L19" s="399"/>
    </row>
    <row r="20" spans="2:12" ht="30" customHeight="1">
      <c r="B20" s="389"/>
      <c r="C20" s="396"/>
      <c r="D20" s="221" t="s">
        <v>85</v>
      </c>
      <c r="E20" s="222"/>
      <c r="F20" s="223" t="str">
        <f>IF(OR(D16&lt;&gt;"", D18&lt;&gt;""), "$/h", "")</f>
        <v/>
      </c>
      <c r="G20" s="233"/>
      <c r="H20" s="384"/>
      <c r="I20" s="384"/>
      <c r="J20" s="384"/>
      <c r="K20" s="384"/>
      <c r="L20" s="398"/>
    </row>
    <row r="21" spans="2:12" ht="30" customHeight="1">
      <c r="B21" s="388" t="s">
        <v>92</v>
      </c>
      <c r="C21" s="390" t="s">
        <v>89</v>
      </c>
      <c r="D21" s="232" t="s">
        <v>138</v>
      </c>
      <c r="E21" s="222"/>
      <c r="F21" s="223" t="str">
        <f>IF(D21="","","kW")</f>
        <v>kW</v>
      </c>
      <c r="G21" s="228">
        <f>IFERROR(INDEX('INFO-Direc'!$G$9:$G$25,
       MATCH(D21, 'INFO-Direc'!$D$9:$D$25, 0)),"")</f>
        <v>56</v>
      </c>
      <c r="H21" s="385"/>
      <c r="I21" s="386"/>
      <c r="J21" s="386"/>
      <c r="K21" s="387"/>
      <c r="L21" s="397">
        <f>IFERROR(G21*G13*G22+G23+G24,"")</f>
        <v>1.8303340099538083</v>
      </c>
    </row>
    <row r="22" spans="2:12" ht="30" customHeight="1">
      <c r="B22" s="392"/>
      <c r="C22" s="393"/>
      <c r="D22" s="221" t="str">
        <f>IF(D21="", "Seleccionar Compresor ↑", "Carga Promedio de Uso de " &amp; D21)</f>
        <v>Carga Promedio de Uso de Compresor</v>
      </c>
      <c r="E22" s="222"/>
      <c r="F22" s="223" t="str">
        <f>IF(ISERROR(FIND("Seleccionar", D22)), "%", "")</f>
        <v>%</v>
      </c>
      <c r="G22" s="289">
        <f>IF(D21="","",IFERROR(
    INDEX('[4]INFO-Consumo'!I:I,
           MATCH(D21, '[4]INFO-Consumo'!D:D, 0)
    ),
""))</f>
        <v>0.6</v>
      </c>
      <c r="H22" s="384"/>
      <c r="I22" s="384"/>
      <c r="J22" s="384"/>
      <c r="K22" s="384"/>
      <c r="L22" s="399"/>
    </row>
    <row r="23" spans="2:12" ht="30" customHeight="1">
      <c r="B23" s="392"/>
      <c r="C23" s="393"/>
      <c r="D23" s="235" t="str">
        <f>IF(D21="", "Seleccionar Compresor ↑", "Costo de Repuestos " &amp; D21)</f>
        <v>Costo de Repuestos Compresor</v>
      </c>
      <c r="E23" s="222"/>
      <c r="F23" s="223" t="str">
        <f>IF(ISERROR(FIND("Seleccionar", D23)), "$/h", "")</f>
        <v>$/h</v>
      </c>
      <c r="G23" s="236">
        <f>IF(D21="","", SUM(IF(ISNUMBER(FIND("Compresor", 'INFO-Mant'!D9:D26)), 'INFO-Mant'!G9:G26 / 'INFO-Mant'!H9:H26, 0)))</f>
        <v>6.2505000000000005E-2</v>
      </c>
      <c r="H23" s="385"/>
      <c r="I23" s="386"/>
      <c r="J23" s="386"/>
      <c r="K23" s="387"/>
      <c r="L23" s="399"/>
    </row>
    <row r="24" spans="2:12" ht="30" customHeight="1">
      <c r="B24" s="389"/>
      <c r="C24" s="391"/>
      <c r="D24" s="221" t="s">
        <v>85</v>
      </c>
      <c r="E24" s="222"/>
      <c r="F24" s="223" t="str">
        <f>IF(D21="","","$/h")</f>
        <v>$/h</v>
      </c>
      <c r="G24" s="233"/>
      <c r="H24" s="384"/>
      <c r="I24" s="384"/>
      <c r="J24" s="384"/>
      <c r="K24" s="384"/>
      <c r="L24" s="398"/>
    </row>
    <row r="25" spans="2:12" ht="30" customHeight="1">
      <c r="B25" s="388" t="s">
        <v>94</v>
      </c>
      <c r="C25" s="390" t="s">
        <v>89</v>
      </c>
      <c r="D25" s="232"/>
      <c r="E25" s="222"/>
      <c r="F25" s="223" t="str">
        <f>IF(D25="","","$/L")</f>
        <v/>
      </c>
      <c r="G25" s="228" t="str">
        <f>IFERROR(INDEX('INFO-Direc'!$G$9:$G$25,
       MATCH(D25, 'INFO-Direc'!$D$9:$D$25, 0)),"")</f>
        <v/>
      </c>
      <c r="H25" s="384"/>
      <c r="I25" s="384"/>
      <c r="J25" s="384"/>
      <c r="K25" s="384"/>
      <c r="L25" s="381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92"/>
      <c r="C26" s="393"/>
      <c r="D26" s="221" t="str">
        <f>IF(D25="", "Seleccionar Refrigerante ↑", "Consumo de " &amp; D25)</f>
        <v>Seleccionar Refrigerante ↑</v>
      </c>
      <c r="E26" s="222"/>
      <c r="F26" s="223" t="str">
        <f>IF(ISERROR(FIND("Seleccionar", D26)), "L/Año", "")</f>
        <v/>
      </c>
      <c r="G26" s="238"/>
      <c r="H26" s="384"/>
      <c r="I26" s="384"/>
      <c r="J26" s="384"/>
      <c r="K26" s="384"/>
      <c r="L26" s="382"/>
    </row>
    <row r="27" spans="2:12" ht="30" customHeight="1">
      <c r="B27" s="392"/>
      <c r="C27" s="393"/>
      <c r="D27" s="232"/>
      <c r="E27" s="222"/>
      <c r="F27" s="223" t="str">
        <f>IF(D27="","","$/L")</f>
        <v/>
      </c>
      <c r="G27" s="228" t="str">
        <f>IFERROR(INDEX('INFO-Direc'!$G$9:$G$25,
       MATCH(D27, 'INFO-Direc'!$D$9:$D$25, 0)),"")</f>
        <v/>
      </c>
      <c r="H27" s="385"/>
      <c r="I27" s="386"/>
      <c r="J27" s="386"/>
      <c r="K27" s="387"/>
      <c r="L27" s="382"/>
    </row>
    <row r="28" spans="2:12" ht="30" customHeight="1">
      <c r="B28" s="392"/>
      <c r="C28" s="393"/>
      <c r="D28" s="221" t="str">
        <f>IF(D27="", "Seleccionar Refrigerante ↑", "Consumo de " &amp; D27)</f>
        <v>Seleccionar Refrigerante ↑</v>
      </c>
      <c r="E28" s="222"/>
      <c r="F28" s="223" t="str">
        <f>IF(ISERROR(FIND("Seleccionar", D28)), "L/Año", "")</f>
        <v/>
      </c>
      <c r="G28" s="239"/>
      <c r="H28" s="385"/>
      <c r="I28" s="386"/>
      <c r="J28" s="386"/>
      <c r="K28" s="387"/>
      <c r="L28" s="382"/>
    </row>
    <row r="29" spans="2:12" ht="30" customHeight="1">
      <c r="B29" s="389"/>
      <c r="C29" s="391"/>
      <c r="D29" s="221" t="s">
        <v>85</v>
      </c>
      <c r="E29" s="222"/>
      <c r="F29" s="223" t="str">
        <f>IF(OR(D25&lt;&gt;"", D27&lt;&gt;""), "$/h", "")</f>
        <v/>
      </c>
      <c r="G29" s="233"/>
      <c r="H29" s="384"/>
      <c r="I29" s="384"/>
      <c r="J29" s="384"/>
      <c r="K29" s="384"/>
      <c r="L29" s="383"/>
    </row>
    <row r="30" spans="2:12" s="152" customFormat="1" ht="30" customHeight="1">
      <c r="B30" s="388" t="s">
        <v>168</v>
      </c>
      <c r="C30" s="394" t="s">
        <v>89</v>
      </c>
      <c r="D30" s="232"/>
      <c r="E30" s="222"/>
      <c r="F30" s="223" t="str">
        <f>IF(D30="","","$/L")</f>
        <v/>
      </c>
      <c r="G30" s="228" t="str">
        <f>IFERROR(INDEX('INFO-Direc'!$G$9:$G$25,
       MATCH(D30, 'INFO-Direc'!$D$9:$D$25, 0)),"")</f>
        <v/>
      </c>
      <c r="H30" s="384"/>
      <c r="I30" s="384"/>
      <c r="J30" s="384"/>
      <c r="K30" s="384"/>
      <c r="L30" s="381" t="str">
        <f>IF(
    AND(D30="", D32=""),
    "",
    IFERROR(
        IFERROR(G30 / (INDEX('INFO-OEE'!$E$18:$CA$18,
                               MATCH(#REF!, 'INFO-OEE'!$E$9:$CA$9, 0)) * 12), 0)
        * G31
        +
        IFERROR(G32 / (INDEX('INFO-OEE'!$E$18:$CA$18,
                               MATCH(#REF!, 'INFO-OEE'!$E$9:$CA$9, 0)) * 12), 0)
        * G33
        +
        IFERROR(G34, 0),
    "")
)</f>
        <v/>
      </c>
    </row>
    <row r="31" spans="2:12" s="152" customFormat="1" ht="30" customHeight="1">
      <c r="B31" s="392"/>
      <c r="C31" s="395"/>
      <c r="D31" s="221" t="str">
        <f>IF(D30="", "Seleccionar Solvente ↑", "Consumo de " &amp; D30)</f>
        <v>Seleccionar Solvente ↑</v>
      </c>
      <c r="E31" s="222"/>
      <c r="F31" s="223" t="str">
        <f>IF(ISERROR(FIND("Seleccionar", D31)), "L/Año", "")</f>
        <v/>
      </c>
      <c r="G31" s="234"/>
      <c r="H31" s="384"/>
      <c r="I31" s="384"/>
      <c r="J31" s="384"/>
      <c r="K31" s="384"/>
      <c r="L31" s="382"/>
    </row>
    <row r="32" spans="2:12" s="152" customFormat="1" ht="30" customHeight="1">
      <c r="B32" s="392"/>
      <c r="C32" s="395"/>
      <c r="D32" s="232"/>
      <c r="E32" s="222"/>
      <c r="F32" s="223" t="str">
        <f>IF(D32="","","$/L")</f>
        <v/>
      </c>
      <c r="G32" s="228" t="str">
        <f>IFERROR(INDEX('INFO-Direc'!$G$9:$G$25,
       MATCH(D32, 'INFO-Direc'!$D$9:$D$25, 0)),"")</f>
        <v/>
      </c>
      <c r="H32" s="385"/>
      <c r="I32" s="386"/>
      <c r="J32" s="386"/>
      <c r="K32" s="387"/>
      <c r="L32" s="382"/>
    </row>
    <row r="33" spans="2:12" s="152" customFormat="1" ht="30" customHeight="1">
      <c r="B33" s="392"/>
      <c r="C33" s="395"/>
      <c r="D33" s="221" t="str">
        <f>IF(D32="", "Seleccionar Solvente ↑", "Consumo de " &amp; D32)</f>
        <v>Seleccionar Solvente ↑</v>
      </c>
      <c r="E33" s="222"/>
      <c r="F33" s="223" t="str">
        <f>IF(ISERROR(FIND("Seleccionar", D33)), "L/Año", "")</f>
        <v/>
      </c>
      <c r="G33" s="234"/>
      <c r="H33" s="385"/>
      <c r="I33" s="386"/>
      <c r="J33" s="386"/>
      <c r="K33" s="387"/>
      <c r="L33" s="382"/>
    </row>
    <row r="34" spans="2:12" s="152" customFormat="1" ht="30" customHeight="1">
      <c r="B34" s="389"/>
      <c r="C34" s="396"/>
      <c r="D34" s="221" t="s">
        <v>85</v>
      </c>
      <c r="E34" s="222"/>
      <c r="F34" s="223" t="str">
        <f>IF(OR(D30&lt;&gt;"", D32&lt;&gt;""), "$/h", "")</f>
        <v/>
      </c>
      <c r="G34" s="233"/>
      <c r="H34" s="384"/>
      <c r="I34" s="384"/>
      <c r="J34" s="384"/>
      <c r="K34" s="384"/>
      <c r="L34" s="383"/>
    </row>
    <row r="35" spans="2:12" ht="30" customHeight="1">
      <c r="B35" s="388" t="s">
        <v>100</v>
      </c>
      <c r="C35" s="390" t="s">
        <v>89</v>
      </c>
      <c r="D35" s="221" t="str">
        <f>IF(D12="", "Seleccionar Area ↑", "Costo de Operarios")</f>
        <v>Costo de Operarios</v>
      </c>
      <c r="E35" s="222"/>
      <c r="F35" s="223" t="str">
        <f>IF(D12="","","$/mes")</f>
        <v>$/mes</v>
      </c>
      <c r="G35" s="237">
        <f>IF(D12="","",IFERROR(
    INDEX('INFO-Personal'!$E$26:$CA$26,
           MATCH($C$3, 'INFO-Personal'!$E$9:$CA$9, 0)
    ),
""))</f>
        <v>696.32360000000017</v>
      </c>
      <c r="H35" s="384"/>
      <c r="I35" s="384"/>
      <c r="J35" s="384"/>
      <c r="K35" s="384"/>
      <c r="L35" s="397">
        <f>IFERROR(
    (G35 / INDEX('INFO-OEE'!$E$18:$CA$18,
                  MATCH($C$3, 'INFO-OEE'!$E$9:$CA$9, 0)))
    + G36,
"")</f>
        <v>4.9454801136363642</v>
      </c>
    </row>
    <row r="36" spans="2:12" ht="30" customHeight="1">
      <c r="B36" s="389"/>
      <c r="C36" s="391"/>
      <c r="D36" s="221" t="s">
        <v>85</v>
      </c>
      <c r="E36" s="222"/>
      <c r="F36" s="223" t="str">
        <f>IF(D12="","","$/h")</f>
        <v>$/h</v>
      </c>
      <c r="G36" s="240"/>
      <c r="H36" s="384"/>
      <c r="I36" s="384"/>
      <c r="J36" s="384"/>
      <c r="K36" s="384"/>
      <c r="L36" s="398"/>
    </row>
    <row r="37" spans="2:12" ht="30" customHeight="1">
      <c r="B37" s="241"/>
      <c r="C37" s="242"/>
      <c r="D37" s="243"/>
      <c r="E37" s="242"/>
      <c r="F37" s="244"/>
      <c r="G37" s="245"/>
      <c r="H37" s="409"/>
      <c r="I37" s="409"/>
      <c r="J37" s="409"/>
      <c r="K37" s="409"/>
      <c r="L37" s="246"/>
    </row>
    <row r="38" spans="2:12" ht="30" customHeight="1">
      <c r="B38" s="388" t="s">
        <v>16</v>
      </c>
      <c r="C38" s="390" t="s">
        <v>69</v>
      </c>
      <c r="D38" s="221" t="str">
        <f>IF(D12="", "Seleccionar Area ↑", "Costo de Supervisores")</f>
        <v>Costo de Supervisores</v>
      </c>
      <c r="E38" s="222"/>
      <c r="F38" s="247" t="str">
        <f>IF(D12="","","$/mes")</f>
        <v>$/mes</v>
      </c>
      <c r="G38" s="237">
        <f>IF(D12="","",IFERROR(
    INDEX('INFO-Personal'!$E$27:$CA$27,
           MATCH($C$3, 'INFO-Personal'!$E$9:$CA$9, 0)
    ),
""))</f>
        <v>51.241933194853928</v>
      </c>
      <c r="H38" s="385"/>
      <c r="I38" s="386"/>
      <c r="J38" s="386"/>
      <c r="K38" s="387"/>
      <c r="L38" s="397">
        <f>IFERROR(
    (G38 / INDEX('INFO-OEE'!$E$18:$CA$18,
                  MATCH($C$3, 'INFO-OEE'!$E$9:$CA$9, 0)))
    + G39,
"")</f>
        <v>0.36393418462254207</v>
      </c>
    </row>
    <row r="39" spans="2:12" ht="30" customHeight="1">
      <c r="B39" s="392"/>
      <c r="C39" s="393"/>
      <c r="D39" s="221" t="s">
        <v>85</v>
      </c>
      <c r="E39" s="222"/>
      <c r="F39" s="223" t="str">
        <f>IF(D12="","","$/h")</f>
        <v>$/h</v>
      </c>
      <c r="G39" s="240"/>
      <c r="H39" s="385"/>
      <c r="I39" s="386"/>
      <c r="J39" s="386"/>
      <c r="K39" s="387"/>
      <c r="L39" s="399"/>
    </row>
    <row r="40" spans="2:12" ht="30" customHeight="1">
      <c r="B40" s="388" t="s">
        <v>101</v>
      </c>
      <c r="C40" s="390" t="s">
        <v>69</v>
      </c>
      <c r="D40" s="221" t="str">
        <f>IF(D12="", "Seleccionar Area ↑", "Costo de Mant. Preventivo")</f>
        <v>Costo de Mant. Preventivo</v>
      </c>
      <c r="E40" s="222"/>
      <c r="F40" s="247" t="str">
        <f>IF(D12="","","$/mes")</f>
        <v>$/mes</v>
      </c>
      <c r="G40" s="237">
        <f>IF(D12="","",IFERROR(
    INDEX('INFO-Personal'!$E$28:$CA$28,
           MATCH($C$3, 'INFO-Personal'!$E$9:$CA$9, 0)
    ),
""))</f>
        <v>3.4161288796569287</v>
      </c>
      <c r="H40" s="385"/>
      <c r="I40" s="386"/>
      <c r="J40" s="386"/>
      <c r="K40" s="387"/>
      <c r="L40" s="397">
        <f>IF(D12="","",SUM(
    IFERROR((G40+G41) / INDEX('INFO-OEE'!$E$18:$CA$18, MATCH(C3, 'INFO-OEE'!$E$9:$CA$9, 0)), 0),
    IFERROR(G42 / G43, 0),
    IFERROR(G44 / G45, 0),
    IFERROR(G46 / G47, 0),
    IFERROR(G48, 0)
))</f>
        <v>0.27449741271484929</v>
      </c>
    </row>
    <row r="41" spans="2:12" ht="30" customHeight="1">
      <c r="B41" s="392"/>
      <c r="C41" s="393"/>
      <c r="D41" s="221" t="str">
        <f>IF(D12="", "Seleccionar Area ↑", "Costo de Mant. Correctivo")</f>
        <v>Costo de Mant. Correctivo</v>
      </c>
      <c r="E41" s="222"/>
      <c r="F41" s="247" t="str">
        <f>IF(D12="","","$/mes")</f>
        <v>$/mes</v>
      </c>
      <c r="G41" s="237">
        <f>IF(D12="","",IFERROR(
    INDEX('INFO-Personal'!$E$29:$CA$29,
           MATCH($C$3, 'INFO-Personal'!$E$9:$CA$9, 0)
    ),
""))</f>
        <v>35.233106830593854</v>
      </c>
      <c r="H41" s="385"/>
      <c r="I41" s="386"/>
      <c r="J41" s="386"/>
      <c r="K41" s="387"/>
      <c r="L41" s="399"/>
    </row>
    <row r="42" spans="2:12" ht="30" customHeight="1">
      <c r="B42" s="392"/>
      <c r="C42" s="393"/>
      <c r="D42" s="232"/>
      <c r="E42" s="222"/>
      <c r="F42" s="223" t="str">
        <f>IF(D42="","","$/u")</f>
        <v/>
      </c>
      <c r="G42" s="237" t="str">
        <f>IFERROR(INDEX('INFO-Mant'!$G$9:$G$26,
       MATCH(D42, 'INFO-Mant'!$D$9:$D$26, 0)),"")</f>
        <v/>
      </c>
      <c r="H42" s="385"/>
      <c r="I42" s="386"/>
      <c r="J42" s="386"/>
      <c r="K42" s="387"/>
      <c r="L42" s="399"/>
    </row>
    <row r="43" spans="2:12" ht="30" customHeight="1">
      <c r="B43" s="392"/>
      <c r="C43" s="393"/>
      <c r="D43" s="221" t="str">
        <f>IF(D42="", "Seleccionar Repuesto ↑", "Vida Util de " &amp; D42)</f>
        <v>Seleccionar Repuesto ↑</v>
      </c>
      <c r="E43" s="222"/>
      <c r="F43" s="223" t="str">
        <f>IF(ISERROR(FIND("Seleccionar", D43)), "Horas/u", "")</f>
        <v/>
      </c>
      <c r="G43" s="238"/>
      <c r="H43" s="385"/>
      <c r="I43" s="386"/>
      <c r="J43" s="386"/>
      <c r="K43" s="387"/>
      <c r="L43" s="399"/>
    </row>
    <row r="44" spans="2:12" ht="30" customHeight="1">
      <c r="B44" s="392"/>
      <c r="C44" s="393"/>
      <c r="D44" s="232"/>
      <c r="E44" s="222"/>
      <c r="F44" s="223" t="str">
        <f>IF(D44="","","$/u")</f>
        <v/>
      </c>
      <c r="G44" s="237" t="str">
        <f>IFERROR(INDEX('INFO-Mant'!$G$9:$G$26,
       MATCH(D44, 'INFO-Mant'!$D$9:$D$26, 0)),"")</f>
        <v/>
      </c>
      <c r="H44" s="385"/>
      <c r="I44" s="386"/>
      <c r="J44" s="386"/>
      <c r="K44" s="387"/>
      <c r="L44" s="399"/>
    </row>
    <row r="45" spans="2:12" ht="30" customHeight="1">
      <c r="B45" s="392"/>
      <c r="C45" s="393"/>
      <c r="D45" s="221" t="str">
        <f>IF(D44="", "Seleccionar Repuesto ↑", "Vida Util de " &amp; D44)</f>
        <v>Seleccionar Repuesto ↑</v>
      </c>
      <c r="E45" s="222"/>
      <c r="F45" s="223" t="str">
        <f>IF(ISERROR(FIND("Seleccionar", D45)), "Horas/u", "")</f>
        <v/>
      </c>
      <c r="G45" s="238"/>
      <c r="H45" s="385"/>
      <c r="I45" s="386"/>
      <c r="J45" s="386"/>
      <c r="K45" s="387"/>
      <c r="L45" s="399"/>
    </row>
    <row r="46" spans="2:12" ht="30" customHeight="1">
      <c r="B46" s="392"/>
      <c r="C46" s="393"/>
      <c r="D46" s="232"/>
      <c r="E46" s="222"/>
      <c r="F46" s="223" t="str">
        <f>IF(D46="","","$/u")</f>
        <v/>
      </c>
      <c r="G46" s="237" t="str">
        <f>IFERROR(INDEX('INFO-Mant'!$G$9:$G$26,
       MATCH(D46, 'INFO-Mant'!$D$9:$D$26, 0)),"")</f>
        <v/>
      </c>
      <c r="H46" s="385"/>
      <c r="I46" s="386"/>
      <c r="J46" s="386"/>
      <c r="K46" s="387"/>
      <c r="L46" s="399"/>
    </row>
    <row r="47" spans="2:12" ht="36" customHeight="1">
      <c r="B47" s="392"/>
      <c r="C47" s="393"/>
      <c r="D47" s="221" t="str">
        <f>IF(D46="", "Seleccionar Repuesto ↑", "Vida Util de " &amp; D46)</f>
        <v>Seleccionar Repuesto ↑</v>
      </c>
      <c r="E47" s="222"/>
      <c r="F47" s="223" t="str">
        <f>IF(ISERROR(FIND("Seleccionar", D47)), "Horas/u", "")</f>
        <v/>
      </c>
      <c r="G47" s="240"/>
      <c r="H47" s="385"/>
      <c r="I47" s="386"/>
      <c r="J47" s="386"/>
      <c r="K47" s="387"/>
      <c r="L47" s="399"/>
    </row>
    <row r="48" spans="2:12" ht="30" customHeight="1">
      <c r="B48" s="389"/>
      <c r="C48" s="391"/>
      <c r="D48" s="221" t="s">
        <v>85</v>
      </c>
      <c r="E48" s="222"/>
      <c r="F48" s="223" t="str">
        <f>IF(D12="","","$/h")</f>
        <v>$/h</v>
      </c>
      <c r="G48" s="240"/>
      <c r="H48" s="385"/>
      <c r="I48" s="386"/>
      <c r="J48" s="386"/>
      <c r="K48" s="387"/>
      <c r="L48" s="398"/>
    </row>
    <row r="49" spans="2:12" ht="30" customHeight="1">
      <c r="B49" s="248"/>
      <c r="C49" s="249"/>
      <c r="D49" s="250"/>
      <c r="E49" s="249"/>
      <c r="F49" s="251"/>
      <c r="G49" s="252"/>
      <c r="H49" s="249"/>
      <c r="I49" s="249"/>
      <c r="J49" s="249"/>
      <c r="K49" s="249"/>
      <c r="L49" s="253"/>
    </row>
    <row r="50" spans="2:12" ht="30" customHeight="1">
      <c r="B50" s="388" t="s">
        <v>102</v>
      </c>
      <c r="C50" s="394" t="s">
        <v>103</v>
      </c>
      <c r="D50" s="232"/>
      <c r="E50" s="222"/>
      <c r="F50" s="223" t="str">
        <f>IF(D50="","","$/h")</f>
        <v/>
      </c>
      <c r="G50" s="23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410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410"/>
      <c r="J50" s="410"/>
      <c r="K50" s="410"/>
      <c r="L50" s="255" t="str">
        <f ca="1">G50</f>
        <v/>
      </c>
    </row>
    <row r="51" spans="2:12" ht="30" customHeight="1">
      <c r="B51" s="392"/>
      <c r="C51" s="395"/>
      <c r="D51" s="232"/>
      <c r="E51" s="254"/>
      <c r="F51" s="223" t="str">
        <f>IF(D51="","","$/h")</f>
        <v/>
      </c>
      <c r="G51" s="23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410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410"/>
      <c r="J51" s="410"/>
      <c r="K51" s="410"/>
      <c r="L51" s="255" t="str">
        <f ca="1">G51</f>
        <v/>
      </c>
    </row>
    <row r="52" spans="2:12" ht="30" customHeight="1">
      <c r="B52" s="392"/>
      <c r="C52" s="395"/>
      <c r="D52" s="232"/>
      <c r="E52" s="222"/>
      <c r="F52" s="223" t="str">
        <f t="shared" ref="F52:F54" si="0">IF(D52="","","$/h")</f>
        <v/>
      </c>
      <c r="G52" s="23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410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410"/>
      <c r="J52" s="410"/>
      <c r="K52" s="410"/>
      <c r="L52" s="255" t="str">
        <f ca="1">G52</f>
        <v/>
      </c>
    </row>
    <row r="53" spans="2:12" ht="30" customHeight="1">
      <c r="B53" s="392"/>
      <c r="C53" s="395"/>
      <c r="D53" s="232"/>
      <c r="E53" s="222"/>
      <c r="F53" s="223" t="str">
        <f t="shared" si="0"/>
        <v/>
      </c>
      <c r="G53" s="23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410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410"/>
      <c r="J53" s="410"/>
      <c r="K53" s="410"/>
      <c r="L53" s="255" t="str">
        <f ca="1">G53</f>
        <v/>
      </c>
    </row>
    <row r="54" spans="2:12" ht="30" customHeight="1">
      <c r="B54" s="389"/>
      <c r="C54" s="396"/>
      <c r="D54" s="232"/>
      <c r="E54" s="222"/>
      <c r="F54" s="223" t="str">
        <f t="shared" si="0"/>
        <v/>
      </c>
      <c r="G54" s="23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410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410"/>
      <c r="J54" s="410"/>
      <c r="K54" s="410"/>
      <c r="L54" s="255" t="str">
        <f ca="1">G54</f>
        <v/>
      </c>
    </row>
    <row r="55" spans="2:12" ht="30" customHeight="1">
      <c r="B55" s="146"/>
      <c r="C55" s="147"/>
      <c r="D55" s="411"/>
      <c r="E55" s="411"/>
      <c r="F55" s="30"/>
      <c r="G55" s="30"/>
      <c r="H55" s="149"/>
      <c r="I55" s="149"/>
      <c r="J55" s="149"/>
      <c r="K55" s="30"/>
      <c r="L55" s="145"/>
    </row>
    <row r="56" spans="2:12" ht="30" customHeight="1" thickBot="1">
      <c r="B56" s="153" t="s">
        <v>39</v>
      </c>
      <c r="C56" s="330"/>
      <c r="D56" s="330"/>
      <c r="E56" s="154" t="s">
        <v>23</v>
      </c>
      <c r="F56" s="368"/>
      <c r="G56" s="368"/>
      <c r="H56" s="141"/>
      <c r="I56" s="141"/>
      <c r="J56" s="141"/>
      <c r="K56" s="256"/>
      <c r="L56" s="257"/>
    </row>
    <row r="57" spans="2:12" ht="30" customHeight="1" thickBot="1">
      <c r="B57" s="155"/>
      <c r="C57" s="156"/>
      <c r="D57" s="156"/>
      <c r="E57" s="156"/>
      <c r="F57" s="378"/>
      <c r="G57" s="378"/>
      <c r="H57" s="157"/>
      <c r="I57" s="157"/>
      <c r="J57" s="157"/>
      <c r="K57" s="258" t="s">
        <v>106</v>
      </c>
      <c r="L57" s="259">
        <f ca="1">IFERROR(SUM(L19:L54),"")</f>
        <v>7.4142457209275632</v>
      </c>
    </row>
    <row r="59" spans="2:12" ht="30" customHeight="1">
      <c r="C59" s="117"/>
    </row>
  </sheetData>
  <sheetProtection selectLockedCells="1"/>
  <mergeCells count="80">
    <mergeCell ref="F57:G57"/>
    <mergeCell ref="B50:B54"/>
    <mergeCell ref="C50:C54"/>
    <mergeCell ref="H53:K53"/>
    <mergeCell ref="H54:K54"/>
    <mergeCell ref="D55:E55"/>
    <mergeCell ref="C56:D56"/>
    <mergeCell ref="F56:G56"/>
    <mergeCell ref="B38:B39"/>
    <mergeCell ref="C38:C39"/>
    <mergeCell ref="H50:K50"/>
    <mergeCell ref="H51:K51"/>
    <mergeCell ref="H52:K52"/>
    <mergeCell ref="B40:B48"/>
    <mergeCell ref="C40:C48"/>
    <mergeCell ref="H39:K39"/>
    <mergeCell ref="H40:K40"/>
    <mergeCell ref="H41:K41"/>
    <mergeCell ref="H42:K42"/>
    <mergeCell ref="H37:K37"/>
    <mergeCell ref="H38:K38"/>
    <mergeCell ref="L40:L48"/>
    <mergeCell ref="H44:K44"/>
    <mergeCell ref="H45:K45"/>
    <mergeCell ref="H46:K46"/>
    <mergeCell ref="H47:K47"/>
    <mergeCell ref="H48:K48"/>
    <mergeCell ref="H43:K43"/>
    <mergeCell ref="L38:L39"/>
    <mergeCell ref="C3:D3"/>
    <mergeCell ref="F3:G3"/>
    <mergeCell ref="C6:D6"/>
    <mergeCell ref="F6:G6"/>
    <mergeCell ref="C7:D7"/>
    <mergeCell ref="F7:G7"/>
    <mergeCell ref="H9:K9"/>
    <mergeCell ref="H10:K10"/>
    <mergeCell ref="H11:K11"/>
    <mergeCell ref="B10:B15"/>
    <mergeCell ref="C10:C15"/>
    <mergeCell ref="L10:L15"/>
    <mergeCell ref="H13:K13"/>
    <mergeCell ref="H15:K15"/>
    <mergeCell ref="H16:K16"/>
    <mergeCell ref="H17:K17"/>
    <mergeCell ref="H14:K14"/>
    <mergeCell ref="B16:B20"/>
    <mergeCell ref="C16:C20"/>
    <mergeCell ref="B21:B24"/>
    <mergeCell ref="C21:C24"/>
    <mergeCell ref="L16:L20"/>
    <mergeCell ref="H20:K20"/>
    <mergeCell ref="H18:K18"/>
    <mergeCell ref="H19:K19"/>
    <mergeCell ref="L21:L24"/>
    <mergeCell ref="H23:K23"/>
    <mergeCell ref="H24:K24"/>
    <mergeCell ref="H21:K21"/>
    <mergeCell ref="H22:K22"/>
    <mergeCell ref="H35:K35"/>
    <mergeCell ref="H36:K36"/>
    <mergeCell ref="L30:L34"/>
    <mergeCell ref="H34:K34"/>
    <mergeCell ref="L35:L36"/>
    <mergeCell ref="H33:K33"/>
    <mergeCell ref="H30:K30"/>
    <mergeCell ref="H31:K31"/>
    <mergeCell ref="H32:K32"/>
    <mergeCell ref="B35:B36"/>
    <mergeCell ref="C35:C36"/>
    <mergeCell ref="B25:B29"/>
    <mergeCell ref="C25:C29"/>
    <mergeCell ref="B30:B34"/>
    <mergeCell ref="C30:C34"/>
    <mergeCell ref="L25:L29"/>
    <mergeCell ref="H29:K29"/>
    <mergeCell ref="H28:K28"/>
    <mergeCell ref="H25:K25"/>
    <mergeCell ref="H26:K26"/>
    <mergeCell ref="H27:K27"/>
  </mergeCells>
  <dataValidations count="9">
    <dataValidation allowBlank="1" showInputMessage="1" showErrorMessage="1" prompt="Escriba comentarios en las celdas de la derecha." sqref="C59"/>
    <dataValidation type="list" allowBlank="1" showInputMessage="1" showErrorMessage="1" sqref="D51:D54">
      <formula1>Herramientas_Ensamble</formula1>
    </dataValidation>
    <dataValidation type="list" allowBlank="1" showInputMessage="1" showErrorMessage="1" sqref="D12">
      <formula1>Areas_Ensamble</formula1>
    </dataValidation>
    <dataValidation type="list" allowBlank="1" showInputMessage="1" showErrorMessage="1" sqref="D16 D18">
      <formula1>Lubricantes_Ensamble</formula1>
    </dataValidation>
    <dataValidation type="list" allowBlank="1" showInputMessage="1" showErrorMessage="1" sqref="D21">
      <formula1>AireComprimido_Ensamble</formula1>
    </dataValidation>
    <dataValidation type="list" allowBlank="1" showInputMessage="1" showErrorMessage="1" sqref="D25 D27">
      <formula1>Refrigerantes_Ensamble</formula1>
    </dataValidation>
    <dataValidation type="list" allowBlank="1" showInputMessage="1" showErrorMessage="1" sqref="D30 D32">
      <formula1>Solvente_Ensamble</formula1>
    </dataValidation>
    <dataValidation type="list" allowBlank="1" showInputMessage="1" showErrorMessage="1" sqref="D42 D44 D46">
      <formula1>Repuestos_Ensamble</formula1>
    </dataValidation>
    <dataValidation type="list" allowBlank="1" showInputMessage="1" showErrorMessage="1" sqref="D10 D50">
      <formula1>Maquinaria_Ensamble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54</xdr:row>
                    <xdr:rowOff>333375</xdr:rowOff>
                  </from>
                  <to>
                    <xdr:col>1</xdr:col>
                    <xdr:colOff>1762125</xdr:colOff>
                    <xdr:row>55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8">
    <tabColor rgb="FF0070C0"/>
    <pageSetUpPr autoPageBreaks="0" fitToPage="1"/>
  </sheetPr>
  <dimension ref="B1:M59"/>
  <sheetViews>
    <sheetView showGridLines="0" zoomScale="80" zoomScaleNormal="80" workbookViewId="0">
      <selection activeCell="D12" sqref="D12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3.140625" style="80" bestFit="1" customWidth="1"/>
    <col min="5" max="5" width="20.5703125" style="80" customWidth="1"/>
    <col min="6" max="6" width="16.5703125" style="80" bestFit="1" customWidth="1"/>
    <col min="7" max="7" width="19.7109375" style="80" bestFit="1" customWidth="1"/>
    <col min="8" max="8" width="15.28515625" style="80" customWidth="1"/>
    <col min="9" max="10" width="17" style="80" customWidth="1"/>
    <col min="11" max="11" width="28.42578125" style="80" customWidth="1"/>
    <col min="12" max="12" width="20.7109375" style="80" customWidth="1"/>
    <col min="13" max="13" width="2.7109375" style="80" customWidth="1"/>
    <col min="14" max="16384" width="9.140625" style="80"/>
  </cols>
  <sheetData>
    <row r="1" spans="2:13" ht="12" customHeight="1" thickBot="1"/>
    <row r="2" spans="2:13" ht="30" customHeight="1">
      <c r="B2" s="126" t="s">
        <v>95</v>
      </c>
      <c r="C2" s="127"/>
      <c r="D2" s="128"/>
      <c r="E2" s="128"/>
      <c r="F2" s="128"/>
      <c r="G2" s="128"/>
      <c r="H2" s="128"/>
      <c r="I2" s="128"/>
      <c r="J2" s="128"/>
      <c r="K2" s="128"/>
      <c r="L2" s="129"/>
    </row>
    <row r="3" spans="2:13" ht="30" customHeight="1">
      <c r="B3" s="130" t="s">
        <v>96</v>
      </c>
      <c r="C3" s="406" t="s">
        <v>202</v>
      </c>
      <c r="D3" s="406"/>
      <c r="E3" s="125" t="s">
        <v>3</v>
      </c>
      <c r="F3" s="356">
        <f ca="1">TODAY()</f>
        <v>46020</v>
      </c>
      <c r="G3" s="356"/>
      <c r="H3" s="125" t="s">
        <v>61</v>
      </c>
      <c r="I3" s="162">
        <f>'INFO-Direc'!H3</f>
        <v>1445</v>
      </c>
      <c r="J3" s="131"/>
      <c r="K3" s="132"/>
      <c r="L3" s="133"/>
      <c r="M3" s="134"/>
    </row>
    <row r="4" spans="2:13" ht="30" customHeight="1">
      <c r="B4" s="130" t="s">
        <v>97</v>
      </c>
      <c r="C4" s="160">
        <f>IFERROR(INDEX('INFO-OEE'!E17:CL17,
       MATCH(C3, 'INFO-OEE'!E9:CL9, 0)),"")</f>
        <v>0.8</v>
      </c>
      <c r="D4" s="135"/>
      <c r="E4" s="136"/>
      <c r="F4" s="136"/>
      <c r="G4" s="136"/>
      <c r="H4" s="125"/>
      <c r="I4" s="137"/>
      <c r="J4" s="131"/>
      <c r="K4" s="132"/>
      <c r="L4" s="138"/>
      <c r="M4" s="89"/>
    </row>
    <row r="5" spans="2:13" ht="30" customHeight="1">
      <c r="B5" s="139" t="s">
        <v>4</v>
      </c>
      <c r="C5" s="140"/>
      <c r="D5" s="141"/>
      <c r="E5" s="141"/>
      <c r="F5" s="141"/>
      <c r="G5" s="141"/>
      <c r="H5" s="141"/>
      <c r="I5" s="141"/>
      <c r="J5" s="141"/>
      <c r="K5" s="141"/>
      <c r="L5" s="142"/>
    </row>
    <row r="6" spans="2:13" ht="30" customHeight="1">
      <c r="B6" s="143" t="s">
        <v>5</v>
      </c>
      <c r="C6" s="407" t="s">
        <v>205</v>
      </c>
      <c r="D6" s="407"/>
      <c r="E6" s="144" t="s">
        <v>6</v>
      </c>
      <c r="F6" s="407"/>
      <c r="G6" s="407"/>
      <c r="H6" s="141"/>
      <c r="I6" s="141"/>
      <c r="J6" s="141"/>
      <c r="K6" s="30"/>
      <c r="L6" s="145"/>
    </row>
    <row r="7" spans="2:13" ht="30" customHeight="1">
      <c r="B7" s="143" t="s">
        <v>7</v>
      </c>
      <c r="C7" s="407"/>
      <c r="D7" s="407"/>
      <c r="E7" s="144" t="s">
        <v>62</v>
      </c>
      <c r="F7" s="408"/>
      <c r="G7" s="408"/>
      <c r="H7" s="141"/>
      <c r="I7" s="141"/>
      <c r="J7" s="141"/>
      <c r="K7" s="30"/>
      <c r="L7" s="145"/>
    </row>
    <row r="8" spans="2:13" ht="30" customHeight="1" thickBot="1">
      <c r="B8" s="146"/>
      <c r="C8" s="147"/>
      <c r="D8" s="148"/>
      <c r="E8" s="148"/>
      <c r="F8" s="30"/>
      <c r="G8" s="30"/>
      <c r="H8" s="149"/>
      <c r="I8" s="149"/>
      <c r="J8" s="149"/>
      <c r="K8" s="30"/>
      <c r="L8" s="145"/>
    </row>
    <row r="9" spans="2:13" ht="30" customHeight="1" thickBot="1">
      <c r="B9" s="67" t="s">
        <v>9</v>
      </c>
      <c r="C9" s="190" t="s">
        <v>63</v>
      </c>
      <c r="D9" s="190" t="s">
        <v>64</v>
      </c>
      <c r="E9" s="190" t="s">
        <v>65</v>
      </c>
      <c r="F9" s="190" t="s">
        <v>66</v>
      </c>
      <c r="G9" s="190" t="s">
        <v>67</v>
      </c>
      <c r="H9" s="319" t="s">
        <v>68</v>
      </c>
      <c r="I9" s="319"/>
      <c r="J9" s="319"/>
      <c r="K9" s="319"/>
      <c r="L9" s="191" t="s">
        <v>98</v>
      </c>
    </row>
    <row r="10" spans="2:13" ht="30" customHeight="1">
      <c r="B10" s="404" t="s">
        <v>88</v>
      </c>
      <c r="C10" s="405" t="s">
        <v>89</v>
      </c>
      <c r="D10" s="231" t="s">
        <v>202</v>
      </c>
      <c r="E10" s="218"/>
      <c r="F10" s="219" t="str">
        <f>IF(D10="","","kW")</f>
        <v>kW</v>
      </c>
      <c r="G10" s="220">
        <f>IF(D10="","",IFERROR(INDEX('[4]INFO-Consumo'!$F$9:$F$95,
       MATCH(D10, '[4]INFO-Consumo'!$D$9:$D$95, 0)),""))</f>
        <v>1</v>
      </c>
      <c r="H10" s="401"/>
      <c r="I10" s="402"/>
      <c r="J10" s="402"/>
      <c r="K10" s="403"/>
      <c r="L10" s="400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0.30316793172398854</v>
      </c>
    </row>
    <row r="11" spans="2:13" ht="30" customHeight="1">
      <c r="B11" s="392"/>
      <c r="C11" s="393"/>
      <c r="D11" s="221" t="str">
        <f>IF(D10="", "Seleccionar Maquinaria ↑", "Carga Promedio de Uso de " &amp; D10)</f>
        <v>Carga Promedio de Uso de HER. AUT MS03 DP 02HTQJ2</v>
      </c>
      <c r="E11" s="222"/>
      <c r="F11" s="223" t="str">
        <f>IF(ISERROR(FIND("Seleccionar", D11)), "%", "")</f>
        <v>%</v>
      </c>
      <c r="G11" s="289">
        <f>IF(D10="","",IFERROR(
    INDEX('[4]INFO-Consumo'!I:I,
           MATCH(D10, '[4]INFO-Consumo'!D:D, 0)
    ),
""))</f>
        <v>0.6</v>
      </c>
      <c r="H11" s="384"/>
      <c r="I11" s="384"/>
      <c r="J11" s="384"/>
      <c r="K11" s="384"/>
      <c r="L11" s="399"/>
    </row>
    <row r="12" spans="2:13" ht="30" customHeight="1">
      <c r="B12" s="392"/>
      <c r="C12" s="393"/>
      <c r="D12" s="232" t="s">
        <v>173</v>
      </c>
      <c r="E12" s="222"/>
      <c r="F12" s="223" t="str">
        <f>IF(D12="","","kW")</f>
        <v>kW</v>
      </c>
      <c r="G12" s="224">
        <f>IFERROR(INDEX('[4]INFO-Ponderacion'!$S$9:$S$13,
       MATCH(D12,'[4]INFO-Ponderacion'!$C$9:$C$13, 0)),"")</f>
        <v>2.4095999999999997</v>
      </c>
      <c r="H12" s="286"/>
      <c r="I12" s="287"/>
      <c r="J12" s="287"/>
      <c r="K12" s="288"/>
      <c r="L12" s="399"/>
    </row>
    <row r="13" spans="2:13" ht="30" customHeight="1">
      <c r="B13" s="392"/>
      <c r="C13" s="393"/>
      <c r="D13" s="221" t="str">
        <f>IF(D12="", "Seleccionar Area ↑", "Tarifa Electrica ")</f>
        <v xml:space="preserve">Tarifa Electrica </v>
      </c>
      <c r="E13" s="222"/>
      <c r="F13" s="223" t="str">
        <f>IF(D12="","","$/kWh")</f>
        <v>$/kWh</v>
      </c>
      <c r="G13" s="228">
        <f>IF(D12="","",'INFO-Direc'!$G$9)</f>
        <v>5.2613958629577628E-2</v>
      </c>
      <c r="H13" s="384"/>
      <c r="I13" s="384"/>
      <c r="J13" s="384"/>
      <c r="K13" s="384"/>
      <c r="L13" s="399"/>
    </row>
    <row r="14" spans="2:13" ht="30" customHeight="1">
      <c r="B14" s="392"/>
      <c r="C14" s="393"/>
      <c r="D14" s="229" t="str">
        <f>IF(D12="", "Seleccionar Area ↑", "Costo Electrico Fijo de " &amp; D12)</f>
        <v>Costo Electrico Fijo de Ensamble</v>
      </c>
      <c r="E14" s="222"/>
      <c r="F14" s="223" t="str">
        <f>IF(D12="","","$/h")</f>
        <v>$/h</v>
      </c>
      <c r="G14" s="290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0.14482096183241172</v>
      </c>
      <c r="H14" s="385"/>
      <c r="I14" s="386"/>
      <c r="J14" s="386"/>
      <c r="K14" s="387"/>
      <c r="L14" s="399"/>
    </row>
    <row r="15" spans="2:13" ht="30" customHeight="1">
      <c r="B15" s="389"/>
      <c r="C15" s="391"/>
      <c r="D15" s="229" t="s">
        <v>85</v>
      </c>
      <c r="E15" s="230"/>
      <c r="F15" s="223" t="str">
        <f>IF(D12="","","$/h")</f>
        <v>$/h</v>
      </c>
      <c r="G15" s="233"/>
      <c r="H15" s="385"/>
      <c r="I15" s="386"/>
      <c r="J15" s="386"/>
      <c r="K15" s="387"/>
      <c r="L15" s="398"/>
    </row>
    <row r="16" spans="2:13" ht="30" customHeight="1">
      <c r="B16" s="388" t="s">
        <v>90</v>
      </c>
      <c r="C16" s="394" t="s">
        <v>89</v>
      </c>
      <c r="D16" s="232"/>
      <c r="E16" s="222"/>
      <c r="F16" s="223" t="str">
        <f>IF(D16="","","$/L")</f>
        <v/>
      </c>
      <c r="G16" s="228" t="str">
        <f>IFERROR(INDEX('INFO-Direc'!$G$9:$G$25,
       MATCH(D16, 'INFO-Direc'!$D$9:$D$25, 0)),"")</f>
        <v/>
      </c>
      <c r="H16" s="384"/>
      <c r="I16" s="384"/>
      <c r="J16" s="384"/>
      <c r="K16" s="384"/>
      <c r="L16" s="397" t="str">
        <f>IF(AND(D16="", D18=""), "",
    IFERROR(
        IFERROR(G16*G17,0)
        + IFERROR(G18*G19,0)
        + IFERROR(G20,0),
    "")
)</f>
        <v/>
      </c>
    </row>
    <row r="17" spans="2:12" ht="30" customHeight="1">
      <c r="B17" s="392"/>
      <c r="C17" s="395"/>
      <c r="D17" s="221" t="str">
        <f>IF(D16="", "Seleccionar Lubricante ↑", "Consumo de " &amp; D16)</f>
        <v>Seleccionar Lubricante ↑</v>
      </c>
      <c r="E17" s="222"/>
      <c r="F17" s="223" t="str">
        <f>IF(ISERROR(FIND("Seleccionar", D17)), "L/h", "")</f>
        <v/>
      </c>
      <c r="G17" s="234"/>
      <c r="H17" s="384"/>
      <c r="I17" s="384"/>
      <c r="J17" s="384"/>
      <c r="K17" s="384"/>
      <c r="L17" s="399"/>
    </row>
    <row r="18" spans="2:12" ht="30" customHeight="1">
      <c r="B18" s="392"/>
      <c r="C18" s="395"/>
      <c r="D18" s="232"/>
      <c r="E18" s="222"/>
      <c r="F18" s="223" t="str">
        <f>IF(D18="","","$/L")</f>
        <v/>
      </c>
      <c r="G18" s="228" t="str">
        <f>IFERROR(INDEX('INFO-Direc'!$G$9:$G$25,
       MATCH(D18, 'INFO-Direc'!$D$9:$D$25, 0)),"")</f>
        <v/>
      </c>
      <c r="H18" s="385"/>
      <c r="I18" s="386"/>
      <c r="J18" s="386"/>
      <c r="K18" s="387"/>
      <c r="L18" s="399"/>
    </row>
    <row r="19" spans="2:12" ht="30" customHeight="1">
      <c r="B19" s="392"/>
      <c r="C19" s="395"/>
      <c r="D19" s="221" t="str">
        <f>IF(D18="", "Seleccionar Lubricante ↑", "Consumo de " &amp; D18)</f>
        <v>Seleccionar Lubricante ↑</v>
      </c>
      <c r="E19" s="222"/>
      <c r="F19" s="223" t="str">
        <f>IF(ISERROR(FIND("Seleccionar", D19)), "L/h", "")</f>
        <v/>
      </c>
      <c r="G19" s="234"/>
      <c r="H19" s="385"/>
      <c r="I19" s="386"/>
      <c r="J19" s="386"/>
      <c r="K19" s="387"/>
      <c r="L19" s="399"/>
    </row>
    <row r="20" spans="2:12" ht="30" customHeight="1">
      <c r="B20" s="389"/>
      <c r="C20" s="396"/>
      <c r="D20" s="221" t="s">
        <v>85</v>
      </c>
      <c r="E20" s="222"/>
      <c r="F20" s="223" t="str">
        <f>IF(OR(D16&lt;&gt;"", D18&lt;&gt;""), "$/h", "")</f>
        <v/>
      </c>
      <c r="G20" s="233"/>
      <c r="H20" s="384"/>
      <c r="I20" s="384"/>
      <c r="J20" s="384"/>
      <c r="K20" s="384"/>
      <c r="L20" s="398"/>
    </row>
    <row r="21" spans="2:12" ht="30" customHeight="1">
      <c r="B21" s="388" t="s">
        <v>92</v>
      </c>
      <c r="C21" s="390" t="s">
        <v>89</v>
      </c>
      <c r="D21" s="232" t="s">
        <v>138</v>
      </c>
      <c r="E21" s="222"/>
      <c r="F21" s="223" t="str">
        <f>IF(D21="","","kW")</f>
        <v>kW</v>
      </c>
      <c r="G21" s="228">
        <f>IFERROR(INDEX('INFO-Direc'!$G$9:$G$25,
       MATCH(D21, 'INFO-Direc'!$D$9:$D$25, 0)),"")</f>
        <v>56</v>
      </c>
      <c r="H21" s="385"/>
      <c r="I21" s="386"/>
      <c r="J21" s="386"/>
      <c r="K21" s="387"/>
      <c r="L21" s="397">
        <f>IFERROR(G21*G13*G22+G23+G24,"")</f>
        <v>1.8303340099538083</v>
      </c>
    </row>
    <row r="22" spans="2:12" ht="30" customHeight="1">
      <c r="B22" s="392"/>
      <c r="C22" s="393"/>
      <c r="D22" s="221" t="str">
        <f>IF(D21="", "Seleccionar Compresor ↑", "Carga Promedio de Uso de " &amp; D21)</f>
        <v>Carga Promedio de Uso de Compresor</v>
      </c>
      <c r="E22" s="222"/>
      <c r="F22" s="223" t="str">
        <f>IF(ISERROR(FIND("Seleccionar", D22)), "%", "")</f>
        <v>%</v>
      </c>
      <c r="G22" s="289">
        <f>IF(D21="","",IFERROR(
    INDEX('[4]INFO-Consumo'!I:I,
           MATCH(D21, '[4]INFO-Consumo'!D:D, 0)
    ),
""))</f>
        <v>0.6</v>
      </c>
      <c r="H22" s="384"/>
      <c r="I22" s="384"/>
      <c r="J22" s="384"/>
      <c r="K22" s="384"/>
      <c r="L22" s="399"/>
    </row>
    <row r="23" spans="2:12" ht="30" customHeight="1">
      <c r="B23" s="392"/>
      <c r="C23" s="393"/>
      <c r="D23" s="235" t="str">
        <f>IF(D21="", "Seleccionar Compresor ↑", "Costo de Repuestos " &amp; D21)</f>
        <v>Costo de Repuestos Compresor</v>
      </c>
      <c r="E23" s="222"/>
      <c r="F23" s="223" t="str">
        <f>IF(ISERROR(FIND("Seleccionar", D23)), "$/h", "")</f>
        <v>$/h</v>
      </c>
      <c r="G23" s="236">
        <f>IF(D21="","", SUM(IF(ISNUMBER(FIND("Compresor", 'INFO-Mant'!D9:D26)), 'INFO-Mant'!G9:G26 / 'INFO-Mant'!H9:H26, 0)))</f>
        <v>6.2505000000000005E-2</v>
      </c>
      <c r="H23" s="385"/>
      <c r="I23" s="386"/>
      <c r="J23" s="386"/>
      <c r="K23" s="387"/>
      <c r="L23" s="399"/>
    </row>
    <row r="24" spans="2:12" ht="30" customHeight="1">
      <c r="B24" s="389"/>
      <c r="C24" s="391"/>
      <c r="D24" s="221" t="s">
        <v>85</v>
      </c>
      <c r="E24" s="222"/>
      <c r="F24" s="223" t="str">
        <f>IF(D21="","","$/h")</f>
        <v>$/h</v>
      </c>
      <c r="G24" s="233"/>
      <c r="H24" s="384"/>
      <c r="I24" s="384"/>
      <c r="J24" s="384"/>
      <c r="K24" s="384"/>
      <c r="L24" s="398"/>
    </row>
    <row r="25" spans="2:12" ht="30" customHeight="1">
      <c r="B25" s="388" t="s">
        <v>94</v>
      </c>
      <c r="C25" s="390" t="s">
        <v>89</v>
      </c>
      <c r="D25" s="232"/>
      <c r="E25" s="222"/>
      <c r="F25" s="223" t="str">
        <f>IF(D25="","","$/L")</f>
        <v/>
      </c>
      <c r="G25" s="228" t="str">
        <f>IFERROR(INDEX('INFO-Direc'!$G$9:$G$25,
       MATCH(D25, 'INFO-Direc'!$D$9:$D$25, 0)),"")</f>
        <v/>
      </c>
      <c r="H25" s="384"/>
      <c r="I25" s="384"/>
      <c r="J25" s="384"/>
      <c r="K25" s="384"/>
      <c r="L25" s="381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92"/>
      <c r="C26" s="393"/>
      <c r="D26" s="221" t="str">
        <f>IF(D25="", "Seleccionar Refrigerante ↑", "Consumo de " &amp; D25)</f>
        <v>Seleccionar Refrigerante ↑</v>
      </c>
      <c r="E26" s="222"/>
      <c r="F26" s="223" t="str">
        <f>IF(ISERROR(FIND("Seleccionar", D26)), "L/Año", "")</f>
        <v/>
      </c>
      <c r="G26" s="238"/>
      <c r="H26" s="384"/>
      <c r="I26" s="384"/>
      <c r="J26" s="384"/>
      <c r="K26" s="384"/>
      <c r="L26" s="382"/>
    </row>
    <row r="27" spans="2:12" ht="30" customHeight="1">
      <c r="B27" s="392"/>
      <c r="C27" s="393"/>
      <c r="D27" s="232"/>
      <c r="E27" s="222"/>
      <c r="F27" s="223" t="str">
        <f>IF(D27="","","$/L")</f>
        <v/>
      </c>
      <c r="G27" s="228" t="str">
        <f>IFERROR(INDEX('INFO-Direc'!$G$9:$G$25,
       MATCH(D27, 'INFO-Direc'!$D$9:$D$25, 0)),"")</f>
        <v/>
      </c>
      <c r="H27" s="385"/>
      <c r="I27" s="386"/>
      <c r="J27" s="386"/>
      <c r="K27" s="387"/>
      <c r="L27" s="382"/>
    </row>
    <row r="28" spans="2:12" ht="30" customHeight="1">
      <c r="B28" s="392"/>
      <c r="C28" s="393"/>
      <c r="D28" s="221" t="str">
        <f>IF(D27="", "Seleccionar Refrigerante ↑", "Consumo de " &amp; D27)</f>
        <v>Seleccionar Refrigerante ↑</v>
      </c>
      <c r="E28" s="222"/>
      <c r="F28" s="223" t="str">
        <f>IF(ISERROR(FIND("Seleccionar", D28)), "L/Año", "")</f>
        <v/>
      </c>
      <c r="G28" s="239"/>
      <c r="H28" s="385"/>
      <c r="I28" s="386"/>
      <c r="J28" s="386"/>
      <c r="K28" s="387"/>
      <c r="L28" s="382"/>
    </row>
    <row r="29" spans="2:12" ht="30" customHeight="1">
      <c r="B29" s="389"/>
      <c r="C29" s="391"/>
      <c r="D29" s="221" t="s">
        <v>85</v>
      </c>
      <c r="E29" s="222"/>
      <c r="F29" s="223" t="str">
        <f>IF(OR(D25&lt;&gt;"", D27&lt;&gt;""), "$/h", "")</f>
        <v/>
      </c>
      <c r="G29" s="233"/>
      <c r="H29" s="384"/>
      <c r="I29" s="384"/>
      <c r="J29" s="384"/>
      <c r="K29" s="384"/>
      <c r="L29" s="383"/>
    </row>
    <row r="30" spans="2:12" s="152" customFormat="1" ht="30" customHeight="1">
      <c r="B30" s="388" t="s">
        <v>168</v>
      </c>
      <c r="C30" s="394" t="s">
        <v>89</v>
      </c>
      <c r="D30" s="232"/>
      <c r="E30" s="222"/>
      <c r="F30" s="223" t="str">
        <f>IF(D30="","","$/L")</f>
        <v/>
      </c>
      <c r="G30" s="228" t="str">
        <f>IFERROR(INDEX('INFO-Direc'!$G$9:$G$25,
       MATCH(D30, 'INFO-Direc'!$D$9:$D$25, 0)),"")</f>
        <v/>
      </c>
      <c r="H30" s="384"/>
      <c r="I30" s="384"/>
      <c r="J30" s="384"/>
      <c r="K30" s="384"/>
      <c r="L30" s="381" t="str">
        <f>IF(
    AND(D30="", D32=""),
    "",
    IFERROR(
        IFERROR(G30 / (INDEX('INFO-OEE'!$E$18:$CA$18,
                               MATCH(#REF!, 'INFO-OEE'!$E$9:$CA$9, 0)) * 12), 0)
        * G31
        +
        IFERROR(G32 / (INDEX('INFO-OEE'!$E$18:$CA$18,
                               MATCH(#REF!, 'INFO-OEE'!$E$9:$CA$9, 0)) * 12), 0)
        * G33
        +
        IFERROR(G34, 0),
    "")
)</f>
        <v/>
      </c>
    </row>
    <row r="31" spans="2:12" s="152" customFormat="1" ht="30" customHeight="1">
      <c r="B31" s="392"/>
      <c r="C31" s="395"/>
      <c r="D31" s="221" t="str">
        <f>IF(D30="", "Seleccionar Solvente ↑", "Consumo de " &amp; D30)</f>
        <v>Seleccionar Solvente ↑</v>
      </c>
      <c r="E31" s="222"/>
      <c r="F31" s="223" t="str">
        <f>IF(ISERROR(FIND("Seleccionar", D31)), "L/Año", "")</f>
        <v/>
      </c>
      <c r="G31" s="234"/>
      <c r="H31" s="384"/>
      <c r="I31" s="384"/>
      <c r="J31" s="384"/>
      <c r="K31" s="384"/>
      <c r="L31" s="382"/>
    </row>
    <row r="32" spans="2:12" s="152" customFormat="1" ht="30" customHeight="1">
      <c r="B32" s="392"/>
      <c r="C32" s="395"/>
      <c r="D32" s="232"/>
      <c r="E32" s="222"/>
      <c r="F32" s="223" t="str">
        <f>IF(D32="","","$/L")</f>
        <v/>
      </c>
      <c r="G32" s="228" t="str">
        <f>IFERROR(INDEX('INFO-Direc'!$G$9:$G$25,
       MATCH(D32, 'INFO-Direc'!$D$9:$D$25, 0)),"")</f>
        <v/>
      </c>
      <c r="H32" s="385"/>
      <c r="I32" s="386"/>
      <c r="J32" s="386"/>
      <c r="K32" s="387"/>
      <c r="L32" s="382"/>
    </row>
    <row r="33" spans="2:12" s="152" customFormat="1" ht="30" customHeight="1">
      <c r="B33" s="392"/>
      <c r="C33" s="395"/>
      <c r="D33" s="221" t="str">
        <f>IF(D32="", "Seleccionar Solvente ↑", "Consumo de " &amp; D32)</f>
        <v>Seleccionar Solvente ↑</v>
      </c>
      <c r="E33" s="222"/>
      <c r="F33" s="223" t="str">
        <f>IF(ISERROR(FIND("Seleccionar", D33)), "L/Año", "")</f>
        <v/>
      </c>
      <c r="G33" s="234"/>
      <c r="H33" s="385"/>
      <c r="I33" s="386"/>
      <c r="J33" s="386"/>
      <c r="K33" s="387"/>
      <c r="L33" s="382"/>
    </row>
    <row r="34" spans="2:12" s="152" customFormat="1" ht="30" customHeight="1">
      <c r="B34" s="389"/>
      <c r="C34" s="396"/>
      <c r="D34" s="221" t="s">
        <v>85</v>
      </c>
      <c r="E34" s="222"/>
      <c r="F34" s="223" t="str">
        <f>IF(OR(D30&lt;&gt;"", D32&lt;&gt;""), "$/h", "")</f>
        <v/>
      </c>
      <c r="G34" s="233"/>
      <c r="H34" s="384"/>
      <c r="I34" s="384"/>
      <c r="J34" s="384"/>
      <c r="K34" s="384"/>
      <c r="L34" s="383"/>
    </row>
    <row r="35" spans="2:12" ht="30" customHeight="1">
      <c r="B35" s="388" t="s">
        <v>100</v>
      </c>
      <c r="C35" s="390" t="s">
        <v>89</v>
      </c>
      <c r="D35" s="221" t="str">
        <f>IF(D12="", "Seleccionar Area ↑", "Costo de Operarios")</f>
        <v>Costo de Operarios</v>
      </c>
      <c r="E35" s="222"/>
      <c r="F35" s="223" t="str">
        <f>IF(D12="","","$/mes")</f>
        <v>$/mes</v>
      </c>
      <c r="G35" s="237">
        <f>IF(D12="","",IFERROR(
    INDEX('INFO-Personal'!$E$26:$CA$26,
           MATCH($C$3, 'INFO-Personal'!$E$9:$CA$9, 0)
    ),
""))</f>
        <v>710.55480696864117</v>
      </c>
      <c r="H35" s="384"/>
      <c r="I35" s="384"/>
      <c r="J35" s="384"/>
      <c r="K35" s="384"/>
      <c r="L35" s="397">
        <f>IFERROR(
    (G35 / INDEX('INFO-OEE'!$E$18:$CA$18,
                  MATCH($C$3, 'INFO-OEE'!$E$9:$CA$9, 0)))
    + G36,
"")</f>
        <v>5.046554026765917</v>
      </c>
    </row>
    <row r="36" spans="2:12" ht="30" customHeight="1">
      <c r="B36" s="389"/>
      <c r="C36" s="391"/>
      <c r="D36" s="221" t="s">
        <v>85</v>
      </c>
      <c r="E36" s="222"/>
      <c r="F36" s="223" t="str">
        <f>IF(D12="","","$/h")</f>
        <v>$/h</v>
      </c>
      <c r="G36" s="240"/>
      <c r="H36" s="384"/>
      <c r="I36" s="384"/>
      <c r="J36" s="384"/>
      <c r="K36" s="384"/>
      <c r="L36" s="398"/>
    </row>
    <row r="37" spans="2:12" ht="30" customHeight="1">
      <c r="B37" s="241"/>
      <c r="C37" s="242"/>
      <c r="D37" s="243"/>
      <c r="E37" s="242"/>
      <c r="F37" s="244"/>
      <c r="G37" s="245"/>
      <c r="H37" s="409"/>
      <c r="I37" s="409"/>
      <c r="J37" s="409"/>
      <c r="K37" s="409"/>
      <c r="L37" s="246"/>
    </row>
    <row r="38" spans="2:12" ht="30" customHeight="1">
      <c r="B38" s="388" t="s">
        <v>16</v>
      </c>
      <c r="C38" s="390" t="s">
        <v>69</v>
      </c>
      <c r="D38" s="221" t="str">
        <f>IF(D12="", "Seleccionar Area ↑", "Costo de Supervisores")</f>
        <v>Costo de Supervisores</v>
      </c>
      <c r="E38" s="222"/>
      <c r="F38" s="247" t="str">
        <f>IF(D12="","","$/mes")</f>
        <v>$/mes</v>
      </c>
      <c r="G38" s="237">
        <f>IF(D12="","",IFERROR(
    INDEX('INFO-Personal'!$E$27:$CA$27,
           MATCH($C$3, 'INFO-Personal'!$E$9:$CA$9, 0)
    ),
""))</f>
        <v>0</v>
      </c>
      <c r="H38" s="385"/>
      <c r="I38" s="386"/>
      <c r="J38" s="386"/>
      <c r="K38" s="387"/>
      <c r="L38" s="397">
        <f>IFERROR(
    (G38 / INDEX('INFO-OEE'!$E$18:$CA$18,
                  MATCH($C$3, 'INFO-OEE'!$E$9:$CA$9, 0)))
    + G39,
"")</f>
        <v>0</v>
      </c>
    </row>
    <row r="39" spans="2:12" ht="30" customHeight="1">
      <c r="B39" s="392"/>
      <c r="C39" s="393"/>
      <c r="D39" s="221" t="s">
        <v>85</v>
      </c>
      <c r="E39" s="222"/>
      <c r="F39" s="223" t="str">
        <f>IF(D12="","","$/h")</f>
        <v>$/h</v>
      </c>
      <c r="G39" s="240"/>
      <c r="H39" s="385"/>
      <c r="I39" s="386"/>
      <c r="J39" s="386"/>
      <c r="K39" s="387"/>
      <c r="L39" s="399"/>
    </row>
    <row r="40" spans="2:12" ht="30" customHeight="1">
      <c r="B40" s="388" t="s">
        <v>101</v>
      </c>
      <c r="C40" s="390" t="s">
        <v>69</v>
      </c>
      <c r="D40" s="221" t="str">
        <f>IF(D12="", "Seleccionar Area ↑", "Costo de Mant. Preventivo")</f>
        <v>Costo de Mant. Preventivo</v>
      </c>
      <c r="E40" s="222"/>
      <c r="F40" s="247" t="str">
        <f>IF(D12="","","$/mes")</f>
        <v>$/mes</v>
      </c>
      <c r="G40" s="237">
        <f>IF(D12="","",IFERROR(
    INDEX('INFO-Personal'!$E$28:$CA$28,
           MATCH($C$3, 'INFO-Personal'!$E$9:$CA$9, 0)
    ),
""))</f>
        <v>0</v>
      </c>
      <c r="H40" s="385"/>
      <c r="I40" s="386"/>
      <c r="J40" s="386"/>
      <c r="K40" s="387"/>
      <c r="L40" s="397">
        <f>IF(D12="","",SUM(
    IFERROR((G40+G41) / INDEX('INFO-OEE'!$E$18:$CA$18, MATCH(C3, 'INFO-OEE'!$E$9:$CA$9, 0)), 0),
    IFERROR(G42 / G43, 0),
    IFERROR(G44 / G45, 0),
    IFERROR(G46 / G47, 0),
    IFERROR(G48, 0)
))</f>
        <v>0.25023513374001316</v>
      </c>
    </row>
    <row r="41" spans="2:12" ht="30" customHeight="1">
      <c r="B41" s="392"/>
      <c r="C41" s="393"/>
      <c r="D41" s="221" t="str">
        <f>IF(D12="", "Seleccionar Area ↑", "Costo de Mant. Correctivo")</f>
        <v>Costo de Mant. Correctivo</v>
      </c>
      <c r="E41" s="222"/>
      <c r="F41" s="247" t="str">
        <f>IF(D12="","","$/mes")</f>
        <v>$/mes</v>
      </c>
      <c r="G41" s="237">
        <f>IF(D12="","",IFERROR(
    INDEX('INFO-Personal'!$E$29:$CA$29,
           MATCH($C$3, 'INFO-Personal'!$E$9:$CA$9, 0)
    ),
""))</f>
        <v>35.233106830593854</v>
      </c>
      <c r="H41" s="385"/>
      <c r="I41" s="386"/>
      <c r="J41" s="386"/>
      <c r="K41" s="387"/>
      <c r="L41" s="399"/>
    </row>
    <row r="42" spans="2:12" ht="30" customHeight="1">
      <c r="B42" s="392"/>
      <c r="C42" s="393"/>
      <c r="D42" s="232"/>
      <c r="E42" s="222"/>
      <c r="F42" s="223" t="str">
        <f>IF(D42="","","$/u")</f>
        <v/>
      </c>
      <c r="G42" s="237" t="str">
        <f>IFERROR(INDEX('INFO-Mant'!$G$9:$G$26,
       MATCH(D42, 'INFO-Mant'!$D$9:$D$26, 0)),"")</f>
        <v/>
      </c>
      <c r="H42" s="385"/>
      <c r="I42" s="386"/>
      <c r="J42" s="386"/>
      <c r="K42" s="387"/>
      <c r="L42" s="399"/>
    </row>
    <row r="43" spans="2:12" ht="30" customHeight="1">
      <c r="B43" s="392"/>
      <c r="C43" s="393"/>
      <c r="D43" s="221" t="str">
        <f>IF(D42="", "Seleccionar Repuesto ↑", "Vida Util de " &amp; D42)</f>
        <v>Seleccionar Repuesto ↑</v>
      </c>
      <c r="E43" s="222"/>
      <c r="F43" s="223" t="str">
        <f>IF(ISERROR(FIND("Seleccionar", D43)), "Horas/u", "")</f>
        <v/>
      </c>
      <c r="G43" s="238"/>
      <c r="H43" s="385"/>
      <c r="I43" s="386"/>
      <c r="J43" s="386"/>
      <c r="K43" s="387"/>
      <c r="L43" s="399"/>
    </row>
    <row r="44" spans="2:12" ht="30" customHeight="1">
      <c r="B44" s="392"/>
      <c r="C44" s="393"/>
      <c r="D44" s="232"/>
      <c r="E44" s="222"/>
      <c r="F44" s="223" t="str">
        <f>IF(D44="","","$/u")</f>
        <v/>
      </c>
      <c r="G44" s="237" t="str">
        <f>IFERROR(INDEX('INFO-Mant'!$G$9:$G$26,
       MATCH(D44, 'INFO-Mant'!$D$9:$D$26, 0)),"")</f>
        <v/>
      </c>
      <c r="H44" s="385"/>
      <c r="I44" s="386"/>
      <c r="J44" s="386"/>
      <c r="K44" s="387"/>
      <c r="L44" s="399"/>
    </row>
    <row r="45" spans="2:12" ht="30" customHeight="1">
      <c r="B45" s="392"/>
      <c r="C45" s="393"/>
      <c r="D45" s="221" t="str">
        <f>IF(D44="", "Seleccionar Repuesto ↑", "Vida Util de " &amp; D44)</f>
        <v>Seleccionar Repuesto ↑</v>
      </c>
      <c r="E45" s="222"/>
      <c r="F45" s="223" t="str">
        <f>IF(ISERROR(FIND("Seleccionar", D45)), "Horas/u", "")</f>
        <v/>
      </c>
      <c r="G45" s="238"/>
      <c r="H45" s="385"/>
      <c r="I45" s="386"/>
      <c r="J45" s="386"/>
      <c r="K45" s="387"/>
      <c r="L45" s="399"/>
    </row>
    <row r="46" spans="2:12" ht="30" customHeight="1">
      <c r="B46" s="392"/>
      <c r="C46" s="393"/>
      <c r="D46" s="232"/>
      <c r="E46" s="222"/>
      <c r="F46" s="223" t="str">
        <f>IF(D46="","","$/u")</f>
        <v/>
      </c>
      <c r="G46" s="237" t="str">
        <f>IFERROR(INDEX('INFO-Mant'!$G$9:$G$26,
       MATCH(D46, 'INFO-Mant'!$D$9:$D$26, 0)),"")</f>
        <v/>
      </c>
      <c r="H46" s="385"/>
      <c r="I46" s="386"/>
      <c r="J46" s="386"/>
      <c r="K46" s="387"/>
      <c r="L46" s="399"/>
    </row>
    <row r="47" spans="2:12" ht="29.25" customHeight="1">
      <c r="B47" s="392"/>
      <c r="C47" s="393"/>
      <c r="D47" s="221" t="str">
        <f>IF(D46="", "Seleccionar Repuesto ↑", "Vida Util de " &amp; D46)</f>
        <v>Seleccionar Repuesto ↑</v>
      </c>
      <c r="E47" s="222"/>
      <c r="F47" s="223" t="str">
        <f>IF(ISERROR(FIND("Seleccionar", D47)), "Horas/u", "")</f>
        <v/>
      </c>
      <c r="G47" s="240"/>
      <c r="H47" s="385"/>
      <c r="I47" s="386"/>
      <c r="J47" s="386"/>
      <c r="K47" s="387"/>
      <c r="L47" s="399"/>
    </row>
    <row r="48" spans="2:12" ht="30" customHeight="1">
      <c r="B48" s="389"/>
      <c r="C48" s="391"/>
      <c r="D48" s="221" t="s">
        <v>85</v>
      </c>
      <c r="E48" s="222"/>
      <c r="F48" s="223" t="str">
        <f>IF(D12="","","$/h")</f>
        <v>$/h</v>
      </c>
      <c r="G48" s="240"/>
      <c r="H48" s="385"/>
      <c r="I48" s="386"/>
      <c r="J48" s="386"/>
      <c r="K48" s="387"/>
      <c r="L48" s="398"/>
    </row>
    <row r="49" spans="2:12" ht="30" customHeight="1">
      <c r="B49" s="248"/>
      <c r="C49" s="249"/>
      <c r="D49" s="250"/>
      <c r="E49" s="249"/>
      <c r="F49" s="251"/>
      <c r="G49" s="252"/>
      <c r="H49" s="249"/>
      <c r="I49" s="249"/>
      <c r="J49" s="249"/>
      <c r="K49" s="249"/>
      <c r="L49" s="253"/>
    </row>
    <row r="50" spans="2:12" ht="30" customHeight="1">
      <c r="B50" s="388" t="s">
        <v>102</v>
      </c>
      <c r="C50" s="394" t="s">
        <v>103</v>
      </c>
      <c r="D50" s="232"/>
      <c r="E50" s="222"/>
      <c r="F50" s="223" t="str">
        <f>IF(D50="","","$/h")</f>
        <v/>
      </c>
      <c r="G50" s="23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410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410"/>
      <c r="J50" s="410"/>
      <c r="K50" s="410"/>
      <c r="L50" s="255" t="str">
        <f ca="1">G50</f>
        <v/>
      </c>
    </row>
    <row r="51" spans="2:12" ht="30" customHeight="1">
      <c r="B51" s="392"/>
      <c r="C51" s="395"/>
      <c r="D51" s="232"/>
      <c r="E51" s="254"/>
      <c r="F51" s="223" t="str">
        <f>IF(D51="","","$/h")</f>
        <v/>
      </c>
      <c r="G51" s="23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410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410"/>
      <c r="J51" s="410"/>
      <c r="K51" s="410"/>
      <c r="L51" s="255" t="str">
        <f ca="1">G51</f>
        <v/>
      </c>
    </row>
    <row r="52" spans="2:12" ht="30" customHeight="1">
      <c r="B52" s="392"/>
      <c r="C52" s="395"/>
      <c r="D52" s="232"/>
      <c r="E52" s="222"/>
      <c r="F52" s="223" t="str">
        <f t="shared" ref="F52:F54" si="0">IF(D52="","","$/h")</f>
        <v/>
      </c>
      <c r="G52" s="23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410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410"/>
      <c r="J52" s="410"/>
      <c r="K52" s="410"/>
      <c r="L52" s="255" t="str">
        <f ca="1">G52</f>
        <v/>
      </c>
    </row>
    <row r="53" spans="2:12" ht="30" customHeight="1">
      <c r="B53" s="392"/>
      <c r="C53" s="395"/>
      <c r="D53" s="232"/>
      <c r="E53" s="222"/>
      <c r="F53" s="223" t="str">
        <f t="shared" si="0"/>
        <v/>
      </c>
      <c r="G53" s="23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410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410"/>
      <c r="J53" s="410"/>
      <c r="K53" s="410"/>
      <c r="L53" s="255" t="str">
        <f ca="1">G53</f>
        <v/>
      </c>
    </row>
    <row r="54" spans="2:12" ht="30" customHeight="1">
      <c r="B54" s="389"/>
      <c r="C54" s="396"/>
      <c r="D54" s="232"/>
      <c r="E54" s="222"/>
      <c r="F54" s="223" t="str">
        <f t="shared" si="0"/>
        <v/>
      </c>
      <c r="G54" s="23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410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410"/>
      <c r="J54" s="410"/>
      <c r="K54" s="410"/>
      <c r="L54" s="255" t="str">
        <f ca="1">G54</f>
        <v/>
      </c>
    </row>
    <row r="55" spans="2:12" ht="30" customHeight="1">
      <c r="B55" s="146"/>
      <c r="C55" s="147"/>
      <c r="D55" s="411"/>
      <c r="E55" s="411"/>
      <c r="F55" s="30"/>
      <c r="G55" s="30"/>
      <c r="H55" s="149"/>
      <c r="I55" s="149"/>
      <c r="J55" s="149"/>
      <c r="K55" s="30"/>
      <c r="L55" s="145"/>
    </row>
    <row r="56" spans="2:12" ht="30" customHeight="1" thickBot="1">
      <c r="B56" s="153" t="s">
        <v>39</v>
      </c>
      <c r="C56" s="330"/>
      <c r="D56" s="330"/>
      <c r="E56" s="154" t="s">
        <v>23</v>
      </c>
      <c r="F56" s="368"/>
      <c r="G56" s="368"/>
      <c r="H56" s="141"/>
      <c r="I56" s="141"/>
      <c r="J56" s="141"/>
      <c r="K56" s="256"/>
      <c r="L56" s="257"/>
    </row>
    <row r="57" spans="2:12" ht="30" customHeight="1" thickBot="1">
      <c r="B57" s="155"/>
      <c r="C57" s="156"/>
      <c r="D57" s="156"/>
      <c r="E57" s="156"/>
      <c r="F57" s="378"/>
      <c r="G57" s="378"/>
      <c r="H57" s="157"/>
      <c r="I57" s="157"/>
      <c r="J57" s="157"/>
      <c r="K57" s="258" t="s">
        <v>106</v>
      </c>
      <c r="L57" s="259">
        <f ca="1">IFERROR(SUM(L19:L54),"")</f>
        <v>7.127123170459738</v>
      </c>
    </row>
    <row r="59" spans="2:12" ht="30" customHeight="1">
      <c r="C59" s="117"/>
    </row>
  </sheetData>
  <sheetProtection selectLockedCells="1"/>
  <mergeCells count="80">
    <mergeCell ref="F57:G57"/>
    <mergeCell ref="B50:B54"/>
    <mergeCell ref="C50:C54"/>
    <mergeCell ref="H53:K53"/>
    <mergeCell ref="H54:K54"/>
    <mergeCell ref="D55:E55"/>
    <mergeCell ref="C56:D56"/>
    <mergeCell ref="F56:G56"/>
    <mergeCell ref="B38:B39"/>
    <mergeCell ref="C38:C39"/>
    <mergeCell ref="H50:K50"/>
    <mergeCell ref="H51:K51"/>
    <mergeCell ref="H52:K52"/>
    <mergeCell ref="B40:B48"/>
    <mergeCell ref="C40:C48"/>
    <mergeCell ref="H39:K39"/>
    <mergeCell ref="H40:K40"/>
    <mergeCell ref="H41:K41"/>
    <mergeCell ref="H42:K42"/>
    <mergeCell ref="H37:K37"/>
    <mergeCell ref="H38:K38"/>
    <mergeCell ref="L40:L48"/>
    <mergeCell ref="H44:K44"/>
    <mergeCell ref="H45:K45"/>
    <mergeCell ref="H46:K46"/>
    <mergeCell ref="H47:K47"/>
    <mergeCell ref="H48:K48"/>
    <mergeCell ref="H43:K43"/>
    <mergeCell ref="L38:L39"/>
    <mergeCell ref="C3:D3"/>
    <mergeCell ref="F3:G3"/>
    <mergeCell ref="C6:D6"/>
    <mergeCell ref="F6:G6"/>
    <mergeCell ref="C7:D7"/>
    <mergeCell ref="F7:G7"/>
    <mergeCell ref="H9:K9"/>
    <mergeCell ref="H10:K10"/>
    <mergeCell ref="H11:K11"/>
    <mergeCell ref="B10:B15"/>
    <mergeCell ref="C10:C15"/>
    <mergeCell ref="L10:L15"/>
    <mergeCell ref="H13:K13"/>
    <mergeCell ref="H15:K15"/>
    <mergeCell ref="H16:K16"/>
    <mergeCell ref="H17:K17"/>
    <mergeCell ref="H14:K14"/>
    <mergeCell ref="B16:B20"/>
    <mergeCell ref="C16:C20"/>
    <mergeCell ref="B21:B24"/>
    <mergeCell ref="C21:C24"/>
    <mergeCell ref="L16:L20"/>
    <mergeCell ref="H20:K20"/>
    <mergeCell ref="H18:K18"/>
    <mergeCell ref="H19:K19"/>
    <mergeCell ref="L21:L24"/>
    <mergeCell ref="H23:K23"/>
    <mergeCell ref="H24:K24"/>
    <mergeCell ref="H21:K21"/>
    <mergeCell ref="H22:K22"/>
    <mergeCell ref="H35:K35"/>
    <mergeCell ref="H36:K36"/>
    <mergeCell ref="L30:L34"/>
    <mergeCell ref="H34:K34"/>
    <mergeCell ref="L35:L36"/>
    <mergeCell ref="H33:K33"/>
    <mergeCell ref="H30:K30"/>
    <mergeCell ref="H31:K31"/>
    <mergeCell ref="H32:K32"/>
    <mergeCell ref="B35:B36"/>
    <mergeCell ref="C35:C36"/>
    <mergeCell ref="B25:B29"/>
    <mergeCell ref="C25:C29"/>
    <mergeCell ref="B30:B34"/>
    <mergeCell ref="C30:C34"/>
    <mergeCell ref="L25:L29"/>
    <mergeCell ref="H29:K29"/>
    <mergeCell ref="H28:K28"/>
    <mergeCell ref="H25:K25"/>
    <mergeCell ref="H26:K26"/>
    <mergeCell ref="H27:K27"/>
  </mergeCells>
  <dataValidations count="9">
    <dataValidation allowBlank="1" showInputMessage="1" showErrorMessage="1" prompt="Escriba comentarios en las celdas de la derecha." sqref="C59"/>
    <dataValidation type="list" allowBlank="1" showInputMessage="1" showErrorMessage="1" sqref="D51:D54">
      <formula1>Herramientas_Ensamble</formula1>
    </dataValidation>
    <dataValidation type="list" allowBlank="1" showInputMessage="1" showErrorMessage="1" sqref="D10 D50">
      <formula1>Maquinaria_Ensamble</formula1>
    </dataValidation>
    <dataValidation type="list" allowBlank="1" showInputMessage="1" showErrorMessage="1" sqref="D42 D44 D46">
      <formula1>Repuestos_Ensamble</formula1>
    </dataValidation>
    <dataValidation type="list" allowBlank="1" showInputMessage="1" showErrorMessage="1" sqref="D30 D32">
      <formula1>Solvente_Ensamble</formula1>
    </dataValidation>
    <dataValidation type="list" allowBlank="1" showInputMessage="1" showErrorMessage="1" sqref="D25 D27">
      <formula1>Refrigerantes_Ensamble</formula1>
    </dataValidation>
    <dataValidation type="list" allowBlank="1" showInputMessage="1" showErrorMessage="1" sqref="D21">
      <formula1>AireComprimido_Ensamble</formula1>
    </dataValidation>
    <dataValidation type="list" allowBlank="1" showInputMessage="1" showErrorMessage="1" sqref="D16 D18">
      <formula1>Lubricantes_Ensamble</formula1>
    </dataValidation>
    <dataValidation type="list" allowBlank="1" showInputMessage="1" showErrorMessage="1" sqref="D12">
      <formula1>Areas_Ensamble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54</xdr:row>
                    <xdr:rowOff>333375</xdr:rowOff>
                  </from>
                  <to>
                    <xdr:col>1</xdr:col>
                    <xdr:colOff>1762125</xdr:colOff>
                    <xdr:row>55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4">
    <tabColor rgb="FF0070C0"/>
    <pageSetUpPr autoPageBreaks="0" fitToPage="1"/>
  </sheetPr>
  <dimension ref="B1:M59"/>
  <sheetViews>
    <sheetView showGridLines="0" zoomScale="80" zoomScaleNormal="80" workbookViewId="0">
      <selection activeCell="D12" sqref="D12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3.140625" style="80" bestFit="1" customWidth="1"/>
    <col min="5" max="5" width="20.5703125" style="80" customWidth="1"/>
    <col min="6" max="6" width="16.5703125" style="80" bestFit="1" customWidth="1"/>
    <col min="7" max="7" width="19.7109375" style="80" bestFit="1" customWidth="1"/>
    <col min="8" max="8" width="15.28515625" style="80" customWidth="1"/>
    <col min="9" max="10" width="17" style="80" customWidth="1"/>
    <col min="11" max="11" width="28.42578125" style="80" customWidth="1"/>
    <col min="12" max="12" width="20.7109375" style="80" customWidth="1"/>
    <col min="13" max="13" width="2.7109375" style="80" customWidth="1"/>
    <col min="14" max="16384" width="9.140625" style="80"/>
  </cols>
  <sheetData>
    <row r="1" spans="2:13" ht="12" customHeight="1" thickBot="1"/>
    <row r="2" spans="2:13" ht="30" customHeight="1">
      <c r="B2" s="126" t="s">
        <v>95</v>
      </c>
      <c r="C2" s="127"/>
      <c r="D2" s="128"/>
      <c r="E2" s="128"/>
      <c r="F2" s="128"/>
      <c r="G2" s="128"/>
      <c r="H2" s="128"/>
      <c r="I2" s="128"/>
      <c r="J2" s="128"/>
      <c r="K2" s="128"/>
      <c r="L2" s="129"/>
    </row>
    <row r="3" spans="2:13" ht="30" customHeight="1">
      <c r="B3" s="130" t="s">
        <v>96</v>
      </c>
      <c r="C3" s="406" t="s">
        <v>201</v>
      </c>
      <c r="D3" s="406"/>
      <c r="E3" s="125" t="s">
        <v>3</v>
      </c>
      <c r="F3" s="356">
        <f ca="1">TODAY()</f>
        <v>46020</v>
      </c>
      <c r="G3" s="356"/>
      <c r="H3" s="125" t="s">
        <v>61</v>
      </c>
      <c r="I3" s="162">
        <f>'INFO-Direc'!H3</f>
        <v>1445</v>
      </c>
      <c r="J3" s="131"/>
      <c r="K3" s="132"/>
      <c r="L3" s="133"/>
      <c r="M3" s="134"/>
    </row>
    <row r="4" spans="2:13" ht="30" customHeight="1">
      <c r="B4" s="130" t="s">
        <v>97</v>
      </c>
      <c r="C4" s="160">
        <f>IFERROR(INDEX('INFO-OEE'!E17:CL17,
       MATCH(C3, 'INFO-OEE'!E9:CL9, 0)),"")</f>
        <v>0.8</v>
      </c>
      <c r="D4" s="135"/>
      <c r="E4" s="136"/>
      <c r="F4" s="136"/>
      <c r="G4" s="136"/>
      <c r="H4" s="125"/>
      <c r="I4" s="137"/>
      <c r="J4" s="131"/>
      <c r="K4" s="132"/>
      <c r="L4" s="138"/>
      <c r="M4" s="89"/>
    </row>
    <row r="5" spans="2:13" ht="30" customHeight="1">
      <c r="B5" s="139" t="s">
        <v>4</v>
      </c>
      <c r="C5" s="140"/>
      <c r="D5" s="141"/>
      <c r="E5" s="141"/>
      <c r="F5" s="141"/>
      <c r="G5" s="141"/>
      <c r="H5" s="141"/>
      <c r="I5" s="141"/>
      <c r="J5" s="141"/>
      <c r="K5" s="141"/>
      <c r="L5" s="142"/>
    </row>
    <row r="6" spans="2:13" ht="30" customHeight="1">
      <c r="B6" s="143" t="s">
        <v>5</v>
      </c>
      <c r="C6" s="407" t="s">
        <v>205</v>
      </c>
      <c r="D6" s="407"/>
      <c r="E6" s="144" t="s">
        <v>6</v>
      </c>
      <c r="F6" s="407"/>
      <c r="G6" s="407"/>
      <c r="H6" s="141"/>
      <c r="I6" s="141"/>
      <c r="J6" s="141"/>
      <c r="K6" s="30"/>
      <c r="L6" s="145"/>
    </row>
    <row r="7" spans="2:13" ht="30" customHeight="1">
      <c r="B7" s="143" t="s">
        <v>7</v>
      </c>
      <c r="C7" s="407" t="s">
        <v>207</v>
      </c>
      <c r="D7" s="407"/>
      <c r="E7" s="144" t="s">
        <v>62</v>
      </c>
      <c r="F7" s="408"/>
      <c r="G7" s="408"/>
      <c r="H7" s="141"/>
      <c r="I7" s="141"/>
      <c r="J7" s="141"/>
      <c r="K7" s="30"/>
      <c r="L7" s="145"/>
    </row>
    <row r="8" spans="2:13" ht="30" customHeight="1" thickBot="1">
      <c r="B8" s="146"/>
      <c r="C8" s="147"/>
      <c r="D8" s="148"/>
      <c r="E8" s="148"/>
      <c r="F8" s="30"/>
      <c r="G8" s="30"/>
      <c r="H8" s="149"/>
      <c r="I8" s="149"/>
      <c r="J8" s="149"/>
      <c r="K8" s="30"/>
      <c r="L8" s="145"/>
    </row>
    <row r="9" spans="2:13" ht="30" customHeight="1" thickBot="1">
      <c r="B9" s="67" t="s">
        <v>9</v>
      </c>
      <c r="C9" s="190" t="s">
        <v>63</v>
      </c>
      <c r="D9" s="190" t="s">
        <v>64</v>
      </c>
      <c r="E9" s="190" t="s">
        <v>65</v>
      </c>
      <c r="F9" s="190" t="s">
        <v>66</v>
      </c>
      <c r="G9" s="190" t="s">
        <v>67</v>
      </c>
      <c r="H9" s="319" t="s">
        <v>68</v>
      </c>
      <c r="I9" s="319"/>
      <c r="J9" s="319"/>
      <c r="K9" s="319"/>
      <c r="L9" s="191" t="s">
        <v>98</v>
      </c>
    </row>
    <row r="10" spans="2:13" ht="30" customHeight="1">
      <c r="B10" s="404" t="s">
        <v>88</v>
      </c>
      <c r="C10" s="405" t="s">
        <v>89</v>
      </c>
      <c r="D10" s="231" t="s">
        <v>201</v>
      </c>
      <c r="E10" s="218"/>
      <c r="F10" s="219" t="str">
        <f>IF(D10="","","kW")</f>
        <v>kW</v>
      </c>
      <c r="G10" s="220">
        <f>IF(D10="","",IFERROR(INDEX('[4]INFO-Consumo'!$F$9:$F$95,
       MATCH(D10, '[4]INFO-Consumo'!$D$9:$D$95, 0)),""))</f>
        <v>1</v>
      </c>
      <c r="H10" s="401"/>
      <c r="I10" s="402"/>
      <c r="J10" s="402"/>
      <c r="K10" s="403"/>
      <c r="L10" s="400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0.30316793172398854</v>
      </c>
    </row>
    <row r="11" spans="2:13" ht="30" customHeight="1">
      <c r="B11" s="392"/>
      <c r="C11" s="393"/>
      <c r="D11" s="221" t="str">
        <f>IF(D10="", "Seleccionar Maquinaria ↑", "Carga Promedio de Uso de " &amp; D10)</f>
        <v>Carga Promedio de Uso de HER. AUT JAULA MS03 BCJL02A</v>
      </c>
      <c r="E11" s="222"/>
      <c r="F11" s="223" t="str">
        <f>IF(ISERROR(FIND("Seleccionar", D11)), "%", "")</f>
        <v>%</v>
      </c>
      <c r="G11" s="289">
        <f>IF(D10="","",IFERROR(
    INDEX('[4]INFO-Consumo'!I:I,
           MATCH(D10, '[4]INFO-Consumo'!D:D, 0)
    ),
""))</f>
        <v>0.6</v>
      </c>
      <c r="H11" s="384"/>
      <c r="I11" s="384"/>
      <c r="J11" s="384"/>
      <c r="K11" s="384"/>
      <c r="L11" s="399"/>
    </row>
    <row r="12" spans="2:13" ht="30" customHeight="1">
      <c r="B12" s="392"/>
      <c r="C12" s="393"/>
      <c r="D12" s="232" t="s">
        <v>173</v>
      </c>
      <c r="E12" s="222"/>
      <c r="F12" s="223" t="str">
        <f>IF(D12="","","kW")</f>
        <v>kW</v>
      </c>
      <c r="G12" s="224">
        <f>IFERROR(INDEX('[4]INFO-Ponderacion'!$S$9:$S$13,
       MATCH(D12,'[4]INFO-Ponderacion'!$C$9:$C$13, 0)),"")</f>
        <v>2.4095999999999997</v>
      </c>
      <c r="H12" s="286"/>
      <c r="I12" s="287"/>
      <c r="J12" s="287"/>
      <c r="K12" s="288"/>
      <c r="L12" s="399"/>
    </row>
    <row r="13" spans="2:13" ht="30" customHeight="1">
      <c r="B13" s="392"/>
      <c r="C13" s="393"/>
      <c r="D13" s="221" t="str">
        <f>IF(D12="", "Seleccionar Area ↑", "Tarifa Electrica ")</f>
        <v xml:space="preserve">Tarifa Electrica </v>
      </c>
      <c r="E13" s="222"/>
      <c r="F13" s="223" t="str">
        <f>IF(D12="","","$/kWh")</f>
        <v>$/kWh</v>
      </c>
      <c r="G13" s="228">
        <f>IF(D12="","",'INFO-Direc'!$G$9)</f>
        <v>5.2613958629577628E-2</v>
      </c>
      <c r="H13" s="384"/>
      <c r="I13" s="384"/>
      <c r="J13" s="384"/>
      <c r="K13" s="384"/>
      <c r="L13" s="399"/>
    </row>
    <row r="14" spans="2:13" ht="30" customHeight="1">
      <c r="B14" s="392"/>
      <c r="C14" s="393"/>
      <c r="D14" s="229" t="str">
        <f>IF(D12="", "Seleccionar Area ↑", "Costo Electrico Fijo de " &amp; D12)</f>
        <v>Costo Electrico Fijo de Ensamble</v>
      </c>
      <c r="E14" s="222"/>
      <c r="F14" s="223" t="str">
        <f>IF(D12="","","$/h")</f>
        <v>$/h</v>
      </c>
      <c r="G14" s="290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0.14482096183241172</v>
      </c>
      <c r="H14" s="385"/>
      <c r="I14" s="386"/>
      <c r="J14" s="386"/>
      <c r="K14" s="387"/>
      <c r="L14" s="399"/>
    </row>
    <row r="15" spans="2:13" ht="30" customHeight="1">
      <c r="B15" s="389"/>
      <c r="C15" s="391"/>
      <c r="D15" s="229" t="s">
        <v>85</v>
      </c>
      <c r="E15" s="230"/>
      <c r="F15" s="223" t="str">
        <f>IF(D12="","","$/h")</f>
        <v>$/h</v>
      </c>
      <c r="G15" s="233"/>
      <c r="H15" s="385"/>
      <c r="I15" s="386"/>
      <c r="J15" s="386"/>
      <c r="K15" s="387"/>
      <c r="L15" s="398"/>
    </row>
    <row r="16" spans="2:13" ht="30" customHeight="1">
      <c r="B16" s="388" t="s">
        <v>90</v>
      </c>
      <c r="C16" s="394" t="s">
        <v>89</v>
      </c>
      <c r="D16" s="232"/>
      <c r="E16" s="222"/>
      <c r="F16" s="223" t="str">
        <f>IF(D16="","","$/L")</f>
        <v/>
      </c>
      <c r="G16" s="228" t="str">
        <f>IFERROR(INDEX('INFO-Direc'!$G$9:$G$25,
       MATCH(D16, 'INFO-Direc'!$D$9:$D$25, 0)),"")</f>
        <v/>
      </c>
      <c r="H16" s="384"/>
      <c r="I16" s="384"/>
      <c r="J16" s="384"/>
      <c r="K16" s="384"/>
      <c r="L16" s="397" t="str">
        <f>IF(AND(D16="", D18=""), "",
    IFERROR(
        IFERROR(G16*G17,0)
        + IFERROR(G18*G19,0)
        + IFERROR(G20,0),
    "")
)</f>
        <v/>
      </c>
    </row>
    <row r="17" spans="2:12" ht="30" customHeight="1">
      <c r="B17" s="392"/>
      <c r="C17" s="395"/>
      <c r="D17" s="221" t="str">
        <f>IF(D16="", "Seleccionar Lubricante ↑", "Consumo de " &amp; D16)</f>
        <v>Seleccionar Lubricante ↑</v>
      </c>
      <c r="E17" s="222"/>
      <c r="F17" s="223" t="str">
        <f>IF(ISERROR(FIND("Seleccionar", D17)), "L/h", "")</f>
        <v/>
      </c>
      <c r="G17" s="234"/>
      <c r="H17" s="384"/>
      <c r="I17" s="384"/>
      <c r="J17" s="384"/>
      <c r="K17" s="384"/>
      <c r="L17" s="399"/>
    </row>
    <row r="18" spans="2:12" ht="30" customHeight="1">
      <c r="B18" s="392"/>
      <c r="C18" s="395"/>
      <c r="D18" s="232"/>
      <c r="E18" s="222"/>
      <c r="F18" s="223" t="str">
        <f>IF(D18="","","$/L")</f>
        <v/>
      </c>
      <c r="G18" s="228" t="str">
        <f>IFERROR(INDEX('INFO-Direc'!$G$9:$G$25,
       MATCH(D18, 'INFO-Direc'!$D$9:$D$25, 0)),"")</f>
        <v/>
      </c>
      <c r="H18" s="385"/>
      <c r="I18" s="386"/>
      <c r="J18" s="386"/>
      <c r="K18" s="387"/>
      <c r="L18" s="399"/>
    </row>
    <row r="19" spans="2:12" ht="30" customHeight="1">
      <c r="B19" s="392"/>
      <c r="C19" s="395"/>
      <c r="D19" s="221" t="str">
        <f>IF(D18="", "Seleccionar Lubricante ↑", "Consumo de " &amp; D18)</f>
        <v>Seleccionar Lubricante ↑</v>
      </c>
      <c r="E19" s="222"/>
      <c r="F19" s="223" t="str">
        <f>IF(ISERROR(FIND("Seleccionar", D19)), "L/h", "")</f>
        <v/>
      </c>
      <c r="G19" s="234"/>
      <c r="H19" s="385"/>
      <c r="I19" s="386"/>
      <c r="J19" s="386"/>
      <c r="K19" s="387"/>
      <c r="L19" s="399"/>
    </row>
    <row r="20" spans="2:12" ht="30" customHeight="1">
      <c r="B20" s="389"/>
      <c r="C20" s="396"/>
      <c r="D20" s="221" t="s">
        <v>85</v>
      </c>
      <c r="E20" s="222"/>
      <c r="F20" s="223" t="str">
        <f>IF(OR(D16&lt;&gt;"", D18&lt;&gt;""), "$/h", "")</f>
        <v/>
      </c>
      <c r="G20" s="233"/>
      <c r="H20" s="384"/>
      <c r="I20" s="384"/>
      <c r="J20" s="384"/>
      <c r="K20" s="384"/>
      <c r="L20" s="398"/>
    </row>
    <row r="21" spans="2:12" ht="30" customHeight="1">
      <c r="B21" s="388" t="s">
        <v>92</v>
      </c>
      <c r="C21" s="390" t="s">
        <v>89</v>
      </c>
      <c r="D21" s="232" t="s">
        <v>138</v>
      </c>
      <c r="E21" s="222"/>
      <c r="F21" s="223" t="str">
        <f>IF(D21="","","kW")</f>
        <v>kW</v>
      </c>
      <c r="G21" s="228">
        <f>IFERROR(INDEX('INFO-Direc'!$G$9:$G$25,
       MATCH(D21, 'INFO-Direc'!$D$9:$D$25, 0)),"")</f>
        <v>56</v>
      </c>
      <c r="H21" s="385"/>
      <c r="I21" s="386"/>
      <c r="J21" s="386"/>
      <c r="K21" s="387"/>
      <c r="L21" s="397">
        <f>IFERROR(G21*G13*G22+G23+G24,"")</f>
        <v>1.8303340099538083</v>
      </c>
    </row>
    <row r="22" spans="2:12" ht="30" customHeight="1">
      <c r="B22" s="392"/>
      <c r="C22" s="393"/>
      <c r="D22" s="221" t="str">
        <f>IF(D21="", "Seleccionar Compresor ↑", "Carga Promedio de Uso de " &amp; D21)</f>
        <v>Carga Promedio de Uso de Compresor</v>
      </c>
      <c r="E22" s="222"/>
      <c r="F22" s="223" t="str">
        <f>IF(ISERROR(FIND("Seleccionar", D22)), "%", "")</f>
        <v>%</v>
      </c>
      <c r="G22" s="289">
        <f>IF(D21="","",IFERROR(
    INDEX('[4]INFO-Consumo'!I:I,
           MATCH(D21, '[4]INFO-Consumo'!D:D, 0)
    ),
""))</f>
        <v>0.6</v>
      </c>
      <c r="H22" s="384"/>
      <c r="I22" s="384"/>
      <c r="J22" s="384"/>
      <c r="K22" s="384"/>
      <c r="L22" s="399"/>
    </row>
    <row r="23" spans="2:12" ht="30" customHeight="1">
      <c r="B23" s="392"/>
      <c r="C23" s="393"/>
      <c r="D23" s="235" t="str">
        <f>IF(D21="", "Seleccionar Compresor ↑", "Costo de Repuestos " &amp; D21)</f>
        <v>Costo de Repuestos Compresor</v>
      </c>
      <c r="E23" s="222"/>
      <c r="F23" s="223" t="str">
        <f>IF(ISERROR(FIND("Seleccionar", D23)), "$/h", "")</f>
        <v>$/h</v>
      </c>
      <c r="G23" s="236">
        <f>IF(D21="","", SUM(IF(ISNUMBER(FIND("Compresor", 'INFO-Mant'!D9:D26)), 'INFO-Mant'!G9:G26 / 'INFO-Mant'!H9:H26, 0)))</f>
        <v>6.2505000000000005E-2</v>
      </c>
      <c r="H23" s="385"/>
      <c r="I23" s="386"/>
      <c r="J23" s="386"/>
      <c r="K23" s="387"/>
      <c r="L23" s="399"/>
    </row>
    <row r="24" spans="2:12" ht="30" customHeight="1">
      <c r="B24" s="389"/>
      <c r="C24" s="391"/>
      <c r="D24" s="221" t="s">
        <v>85</v>
      </c>
      <c r="E24" s="222"/>
      <c r="F24" s="223" t="str">
        <f>IF(D21="","","$/h")</f>
        <v>$/h</v>
      </c>
      <c r="G24" s="233"/>
      <c r="H24" s="384"/>
      <c r="I24" s="384"/>
      <c r="J24" s="384"/>
      <c r="K24" s="384"/>
      <c r="L24" s="398"/>
    </row>
    <row r="25" spans="2:12" ht="30" customHeight="1">
      <c r="B25" s="388" t="s">
        <v>94</v>
      </c>
      <c r="C25" s="390" t="s">
        <v>89</v>
      </c>
      <c r="D25" s="232"/>
      <c r="E25" s="222"/>
      <c r="F25" s="223" t="str">
        <f>IF(D25="","","$/L")</f>
        <v/>
      </c>
      <c r="G25" s="228" t="str">
        <f>IFERROR(INDEX('INFO-Direc'!$G$9:$G$25,
       MATCH(D25, 'INFO-Direc'!$D$9:$D$25, 0)),"")</f>
        <v/>
      </c>
      <c r="H25" s="384"/>
      <c r="I25" s="384"/>
      <c r="J25" s="384"/>
      <c r="K25" s="384"/>
      <c r="L25" s="381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92"/>
      <c r="C26" s="393"/>
      <c r="D26" s="221" t="str">
        <f>IF(D25="", "Seleccionar Refrigerante ↑", "Consumo de " &amp; D25)</f>
        <v>Seleccionar Refrigerante ↑</v>
      </c>
      <c r="E26" s="222"/>
      <c r="F26" s="223" t="str">
        <f>IF(ISERROR(FIND("Seleccionar", D26)), "L/Año", "")</f>
        <v/>
      </c>
      <c r="G26" s="238"/>
      <c r="H26" s="384"/>
      <c r="I26" s="384"/>
      <c r="J26" s="384"/>
      <c r="K26" s="384"/>
      <c r="L26" s="382"/>
    </row>
    <row r="27" spans="2:12" ht="30" customHeight="1">
      <c r="B27" s="392"/>
      <c r="C27" s="393"/>
      <c r="D27" s="232"/>
      <c r="E27" s="222"/>
      <c r="F27" s="223" t="str">
        <f>IF(D27="","","$/L")</f>
        <v/>
      </c>
      <c r="G27" s="228" t="str">
        <f>IFERROR(INDEX('INFO-Direc'!$G$9:$G$25,
       MATCH(D27, 'INFO-Direc'!$D$9:$D$25, 0)),"")</f>
        <v/>
      </c>
      <c r="H27" s="385"/>
      <c r="I27" s="386"/>
      <c r="J27" s="386"/>
      <c r="K27" s="387"/>
      <c r="L27" s="382"/>
    </row>
    <row r="28" spans="2:12" ht="30" customHeight="1">
      <c r="B28" s="392"/>
      <c r="C28" s="393"/>
      <c r="D28" s="221" t="str">
        <f>IF(D27="", "Seleccionar Refrigerante ↑", "Consumo de " &amp; D27)</f>
        <v>Seleccionar Refrigerante ↑</v>
      </c>
      <c r="E28" s="222"/>
      <c r="F28" s="223" t="str">
        <f>IF(ISERROR(FIND("Seleccionar", D28)), "L/Año", "")</f>
        <v/>
      </c>
      <c r="G28" s="239"/>
      <c r="H28" s="385"/>
      <c r="I28" s="386"/>
      <c r="J28" s="386"/>
      <c r="K28" s="387"/>
      <c r="L28" s="382"/>
    </row>
    <row r="29" spans="2:12" ht="30" customHeight="1">
      <c r="B29" s="389"/>
      <c r="C29" s="391"/>
      <c r="D29" s="221" t="s">
        <v>85</v>
      </c>
      <c r="E29" s="222"/>
      <c r="F29" s="223" t="str">
        <f>IF(OR(D25&lt;&gt;"", D27&lt;&gt;""), "$/h", "")</f>
        <v/>
      </c>
      <c r="G29" s="233"/>
      <c r="H29" s="384"/>
      <c r="I29" s="384"/>
      <c r="J29" s="384"/>
      <c r="K29" s="384"/>
      <c r="L29" s="383"/>
    </row>
    <row r="30" spans="2:12" s="152" customFormat="1" ht="30" customHeight="1">
      <c r="B30" s="388" t="s">
        <v>168</v>
      </c>
      <c r="C30" s="394" t="s">
        <v>89</v>
      </c>
      <c r="D30" s="232"/>
      <c r="E30" s="222"/>
      <c r="F30" s="223" t="str">
        <f>IF(D30="","","$/L")</f>
        <v/>
      </c>
      <c r="G30" s="228" t="str">
        <f>IFERROR(INDEX('INFO-Direc'!$G$9:$G$25,
       MATCH(D30, 'INFO-Direc'!$D$9:$D$25, 0)),"")</f>
        <v/>
      </c>
      <c r="H30" s="384"/>
      <c r="I30" s="384"/>
      <c r="J30" s="384"/>
      <c r="K30" s="384"/>
      <c r="L30" s="381" t="str">
        <f>IF(
    AND(D30="", D32=""),
    "",
    IFERROR(
        IFERROR(G30 / (INDEX('INFO-OEE'!$E$18:$CA$18,
                               MATCH(#REF!, 'INFO-OEE'!$E$9:$CA$9, 0)) * 12), 0)
        * G31
        +
        IFERROR(G32 / (INDEX('INFO-OEE'!$E$18:$CA$18,
                               MATCH(#REF!, 'INFO-OEE'!$E$9:$CA$9, 0)) * 12), 0)
        * G33
        +
        IFERROR(G34, 0),
    "")
)</f>
        <v/>
      </c>
    </row>
    <row r="31" spans="2:12" s="152" customFormat="1" ht="30" customHeight="1">
      <c r="B31" s="392"/>
      <c r="C31" s="395"/>
      <c r="D31" s="221" t="str">
        <f>IF(D30="", "Seleccionar Solvente ↑", "Consumo de " &amp; D30)</f>
        <v>Seleccionar Solvente ↑</v>
      </c>
      <c r="E31" s="222"/>
      <c r="F31" s="223" t="str">
        <f>IF(ISERROR(FIND("Seleccionar", D31)), "L/Año", "")</f>
        <v/>
      </c>
      <c r="G31" s="234"/>
      <c r="H31" s="384"/>
      <c r="I31" s="384"/>
      <c r="J31" s="384"/>
      <c r="K31" s="384"/>
      <c r="L31" s="382"/>
    </row>
    <row r="32" spans="2:12" s="152" customFormat="1" ht="30" customHeight="1">
      <c r="B32" s="392"/>
      <c r="C32" s="395"/>
      <c r="D32" s="232"/>
      <c r="E32" s="222"/>
      <c r="F32" s="223" t="str">
        <f>IF(D32="","","$/L")</f>
        <v/>
      </c>
      <c r="G32" s="228" t="str">
        <f>IFERROR(INDEX('INFO-Direc'!$G$9:$G$25,
       MATCH(D32, 'INFO-Direc'!$D$9:$D$25, 0)),"")</f>
        <v/>
      </c>
      <c r="H32" s="385"/>
      <c r="I32" s="386"/>
      <c r="J32" s="386"/>
      <c r="K32" s="387"/>
      <c r="L32" s="382"/>
    </row>
    <row r="33" spans="2:12" s="152" customFormat="1" ht="30" customHeight="1">
      <c r="B33" s="392"/>
      <c r="C33" s="395"/>
      <c r="D33" s="221" t="str">
        <f>IF(D32="", "Seleccionar Solvente ↑", "Consumo de " &amp; D32)</f>
        <v>Seleccionar Solvente ↑</v>
      </c>
      <c r="E33" s="222"/>
      <c r="F33" s="223" t="str">
        <f>IF(ISERROR(FIND("Seleccionar", D33)), "L/Año", "")</f>
        <v/>
      </c>
      <c r="G33" s="234"/>
      <c r="H33" s="385"/>
      <c r="I33" s="386"/>
      <c r="J33" s="386"/>
      <c r="K33" s="387"/>
      <c r="L33" s="382"/>
    </row>
    <row r="34" spans="2:12" s="152" customFormat="1" ht="30" customHeight="1">
      <c r="B34" s="389"/>
      <c r="C34" s="396"/>
      <c r="D34" s="221" t="s">
        <v>85</v>
      </c>
      <c r="E34" s="222"/>
      <c r="F34" s="223" t="str">
        <f>IF(OR(D30&lt;&gt;"", D32&lt;&gt;""), "$/h", "")</f>
        <v/>
      </c>
      <c r="G34" s="233"/>
      <c r="H34" s="384"/>
      <c r="I34" s="384"/>
      <c r="J34" s="384"/>
      <c r="K34" s="384"/>
      <c r="L34" s="383"/>
    </row>
    <row r="35" spans="2:12" ht="30" customHeight="1">
      <c r="B35" s="388" t="s">
        <v>100</v>
      </c>
      <c r="C35" s="390" t="s">
        <v>89</v>
      </c>
      <c r="D35" s="221" t="str">
        <f>IF(D12="", "Seleccionar Area ↑", "Costo de Operarios")</f>
        <v>Costo de Operarios</v>
      </c>
      <c r="E35" s="222"/>
      <c r="F35" s="223" t="str">
        <f>IF(D12="","","$/mes")</f>
        <v>$/mes</v>
      </c>
      <c r="G35" s="237">
        <f>IF(D12="","",IFERROR(
    INDEX('INFO-Personal'!$E$26:$CA$26,
           MATCH($C$3, 'INFO-Personal'!$E$9:$CA$9, 0)
    ),
""))</f>
        <v>710.55480696864117</v>
      </c>
      <c r="H35" s="384"/>
      <c r="I35" s="384"/>
      <c r="J35" s="384"/>
      <c r="K35" s="384"/>
      <c r="L35" s="397">
        <f>IFERROR(
    (G35 / INDEX('INFO-OEE'!$E$18:$CA$18,
                  MATCH($C$3, 'INFO-OEE'!$E$9:$CA$9, 0)))
    + G36,
"")</f>
        <v>5.046554026765917</v>
      </c>
    </row>
    <row r="36" spans="2:12" ht="30" customHeight="1">
      <c r="B36" s="389"/>
      <c r="C36" s="391"/>
      <c r="D36" s="221" t="s">
        <v>85</v>
      </c>
      <c r="E36" s="222"/>
      <c r="F36" s="223" t="str">
        <f>IF(D12="","","$/h")</f>
        <v>$/h</v>
      </c>
      <c r="G36" s="240"/>
      <c r="H36" s="384"/>
      <c r="I36" s="384"/>
      <c r="J36" s="384"/>
      <c r="K36" s="384"/>
      <c r="L36" s="398"/>
    </row>
    <row r="37" spans="2:12" ht="30" customHeight="1">
      <c r="B37" s="241"/>
      <c r="C37" s="242"/>
      <c r="D37" s="243"/>
      <c r="E37" s="242"/>
      <c r="F37" s="244"/>
      <c r="G37" s="245"/>
      <c r="H37" s="409"/>
      <c r="I37" s="409"/>
      <c r="J37" s="409"/>
      <c r="K37" s="409"/>
      <c r="L37" s="246"/>
    </row>
    <row r="38" spans="2:12" ht="30" customHeight="1">
      <c r="B38" s="388" t="s">
        <v>16</v>
      </c>
      <c r="C38" s="390" t="s">
        <v>69</v>
      </c>
      <c r="D38" s="221" t="str">
        <f>IF(D12="", "Seleccionar Area ↑", "Costo de Supervisores")</f>
        <v>Costo de Supervisores</v>
      </c>
      <c r="E38" s="222"/>
      <c r="F38" s="247" t="str">
        <f>IF(D12="","","$/mes")</f>
        <v>$/mes</v>
      </c>
      <c r="G38" s="237">
        <f>IF(D12="","",IFERROR(
    INDEX('INFO-Personal'!$E$27:$CA$27,
           MATCH($C$3, 'INFO-Personal'!$E$9:$CA$9, 0)
    ),
""))</f>
        <v>0</v>
      </c>
      <c r="H38" s="385"/>
      <c r="I38" s="386"/>
      <c r="J38" s="386"/>
      <c r="K38" s="387"/>
      <c r="L38" s="397">
        <f>IFERROR(
    (G38 / INDEX('INFO-OEE'!$E$18:$CA$18,
                  MATCH($C$3, 'INFO-OEE'!$E$9:$CA$9, 0)))
    + G39,
"")</f>
        <v>0</v>
      </c>
    </row>
    <row r="39" spans="2:12" ht="30" customHeight="1">
      <c r="B39" s="392"/>
      <c r="C39" s="393"/>
      <c r="D39" s="221" t="s">
        <v>85</v>
      </c>
      <c r="E39" s="222"/>
      <c r="F39" s="223" t="str">
        <f>IF(D12="","","$/h")</f>
        <v>$/h</v>
      </c>
      <c r="G39" s="240"/>
      <c r="H39" s="385"/>
      <c r="I39" s="386"/>
      <c r="J39" s="386"/>
      <c r="K39" s="387"/>
      <c r="L39" s="399"/>
    </row>
    <row r="40" spans="2:12" ht="30" customHeight="1">
      <c r="B40" s="388" t="s">
        <v>101</v>
      </c>
      <c r="C40" s="390" t="s">
        <v>69</v>
      </c>
      <c r="D40" s="221" t="str">
        <f>IF(D12="", "Seleccionar Area ↑", "Costo de Mant. Preventivo")</f>
        <v>Costo de Mant. Preventivo</v>
      </c>
      <c r="E40" s="222"/>
      <c r="F40" s="247" t="str">
        <f>IF(D12="","","$/mes")</f>
        <v>$/mes</v>
      </c>
      <c r="G40" s="237">
        <f>IF(D12="","",IFERROR(
    INDEX('INFO-Personal'!$E$28:$CA$28,
           MATCH($C$3, 'INFO-Personal'!$E$9:$CA$9, 0)
    ),
""))</f>
        <v>0</v>
      </c>
      <c r="H40" s="385"/>
      <c r="I40" s="386"/>
      <c r="J40" s="386"/>
      <c r="K40" s="387"/>
      <c r="L40" s="397">
        <f>IF(D12="","",SUM(
    IFERROR((G40+G41) / INDEX('INFO-OEE'!$E$18:$CA$18, MATCH(C3, 'INFO-OEE'!$E$9:$CA$9, 0)), 0),
    IFERROR(G42 / G43, 0),
    IFERROR(G44 / G45, 0),
    IFERROR(G46 / G47, 0),
    IFERROR(G48, 0)
))</f>
        <v>0.25023513374001316</v>
      </c>
    </row>
    <row r="41" spans="2:12" ht="30" customHeight="1">
      <c r="B41" s="392"/>
      <c r="C41" s="393"/>
      <c r="D41" s="221" t="str">
        <f>IF(D12="", "Seleccionar Area ↑", "Costo de Mant. Correctivo")</f>
        <v>Costo de Mant. Correctivo</v>
      </c>
      <c r="E41" s="222"/>
      <c r="F41" s="247" t="str">
        <f>IF(D12="","","$/mes")</f>
        <v>$/mes</v>
      </c>
      <c r="G41" s="237">
        <f>IF(D12="","",IFERROR(
    INDEX('INFO-Personal'!$E$29:$CA$29,
           MATCH($C$3, 'INFO-Personal'!$E$9:$CA$9, 0)
    ),
""))</f>
        <v>35.233106830593854</v>
      </c>
      <c r="H41" s="385"/>
      <c r="I41" s="386"/>
      <c r="J41" s="386"/>
      <c r="K41" s="387"/>
      <c r="L41" s="399"/>
    </row>
    <row r="42" spans="2:12" ht="30" customHeight="1">
      <c r="B42" s="392"/>
      <c r="C42" s="393"/>
      <c r="D42" s="232"/>
      <c r="E42" s="222"/>
      <c r="F42" s="223" t="str">
        <f>IF(D42="","","$/u")</f>
        <v/>
      </c>
      <c r="G42" s="237" t="str">
        <f>IFERROR(INDEX('INFO-Mant'!$G$9:$G$26,
       MATCH(D42, 'INFO-Mant'!$D$9:$D$26, 0)),"")</f>
        <v/>
      </c>
      <c r="H42" s="385"/>
      <c r="I42" s="386"/>
      <c r="J42" s="386"/>
      <c r="K42" s="387"/>
      <c r="L42" s="399"/>
    </row>
    <row r="43" spans="2:12" ht="30" customHeight="1">
      <c r="B43" s="392"/>
      <c r="C43" s="393"/>
      <c r="D43" s="221" t="str">
        <f>IF(D42="", "Seleccionar Repuesto ↑", "Vida Util de " &amp; D42)</f>
        <v>Seleccionar Repuesto ↑</v>
      </c>
      <c r="E43" s="222"/>
      <c r="F43" s="223" t="str">
        <f>IF(ISERROR(FIND("Seleccionar", D43)), "Horas/u", "")</f>
        <v/>
      </c>
      <c r="G43" s="238"/>
      <c r="H43" s="385"/>
      <c r="I43" s="386"/>
      <c r="J43" s="386"/>
      <c r="K43" s="387"/>
      <c r="L43" s="399"/>
    </row>
    <row r="44" spans="2:12" ht="30" customHeight="1">
      <c r="B44" s="392"/>
      <c r="C44" s="393"/>
      <c r="D44" s="232"/>
      <c r="E44" s="222"/>
      <c r="F44" s="223" t="str">
        <f>IF(D44="","","$/u")</f>
        <v/>
      </c>
      <c r="G44" s="237" t="str">
        <f>IFERROR(INDEX('INFO-Mant'!$G$9:$G$26,
       MATCH(D44, 'INFO-Mant'!$D$9:$D$26, 0)),"")</f>
        <v/>
      </c>
      <c r="H44" s="385"/>
      <c r="I44" s="386"/>
      <c r="J44" s="386"/>
      <c r="K44" s="387"/>
      <c r="L44" s="399"/>
    </row>
    <row r="45" spans="2:12" ht="30" customHeight="1">
      <c r="B45" s="392"/>
      <c r="C45" s="393"/>
      <c r="D45" s="221" t="str">
        <f>IF(D44="", "Seleccionar Repuesto ↑", "Vida Util de " &amp; D44)</f>
        <v>Seleccionar Repuesto ↑</v>
      </c>
      <c r="E45" s="222"/>
      <c r="F45" s="223" t="str">
        <f>IF(ISERROR(FIND("Seleccionar", D45)), "Horas/u", "")</f>
        <v/>
      </c>
      <c r="G45" s="238"/>
      <c r="H45" s="385"/>
      <c r="I45" s="386"/>
      <c r="J45" s="386"/>
      <c r="K45" s="387"/>
      <c r="L45" s="399"/>
    </row>
    <row r="46" spans="2:12" ht="30" customHeight="1">
      <c r="B46" s="392"/>
      <c r="C46" s="393"/>
      <c r="D46" s="232"/>
      <c r="E46" s="222"/>
      <c r="F46" s="223" t="str">
        <f>IF(D46="","","$/u")</f>
        <v/>
      </c>
      <c r="G46" s="237" t="str">
        <f>IFERROR(INDEX('INFO-Mant'!$G$9:$G$26,
       MATCH(D46, 'INFO-Mant'!$D$9:$D$26, 0)),"")</f>
        <v/>
      </c>
      <c r="H46" s="385"/>
      <c r="I46" s="386"/>
      <c r="J46" s="386"/>
      <c r="K46" s="387"/>
      <c r="L46" s="399"/>
    </row>
    <row r="47" spans="2:12" ht="33" customHeight="1">
      <c r="B47" s="392"/>
      <c r="C47" s="393"/>
      <c r="D47" s="221" t="str">
        <f>IF(D46="", "Seleccionar Repuesto ↑", "Vida Util de " &amp; D46)</f>
        <v>Seleccionar Repuesto ↑</v>
      </c>
      <c r="E47" s="222"/>
      <c r="F47" s="223" t="str">
        <f>IF(ISERROR(FIND("Seleccionar", D47)), "Horas/u", "")</f>
        <v/>
      </c>
      <c r="G47" s="240"/>
      <c r="H47" s="385"/>
      <c r="I47" s="386"/>
      <c r="J47" s="386"/>
      <c r="K47" s="387"/>
      <c r="L47" s="399"/>
    </row>
    <row r="48" spans="2:12" ht="30" customHeight="1">
      <c r="B48" s="389"/>
      <c r="C48" s="391"/>
      <c r="D48" s="221" t="s">
        <v>85</v>
      </c>
      <c r="E48" s="222"/>
      <c r="F48" s="223" t="str">
        <f>IF(D12="","","$/h")</f>
        <v>$/h</v>
      </c>
      <c r="G48" s="240"/>
      <c r="H48" s="385"/>
      <c r="I48" s="386"/>
      <c r="J48" s="386"/>
      <c r="K48" s="387"/>
      <c r="L48" s="398"/>
    </row>
    <row r="49" spans="2:12" ht="30" customHeight="1">
      <c r="B49" s="248"/>
      <c r="C49" s="249"/>
      <c r="D49" s="250"/>
      <c r="E49" s="249"/>
      <c r="F49" s="251"/>
      <c r="G49" s="252"/>
      <c r="H49" s="249"/>
      <c r="I49" s="249"/>
      <c r="J49" s="249"/>
      <c r="K49" s="249"/>
      <c r="L49" s="253"/>
    </row>
    <row r="50" spans="2:12" ht="30" customHeight="1">
      <c r="B50" s="388" t="s">
        <v>102</v>
      </c>
      <c r="C50" s="394" t="s">
        <v>103</v>
      </c>
      <c r="D50" s="232"/>
      <c r="E50" s="222"/>
      <c r="F50" s="223" t="str">
        <f>IF(D50="","","$/h")</f>
        <v/>
      </c>
      <c r="G50" s="23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410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410"/>
      <c r="J50" s="410"/>
      <c r="K50" s="410"/>
      <c r="L50" s="255" t="str">
        <f ca="1">G50</f>
        <v/>
      </c>
    </row>
    <row r="51" spans="2:12" ht="30" customHeight="1">
      <c r="B51" s="392"/>
      <c r="C51" s="395"/>
      <c r="D51" s="232"/>
      <c r="E51" s="254"/>
      <c r="F51" s="223" t="str">
        <f>IF(D51="","","$/h")</f>
        <v/>
      </c>
      <c r="G51" s="23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410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410"/>
      <c r="J51" s="410"/>
      <c r="K51" s="410"/>
      <c r="L51" s="255" t="str">
        <f ca="1">G51</f>
        <v/>
      </c>
    </row>
    <row r="52" spans="2:12" ht="30" customHeight="1">
      <c r="B52" s="392"/>
      <c r="C52" s="395"/>
      <c r="D52" s="232"/>
      <c r="E52" s="222"/>
      <c r="F52" s="223" t="str">
        <f t="shared" ref="F52:F54" si="0">IF(D52="","","$/h")</f>
        <v/>
      </c>
      <c r="G52" s="23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410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410"/>
      <c r="J52" s="410"/>
      <c r="K52" s="410"/>
      <c r="L52" s="255" t="str">
        <f ca="1">G52</f>
        <v/>
      </c>
    </row>
    <row r="53" spans="2:12" ht="30" customHeight="1">
      <c r="B53" s="392"/>
      <c r="C53" s="395"/>
      <c r="D53" s="232"/>
      <c r="E53" s="222"/>
      <c r="F53" s="223" t="str">
        <f t="shared" si="0"/>
        <v/>
      </c>
      <c r="G53" s="23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410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410"/>
      <c r="J53" s="410"/>
      <c r="K53" s="410"/>
      <c r="L53" s="255" t="str">
        <f ca="1">G53</f>
        <v/>
      </c>
    </row>
    <row r="54" spans="2:12" ht="30" customHeight="1">
      <c r="B54" s="389"/>
      <c r="C54" s="396"/>
      <c r="D54" s="232"/>
      <c r="E54" s="222"/>
      <c r="F54" s="223" t="str">
        <f t="shared" si="0"/>
        <v/>
      </c>
      <c r="G54" s="23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410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410"/>
      <c r="J54" s="410"/>
      <c r="K54" s="410"/>
      <c r="L54" s="255" t="str">
        <f ca="1">G54</f>
        <v/>
      </c>
    </row>
    <row r="55" spans="2:12" ht="30" customHeight="1">
      <c r="B55" s="146"/>
      <c r="C55" s="147"/>
      <c r="D55" s="411"/>
      <c r="E55" s="411"/>
      <c r="F55" s="30"/>
      <c r="G55" s="30"/>
      <c r="H55" s="149"/>
      <c r="I55" s="149"/>
      <c r="J55" s="149"/>
      <c r="K55" s="30"/>
      <c r="L55" s="145"/>
    </row>
    <row r="56" spans="2:12" ht="30" customHeight="1" thickBot="1">
      <c r="B56" s="153" t="s">
        <v>39</v>
      </c>
      <c r="C56" s="330"/>
      <c r="D56" s="330"/>
      <c r="E56" s="154" t="s">
        <v>23</v>
      </c>
      <c r="F56" s="368"/>
      <c r="G56" s="368"/>
      <c r="H56" s="141"/>
      <c r="I56" s="141"/>
      <c r="J56" s="141"/>
      <c r="K56" s="256"/>
      <c r="L56" s="257"/>
    </row>
    <row r="57" spans="2:12" ht="30" customHeight="1" thickBot="1">
      <c r="B57" s="155"/>
      <c r="C57" s="156"/>
      <c r="D57" s="156"/>
      <c r="E57" s="156"/>
      <c r="F57" s="378"/>
      <c r="G57" s="378"/>
      <c r="H57" s="157"/>
      <c r="I57" s="157"/>
      <c r="J57" s="157"/>
      <c r="K57" s="258" t="s">
        <v>106</v>
      </c>
      <c r="L57" s="259">
        <f ca="1">IFERROR(SUM(L19:L54),"")</f>
        <v>7.127123170459738</v>
      </c>
    </row>
    <row r="59" spans="2:12" ht="30" customHeight="1">
      <c r="C59" s="117"/>
    </row>
  </sheetData>
  <sheetProtection algorithmName="SHA-512" hashValue="K+t+sL8bmgL4Q8GhWO0NoMn3PknhUELRuTKSRkVn3wEqt/JCHj/Sjh0PH8xxO1p9qc6mAjk1B6lGpHX6RG1bAw==" saltValue="YHI8JXtBBbRNJsvml/1/5Q==" spinCount="100000" sheet="1" objects="1" scenarios="1" selectLockedCells="1"/>
  <mergeCells count="80">
    <mergeCell ref="B50:B54"/>
    <mergeCell ref="C50:C54"/>
    <mergeCell ref="H54:K54"/>
    <mergeCell ref="D55:E55"/>
    <mergeCell ref="C56:D56"/>
    <mergeCell ref="F56:G56"/>
    <mergeCell ref="F57:G57"/>
    <mergeCell ref="H43:K43"/>
    <mergeCell ref="H50:K50"/>
    <mergeCell ref="H51:K51"/>
    <mergeCell ref="H52:K52"/>
    <mergeCell ref="H53:K53"/>
    <mergeCell ref="C25:C29"/>
    <mergeCell ref="L38:L39"/>
    <mergeCell ref="B40:B48"/>
    <mergeCell ref="C40:C48"/>
    <mergeCell ref="L40:L48"/>
    <mergeCell ref="H44:K44"/>
    <mergeCell ref="H45:K45"/>
    <mergeCell ref="H46:K46"/>
    <mergeCell ref="H47:K47"/>
    <mergeCell ref="H48:K48"/>
    <mergeCell ref="B38:B39"/>
    <mergeCell ref="C38:C39"/>
    <mergeCell ref="H39:K39"/>
    <mergeCell ref="H40:K40"/>
    <mergeCell ref="H41:K41"/>
    <mergeCell ref="H42:K42"/>
    <mergeCell ref="H37:K37"/>
    <mergeCell ref="H38:K38"/>
    <mergeCell ref="L25:L29"/>
    <mergeCell ref="H29:K29"/>
    <mergeCell ref="H28:K28"/>
    <mergeCell ref="H25:K25"/>
    <mergeCell ref="H26:K26"/>
    <mergeCell ref="H27:K27"/>
    <mergeCell ref="L30:L34"/>
    <mergeCell ref="B35:B36"/>
    <mergeCell ref="C35:C36"/>
    <mergeCell ref="L35:L36"/>
    <mergeCell ref="H33:K33"/>
    <mergeCell ref="H30:K30"/>
    <mergeCell ref="H31:K31"/>
    <mergeCell ref="H32:K32"/>
    <mergeCell ref="B30:B34"/>
    <mergeCell ref="C30:C34"/>
    <mergeCell ref="H34:K34"/>
    <mergeCell ref="H35:K35"/>
    <mergeCell ref="H36:K36"/>
    <mergeCell ref="B21:B24"/>
    <mergeCell ref="C21:C24"/>
    <mergeCell ref="L21:L24"/>
    <mergeCell ref="B25:B29"/>
    <mergeCell ref="H20:K20"/>
    <mergeCell ref="H21:K21"/>
    <mergeCell ref="H22:K22"/>
    <mergeCell ref="B16:B20"/>
    <mergeCell ref="C16:C20"/>
    <mergeCell ref="L16:L20"/>
    <mergeCell ref="H16:K16"/>
    <mergeCell ref="H17:K17"/>
    <mergeCell ref="H18:K18"/>
    <mergeCell ref="H19:K19"/>
    <mergeCell ref="H23:K23"/>
    <mergeCell ref="H24:K24"/>
    <mergeCell ref="H13:K13"/>
    <mergeCell ref="H15:K15"/>
    <mergeCell ref="B10:B15"/>
    <mergeCell ref="C10:C15"/>
    <mergeCell ref="L10:L15"/>
    <mergeCell ref="H14:K14"/>
    <mergeCell ref="H9:K9"/>
    <mergeCell ref="H10:K10"/>
    <mergeCell ref="H11:K11"/>
    <mergeCell ref="C3:D3"/>
    <mergeCell ref="F3:G3"/>
    <mergeCell ref="C6:D6"/>
    <mergeCell ref="F6:G6"/>
    <mergeCell ref="C7:D7"/>
    <mergeCell ref="F7:G7"/>
  </mergeCells>
  <dataValidations count="9">
    <dataValidation allowBlank="1" showInputMessage="1" showErrorMessage="1" prompt="Escriba comentarios en las celdas de la derecha." sqref="C59"/>
    <dataValidation type="list" allowBlank="1" showInputMessage="1" showErrorMessage="1" sqref="D51:D54">
      <formula1>Herramientas_Ensamble</formula1>
    </dataValidation>
    <dataValidation type="list" allowBlank="1" showInputMessage="1" showErrorMessage="1" sqref="D12">
      <formula1>Areas_Ensamble</formula1>
    </dataValidation>
    <dataValidation type="list" allowBlank="1" showInputMessage="1" showErrorMessage="1" sqref="D16 D18">
      <formula1>Lubricantes_Ensamble</formula1>
    </dataValidation>
    <dataValidation type="list" allowBlank="1" showInputMessage="1" showErrorMessage="1" sqref="D21">
      <formula1>AireComprimido_Ensamble</formula1>
    </dataValidation>
    <dataValidation type="list" allowBlank="1" showInputMessage="1" showErrorMessage="1" sqref="D25 D27">
      <formula1>Refrigerantes_Ensamble</formula1>
    </dataValidation>
    <dataValidation type="list" allowBlank="1" showInputMessage="1" showErrorMessage="1" sqref="D30 D32">
      <formula1>Solvente_Ensamble</formula1>
    </dataValidation>
    <dataValidation type="list" allowBlank="1" showInputMessage="1" showErrorMessage="1" sqref="D42 D44 D46">
      <formula1>Repuestos_Ensamble</formula1>
    </dataValidation>
    <dataValidation type="list" allowBlank="1" showInputMessage="1" showErrorMessage="1" sqref="D10 D50">
      <formula1>Maquinaria_Ensamble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54</xdr:row>
                    <xdr:rowOff>333375</xdr:rowOff>
                  </from>
                  <to>
                    <xdr:col>1</xdr:col>
                    <xdr:colOff>1762125</xdr:colOff>
                    <xdr:row>55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5">
    <tabColor rgb="FF0070C0"/>
    <pageSetUpPr autoPageBreaks="0" fitToPage="1"/>
  </sheetPr>
  <dimension ref="B1:M59"/>
  <sheetViews>
    <sheetView showGridLines="0" topLeftCell="A4" zoomScale="80" zoomScaleNormal="80" workbookViewId="0">
      <selection activeCell="D12" sqref="D12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3.140625" style="80" bestFit="1" customWidth="1"/>
    <col min="5" max="5" width="20.5703125" style="80" customWidth="1"/>
    <col min="6" max="6" width="16.5703125" style="80" bestFit="1" customWidth="1"/>
    <col min="7" max="7" width="19.7109375" style="80" bestFit="1" customWidth="1"/>
    <col min="8" max="8" width="15.28515625" style="80" customWidth="1"/>
    <col min="9" max="10" width="17" style="80" customWidth="1"/>
    <col min="11" max="11" width="28.42578125" style="80" customWidth="1"/>
    <col min="12" max="12" width="20.7109375" style="80" customWidth="1"/>
    <col min="13" max="13" width="2.7109375" style="80" customWidth="1"/>
    <col min="14" max="16384" width="9.140625" style="80"/>
  </cols>
  <sheetData>
    <row r="1" spans="2:13" ht="12" customHeight="1" thickBot="1"/>
    <row r="2" spans="2:13" ht="30" customHeight="1">
      <c r="B2" s="126" t="s">
        <v>95</v>
      </c>
      <c r="C2" s="127"/>
      <c r="D2" s="128"/>
      <c r="E2" s="128"/>
      <c r="F2" s="128"/>
      <c r="G2" s="128"/>
      <c r="H2" s="128"/>
      <c r="I2" s="128"/>
      <c r="J2" s="128"/>
      <c r="K2" s="128"/>
      <c r="L2" s="129"/>
    </row>
    <row r="3" spans="2:13" ht="30" customHeight="1">
      <c r="B3" s="130" t="s">
        <v>96</v>
      </c>
      <c r="C3" s="406" t="s">
        <v>200</v>
      </c>
      <c r="D3" s="406"/>
      <c r="E3" s="125" t="s">
        <v>3</v>
      </c>
      <c r="F3" s="356">
        <f ca="1">TODAY()</f>
        <v>46020</v>
      </c>
      <c r="G3" s="356"/>
      <c r="H3" s="125" t="s">
        <v>61</v>
      </c>
      <c r="I3" s="162">
        <f>'INFO-Direc'!H3</f>
        <v>1445</v>
      </c>
      <c r="J3" s="131"/>
      <c r="K3" s="132"/>
      <c r="L3" s="133"/>
      <c r="M3" s="134"/>
    </row>
    <row r="4" spans="2:13" ht="30" customHeight="1">
      <c r="B4" s="130" t="s">
        <v>97</v>
      </c>
      <c r="C4" s="160">
        <f>IFERROR(INDEX('INFO-OEE'!E17:CL17,
       MATCH(C3, 'INFO-OEE'!E9:CL9, 0)),"")</f>
        <v>0.8</v>
      </c>
      <c r="D4" s="135"/>
      <c r="E4" s="136"/>
      <c r="F4" s="136"/>
      <c r="G4" s="136"/>
      <c r="H4" s="125"/>
      <c r="I4" s="137"/>
      <c r="J4" s="131"/>
      <c r="K4" s="132"/>
      <c r="L4" s="138"/>
      <c r="M4" s="89"/>
    </row>
    <row r="5" spans="2:13" ht="30" customHeight="1">
      <c r="B5" s="139" t="s">
        <v>4</v>
      </c>
      <c r="C5" s="140"/>
      <c r="D5" s="141"/>
      <c r="E5" s="141"/>
      <c r="F5" s="141"/>
      <c r="G5" s="141"/>
      <c r="H5" s="141"/>
      <c r="I5" s="141"/>
      <c r="J5" s="141"/>
      <c r="K5" s="141"/>
      <c r="L5" s="142"/>
    </row>
    <row r="6" spans="2:13" ht="30" customHeight="1">
      <c r="B6" s="143" t="s">
        <v>5</v>
      </c>
      <c r="C6" s="407" t="s">
        <v>205</v>
      </c>
      <c r="D6" s="407"/>
      <c r="E6" s="144" t="s">
        <v>6</v>
      </c>
      <c r="F6" s="407"/>
      <c r="G6" s="407"/>
      <c r="H6" s="141"/>
      <c r="I6" s="141"/>
      <c r="J6" s="141"/>
      <c r="K6" s="30"/>
      <c r="L6" s="145"/>
    </row>
    <row r="7" spans="2:13" ht="30" customHeight="1">
      <c r="B7" s="143" t="s">
        <v>7</v>
      </c>
      <c r="C7" s="407" t="s">
        <v>206</v>
      </c>
      <c r="D7" s="407"/>
      <c r="E7" s="144" t="s">
        <v>62</v>
      </c>
      <c r="F7" s="408"/>
      <c r="G7" s="408"/>
      <c r="H7" s="141"/>
      <c r="I7" s="141"/>
      <c r="J7" s="141"/>
      <c r="K7" s="30"/>
      <c r="L7" s="145"/>
    </row>
    <row r="8" spans="2:13" ht="30" customHeight="1" thickBot="1">
      <c r="B8" s="146"/>
      <c r="C8" s="147"/>
      <c r="D8" s="148"/>
      <c r="E8" s="148"/>
      <c r="F8" s="30"/>
      <c r="G8" s="30"/>
      <c r="H8" s="149"/>
      <c r="I8" s="149"/>
      <c r="J8" s="149"/>
      <c r="K8" s="30"/>
      <c r="L8" s="145"/>
    </row>
    <row r="9" spans="2:13" ht="30" customHeight="1" thickBot="1">
      <c r="B9" s="67" t="s">
        <v>9</v>
      </c>
      <c r="C9" s="190" t="s">
        <v>63</v>
      </c>
      <c r="D9" s="190" t="s">
        <v>64</v>
      </c>
      <c r="E9" s="190" t="s">
        <v>65</v>
      </c>
      <c r="F9" s="190" t="s">
        <v>66</v>
      </c>
      <c r="G9" s="190" t="s">
        <v>67</v>
      </c>
      <c r="H9" s="319" t="s">
        <v>68</v>
      </c>
      <c r="I9" s="319"/>
      <c r="J9" s="319"/>
      <c r="K9" s="319"/>
      <c r="L9" s="191" t="s">
        <v>98</v>
      </c>
    </row>
    <row r="10" spans="2:13" ht="30" customHeight="1">
      <c r="B10" s="404" t="s">
        <v>88</v>
      </c>
      <c r="C10" s="405" t="s">
        <v>89</v>
      </c>
      <c r="D10" s="231" t="s">
        <v>200</v>
      </c>
      <c r="E10" s="218"/>
      <c r="F10" s="219" t="str">
        <f>IF(D10="","","kW")</f>
        <v>kW</v>
      </c>
      <c r="G10" s="220">
        <f>IF(D10="","",IFERROR(INDEX('[4]INFO-Consumo'!$F$9:$F$95,
       MATCH(D10, '[4]INFO-Consumo'!$D$9:$D$95, 0)),""))</f>
        <v>1</v>
      </c>
      <c r="H10" s="401"/>
      <c r="I10" s="402"/>
      <c r="J10" s="402"/>
      <c r="K10" s="403"/>
      <c r="L10" s="400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0.30316793172398854</v>
      </c>
    </row>
    <row r="11" spans="2:13" ht="30" customHeight="1">
      <c r="B11" s="392"/>
      <c r="C11" s="393"/>
      <c r="D11" s="221" t="str">
        <f>IF(D10="", "Seleccionar Maquinaria ↑", "Carga Promedio de Uso de " &amp; D10)</f>
        <v>Carga Promedio de Uso de ENGRASADORA MS03 0510-5120051</v>
      </c>
      <c r="E11" s="222"/>
      <c r="F11" s="223" t="str">
        <f>IF(ISERROR(FIND("Seleccionar", D11)), "%", "")</f>
        <v>%</v>
      </c>
      <c r="G11" s="289">
        <f>IF(D10="","",IFERROR(
    INDEX('[4]INFO-Consumo'!I:I,
           MATCH(D10, '[4]INFO-Consumo'!D:D, 0)
    ),
""))</f>
        <v>0.6</v>
      </c>
      <c r="H11" s="384"/>
      <c r="I11" s="384"/>
      <c r="J11" s="384"/>
      <c r="K11" s="384"/>
      <c r="L11" s="399"/>
    </row>
    <row r="12" spans="2:13" ht="30" customHeight="1">
      <c r="B12" s="392"/>
      <c r="C12" s="393"/>
      <c r="D12" s="232" t="s">
        <v>173</v>
      </c>
      <c r="E12" s="222"/>
      <c r="F12" s="223" t="str">
        <f>IF(D12="","","kW")</f>
        <v>kW</v>
      </c>
      <c r="G12" s="224">
        <f>IFERROR(INDEX('[4]INFO-Ponderacion'!$S$9:$S$13,
       MATCH(D12,'[4]INFO-Ponderacion'!$C$9:$C$13, 0)),"")</f>
        <v>2.4095999999999997</v>
      </c>
      <c r="H12" s="286"/>
      <c r="I12" s="287"/>
      <c r="J12" s="287"/>
      <c r="K12" s="288"/>
      <c r="L12" s="399"/>
    </row>
    <row r="13" spans="2:13" ht="30" customHeight="1">
      <c r="B13" s="392"/>
      <c r="C13" s="393"/>
      <c r="D13" s="221" t="str">
        <f>IF(D12="", "Seleccionar Area ↑", "Tarifa Electrica ")</f>
        <v xml:space="preserve">Tarifa Electrica </v>
      </c>
      <c r="E13" s="222"/>
      <c r="F13" s="223" t="str">
        <f>IF(D12="","","$/kWh")</f>
        <v>$/kWh</v>
      </c>
      <c r="G13" s="228">
        <f>IF(D12="","",'INFO-Direc'!$G$9)</f>
        <v>5.2613958629577628E-2</v>
      </c>
      <c r="H13" s="384"/>
      <c r="I13" s="384"/>
      <c r="J13" s="384"/>
      <c r="K13" s="384"/>
      <c r="L13" s="399"/>
    </row>
    <row r="14" spans="2:13" ht="30" customHeight="1">
      <c r="B14" s="392"/>
      <c r="C14" s="393"/>
      <c r="D14" s="229" t="str">
        <f>IF(D12="", "Seleccionar Area ↑", "Costo Electrico Fijo de " &amp; D12)</f>
        <v>Costo Electrico Fijo de Ensamble</v>
      </c>
      <c r="E14" s="222"/>
      <c r="F14" s="223" t="str">
        <f>IF(D12="","","$/h")</f>
        <v>$/h</v>
      </c>
      <c r="G14" s="290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0.14482096183241172</v>
      </c>
      <c r="H14" s="385"/>
      <c r="I14" s="386"/>
      <c r="J14" s="386"/>
      <c r="K14" s="387"/>
      <c r="L14" s="399"/>
    </row>
    <row r="15" spans="2:13" ht="30" customHeight="1">
      <c r="B15" s="389"/>
      <c r="C15" s="391"/>
      <c r="D15" s="229" t="s">
        <v>85</v>
      </c>
      <c r="E15" s="230"/>
      <c r="F15" s="223" t="str">
        <f>IF(D12="","","$/h")</f>
        <v>$/h</v>
      </c>
      <c r="G15" s="233"/>
      <c r="H15" s="385"/>
      <c r="I15" s="386"/>
      <c r="J15" s="386"/>
      <c r="K15" s="387"/>
      <c r="L15" s="398"/>
    </row>
    <row r="16" spans="2:13" ht="30" customHeight="1">
      <c r="B16" s="388" t="s">
        <v>90</v>
      </c>
      <c r="C16" s="394" t="s">
        <v>89</v>
      </c>
      <c r="D16" s="232"/>
      <c r="E16" s="222"/>
      <c r="F16" s="223" t="str">
        <f>IF(D16="","","$/L")</f>
        <v/>
      </c>
      <c r="G16" s="228" t="str">
        <f>IFERROR(INDEX('INFO-Direc'!$G$9:$G$25,
       MATCH(D16, 'INFO-Direc'!$D$9:$D$25, 0)),"")</f>
        <v/>
      </c>
      <c r="H16" s="384"/>
      <c r="I16" s="384"/>
      <c r="J16" s="384"/>
      <c r="K16" s="384"/>
      <c r="L16" s="397" t="str">
        <f>IF(AND(D16="", D18=""), "",
    IFERROR(
        IFERROR(G16*G17,0)
        + IFERROR(G18*G19,0)
        + IFERROR(G20,0),
    "")
)</f>
        <v/>
      </c>
    </row>
    <row r="17" spans="2:12" ht="30" customHeight="1">
      <c r="B17" s="392"/>
      <c r="C17" s="395"/>
      <c r="D17" s="221" t="str">
        <f>IF(D16="", "Seleccionar Lubricante ↑", "Consumo de " &amp; D16)</f>
        <v>Seleccionar Lubricante ↑</v>
      </c>
      <c r="E17" s="222"/>
      <c r="F17" s="223" t="str">
        <f>IF(ISERROR(FIND("Seleccionar", D17)), "L/h", "")</f>
        <v/>
      </c>
      <c r="G17" s="234"/>
      <c r="H17" s="384"/>
      <c r="I17" s="384"/>
      <c r="J17" s="384"/>
      <c r="K17" s="384"/>
      <c r="L17" s="399"/>
    </row>
    <row r="18" spans="2:12" ht="30" customHeight="1">
      <c r="B18" s="392"/>
      <c r="C18" s="395"/>
      <c r="D18" s="232"/>
      <c r="E18" s="222"/>
      <c r="F18" s="223" t="str">
        <f>IF(D18="","","$/L")</f>
        <v/>
      </c>
      <c r="G18" s="228" t="str">
        <f>IFERROR(INDEX('INFO-Direc'!$G$9:$G$25,
       MATCH(D18, 'INFO-Direc'!$D$9:$D$25, 0)),"")</f>
        <v/>
      </c>
      <c r="H18" s="385"/>
      <c r="I18" s="386"/>
      <c r="J18" s="386"/>
      <c r="K18" s="387"/>
      <c r="L18" s="399"/>
    </row>
    <row r="19" spans="2:12" ht="30" customHeight="1">
      <c r="B19" s="392"/>
      <c r="C19" s="395"/>
      <c r="D19" s="221" t="str">
        <f>IF(D18="", "Seleccionar Lubricante ↑", "Consumo de " &amp; D18)</f>
        <v>Seleccionar Lubricante ↑</v>
      </c>
      <c r="E19" s="222"/>
      <c r="F19" s="223" t="str">
        <f>IF(ISERROR(FIND("Seleccionar", D19)), "L/h", "")</f>
        <v/>
      </c>
      <c r="G19" s="234"/>
      <c r="H19" s="385"/>
      <c r="I19" s="386"/>
      <c r="J19" s="386"/>
      <c r="K19" s="387"/>
      <c r="L19" s="399"/>
    </row>
    <row r="20" spans="2:12" ht="30" customHeight="1">
      <c r="B20" s="389"/>
      <c r="C20" s="396"/>
      <c r="D20" s="221" t="s">
        <v>85</v>
      </c>
      <c r="E20" s="222"/>
      <c r="F20" s="223" t="str">
        <f>IF(OR(D16&lt;&gt;"", D18&lt;&gt;""), "$/h", "")</f>
        <v/>
      </c>
      <c r="G20" s="233"/>
      <c r="H20" s="384"/>
      <c r="I20" s="384"/>
      <c r="J20" s="384"/>
      <c r="K20" s="384"/>
      <c r="L20" s="398"/>
    </row>
    <row r="21" spans="2:12" ht="30" customHeight="1">
      <c r="B21" s="388" t="s">
        <v>92</v>
      </c>
      <c r="C21" s="390" t="s">
        <v>89</v>
      </c>
      <c r="D21" s="232" t="s">
        <v>138</v>
      </c>
      <c r="E21" s="222"/>
      <c r="F21" s="223" t="str">
        <f>IF(D21="","","kW")</f>
        <v>kW</v>
      </c>
      <c r="G21" s="228">
        <f>IFERROR(INDEX('INFO-Direc'!$G$9:$G$25,
       MATCH(D21, 'INFO-Direc'!$D$9:$D$25, 0)),"")</f>
        <v>56</v>
      </c>
      <c r="H21" s="385"/>
      <c r="I21" s="386"/>
      <c r="J21" s="386"/>
      <c r="K21" s="387"/>
      <c r="L21" s="397">
        <f>IFERROR(G21*G13*G22+G23+G24,"")</f>
        <v>1.8303340099538083</v>
      </c>
    </row>
    <row r="22" spans="2:12" ht="30" customHeight="1">
      <c r="B22" s="392"/>
      <c r="C22" s="393"/>
      <c r="D22" s="221" t="str">
        <f>IF(D21="", "Seleccionar Compresor ↑", "Carga Promedio de Uso de " &amp; D21)</f>
        <v>Carga Promedio de Uso de Compresor</v>
      </c>
      <c r="E22" s="222"/>
      <c r="F22" s="223" t="str">
        <f>IF(ISERROR(FIND("Seleccionar", D22)), "%", "")</f>
        <v>%</v>
      </c>
      <c r="G22" s="289">
        <f>IF(D21="","",IFERROR(
    INDEX('[4]INFO-Consumo'!I:I,
           MATCH(D21, '[4]INFO-Consumo'!D:D, 0)
    ),
""))</f>
        <v>0.6</v>
      </c>
      <c r="H22" s="384"/>
      <c r="I22" s="384"/>
      <c r="J22" s="384"/>
      <c r="K22" s="384"/>
      <c r="L22" s="399"/>
    </row>
    <row r="23" spans="2:12" ht="30" customHeight="1">
      <c r="B23" s="392"/>
      <c r="C23" s="393"/>
      <c r="D23" s="235" t="str">
        <f>IF(D21="", "Seleccionar Compresor ↑", "Costo de Repuestos " &amp; D21)</f>
        <v>Costo de Repuestos Compresor</v>
      </c>
      <c r="E23" s="222"/>
      <c r="F23" s="223" t="str">
        <f>IF(ISERROR(FIND("Seleccionar", D23)), "$/h", "")</f>
        <v>$/h</v>
      </c>
      <c r="G23" s="236">
        <f>IF(D21="","", SUM(IF(ISNUMBER(FIND("Compresor", 'INFO-Mant'!D9:D26)), 'INFO-Mant'!G9:G26 / 'INFO-Mant'!H9:H26, 0)))</f>
        <v>6.2505000000000005E-2</v>
      </c>
      <c r="H23" s="385"/>
      <c r="I23" s="386"/>
      <c r="J23" s="386"/>
      <c r="K23" s="387"/>
      <c r="L23" s="399"/>
    </row>
    <row r="24" spans="2:12" ht="30" customHeight="1">
      <c r="B24" s="389"/>
      <c r="C24" s="391"/>
      <c r="D24" s="221" t="s">
        <v>85</v>
      </c>
      <c r="E24" s="222"/>
      <c r="F24" s="223" t="str">
        <f>IF(D21="","","$/h")</f>
        <v>$/h</v>
      </c>
      <c r="G24" s="233"/>
      <c r="H24" s="384"/>
      <c r="I24" s="384"/>
      <c r="J24" s="384"/>
      <c r="K24" s="384"/>
      <c r="L24" s="398"/>
    </row>
    <row r="25" spans="2:12" ht="30" customHeight="1">
      <c r="B25" s="388" t="s">
        <v>94</v>
      </c>
      <c r="C25" s="390" t="s">
        <v>89</v>
      </c>
      <c r="D25" s="232"/>
      <c r="E25" s="222"/>
      <c r="F25" s="223" t="str">
        <f>IF(D25="","","$/L")</f>
        <v/>
      </c>
      <c r="G25" s="228" t="str">
        <f>IFERROR(INDEX('INFO-Direc'!$G$9:$G$25,
       MATCH(D25, 'INFO-Direc'!$D$9:$D$25, 0)),"")</f>
        <v/>
      </c>
      <c r="H25" s="384"/>
      <c r="I25" s="384"/>
      <c r="J25" s="384"/>
      <c r="K25" s="384"/>
      <c r="L25" s="381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92"/>
      <c r="C26" s="393"/>
      <c r="D26" s="221" t="str">
        <f>IF(D25="", "Seleccionar Refrigerante ↑", "Consumo de " &amp; D25)</f>
        <v>Seleccionar Refrigerante ↑</v>
      </c>
      <c r="E26" s="222"/>
      <c r="F26" s="223" t="str">
        <f>IF(ISERROR(FIND("Seleccionar", D26)), "L/Año", "")</f>
        <v/>
      </c>
      <c r="G26" s="238"/>
      <c r="H26" s="384"/>
      <c r="I26" s="384"/>
      <c r="J26" s="384"/>
      <c r="K26" s="384"/>
      <c r="L26" s="382"/>
    </row>
    <row r="27" spans="2:12" ht="30" customHeight="1">
      <c r="B27" s="392"/>
      <c r="C27" s="393"/>
      <c r="D27" s="232"/>
      <c r="E27" s="222"/>
      <c r="F27" s="223" t="str">
        <f>IF(D27="","","$/L")</f>
        <v/>
      </c>
      <c r="G27" s="228" t="str">
        <f>IFERROR(INDEX('INFO-Direc'!$G$9:$G$25,
       MATCH(D27, 'INFO-Direc'!$D$9:$D$25, 0)),"")</f>
        <v/>
      </c>
      <c r="H27" s="385"/>
      <c r="I27" s="386"/>
      <c r="J27" s="386"/>
      <c r="K27" s="387"/>
      <c r="L27" s="382"/>
    </row>
    <row r="28" spans="2:12" ht="30" customHeight="1">
      <c r="B28" s="392"/>
      <c r="C28" s="393"/>
      <c r="D28" s="221" t="str">
        <f>IF(D27="", "Seleccionar Refrigerante ↑", "Consumo de " &amp; D27)</f>
        <v>Seleccionar Refrigerante ↑</v>
      </c>
      <c r="E28" s="222"/>
      <c r="F28" s="223" t="str">
        <f>IF(ISERROR(FIND("Seleccionar", D28)), "L/Año", "")</f>
        <v/>
      </c>
      <c r="G28" s="239"/>
      <c r="H28" s="385"/>
      <c r="I28" s="386"/>
      <c r="J28" s="386"/>
      <c r="K28" s="387"/>
      <c r="L28" s="382"/>
    </row>
    <row r="29" spans="2:12" ht="30" customHeight="1">
      <c r="B29" s="389"/>
      <c r="C29" s="391"/>
      <c r="D29" s="221" t="s">
        <v>85</v>
      </c>
      <c r="E29" s="222"/>
      <c r="F29" s="223" t="str">
        <f>IF(OR(D25&lt;&gt;"", D27&lt;&gt;""), "$/h", "")</f>
        <v/>
      </c>
      <c r="G29" s="233"/>
      <c r="H29" s="384"/>
      <c r="I29" s="384"/>
      <c r="J29" s="384"/>
      <c r="K29" s="384"/>
      <c r="L29" s="383"/>
    </row>
    <row r="30" spans="2:12" s="152" customFormat="1" ht="30" customHeight="1">
      <c r="B30" s="388" t="s">
        <v>168</v>
      </c>
      <c r="C30" s="394" t="s">
        <v>89</v>
      </c>
      <c r="D30" s="232"/>
      <c r="E30" s="222"/>
      <c r="F30" s="223" t="str">
        <f>IF(D30="","","$/L")</f>
        <v/>
      </c>
      <c r="G30" s="228" t="str">
        <f>IFERROR(INDEX('INFO-Direc'!$G$9:$G$25,
       MATCH(D30, 'INFO-Direc'!$D$9:$D$25, 0)),"")</f>
        <v/>
      </c>
      <c r="H30" s="384"/>
      <c r="I30" s="384"/>
      <c r="J30" s="384"/>
      <c r="K30" s="384"/>
      <c r="L30" s="381" t="str">
        <f>IF(
    AND(D30="", D32=""),
    "",
    IFERROR(
        IFERROR(G30 / (INDEX('INFO-OEE'!$E$18:$CA$18,
                               MATCH(#REF!, 'INFO-OEE'!$E$9:$CA$9, 0)) * 12), 0)
        * G31
        +
        IFERROR(G32 / (INDEX('INFO-OEE'!$E$18:$CA$18,
                               MATCH(#REF!, 'INFO-OEE'!$E$9:$CA$9, 0)) * 12), 0)
        * G33
        +
        IFERROR(G34, 0),
    "")
)</f>
        <v/>
      </c>
    </row>
    <row r="31" spans="2:12" s="152" customFormat="1" ht="30" customHeight="1">
      <c r="B31" s="392"/>
      <c r="C31" s="395"/>
      <c r="D31" s="221" t="str">
        <f>IF(D30="", "Seleccionar Solvente ↑", "Consumo de " &amp; D30)</f>
        <v>Seleccionar Solvente ↑</v>
      </c>
      <c r="E31" s="222"/>
      <c r="F31" s="223" t="str">
        <f>IF(ISERROR(FIND("Seleccionar", D31)), "L/Año", "")</f>
        <v/>
      </c>
      <c r="G31" s="234"/>
      <c r="H31" s="384"/>
      <c r="I31" s="384"/>
      <c r="J31" s="384"/>
      <c r="K31" s="384"/>
      <c r="L31" s="382"/>
    </row>
    <row r="32" spans="2:12" s="152" customFormat="1" ht="30" customHeight="1">
      <c r="B32" s="392"/>
      <c r="C32" s="395"/>
      <c r="D32" s="232"/>
      <c r="E32" s="222"/>
      <c r="F32" s="223" t="str">
        <f>IF(D32="","","$/L")</f>
        <v/>
      </c>
      <c r="G32" s="228" t="str">
        <f>IFERROR(INDEX('INFO-Direc'!$G$9:$G$25,
       MATCH(D32, 'INFO-Direc'!$D$9:$D$25, 0)),"")</f>
        <v/>
      </c>
      <c r="H32" s="385"/>
      <c r="I32" s="386"/>
      <c r="J32" s="386"/>
      <c r="K32" s="387"/>
      <c r="L32" s="382"/>
    </row>
    <row r="33" spans="2:12" s="152" customFormat="1" ht="30" customHeight="1">
      <c r="B33" s="392"/>
      <c r="C33" s="395"/>
      <c r="D33" s="221" t="str">
        <f>IF(D32="", "Seleccionar Solvente ↑", "Consumo de " &amp; D32)</f>
        <v>Seleccionar Solvente ↑</v>
      </c>
      <c r="E33" s="222"/>
      <c r="F33" s="223" t="str">
        <f>IF(ISERROR(FIND("Seleccionar", D33)), "L/Año", "")</f>
        <v/>
      </c>
      <c r="G33" s="234"/>
      <c r="H33" s="385"/>
      <c r="I33" s="386"/>
      <c r="J33" s="386"/>
      <c r="K33" s="387"/>
      <c r="L33" s="382"/>
    </row>
    <row r="34" spans="2:12" s="152" customFormat="1" ht="30" customHeight="1">
      <c r="B34" s="389"/>
      <c r="C34" s="396"/>
      <c r="D34" s="221" t="s">
        <v>85</v>
      </c>
      <c r="E34" s="222"/>
      <c r="F34" s="223" t="str">
        <f>IF(OR(D30&lt;&gt;"", D32&lt;&gt;""), "$/h", "")</f>
        <v/>
      </c>
      <c r="G34" s="233"/>
      <c r="H34" s="384"/>
      <c r="I34" s="384"/>
      <c r="J34" s="384"/>
      <c r="K34" s="384"/>
      <c r="L34" s="383"/>
    </row>
    <row r="35" spans="2:12" ht="30" customHeight="1">
      <c r="B35" s="388" t="s">
        <v>100</v>
      </c>
      <c r="C35" s="390" t="s">
        <v>89</v>
      </c>
      <c r="D35" s="221" t="str">
        <f>IF(D12="", "Seleccionar Area ↑", "Costo de Operarios")</f>
        <v>Costo de Operarios</v>
      </c>
      <c r="E35" s="222"/>
      <c r="F35" s="223" t="str">
        <f>IF(D12="","","$/mes")</f>
        <v>$/mes</v>
      </c>
      <c r="G35" s="237">
        <f>IF(D12="","",IFERROR(
    INDEX('INFO-Personal'!$E$26:$CA$26,
           MATCH($C$3, 'INFO-Personal'!$E$9:$CA$9, 0)
    ),
""))</f>
        <v>710.55480696864117</v>
      </c>
      <c r="H35" s="384"/>
      <c r="I35" s="384"/>
      <c r="J35" s="384"/>
      <c r="K35" s="384"/>
      <c r="L35" s="397">
        <f>IFERROR(
    (G35 / INDEX('INFO-OEE'!$E$18:$CA$18,
                  MATCH($C$3, 'INFO-OEE'!$E$9:$CA$9, 0)))
    + G36,
"")</f>
        <v>5.046554026765917</v>
      </c>
    </row>
    <row r="36" spans="2:12" ht="30" customHeight="1">
      <c r="B36" s="389"/>
      <c r="C36" s="391"/>
      <c r="D36" s="221" t="s">
        <v>85</v>
      </c>
      <c r="E36" s="222"/>
      <c r="F36" s="223" t="str">
        <f>IF(D12="","","$/h")</f>
        <v>$/h</v>
      </c>
      <c r="G36" s="240"/>
      <c r="H36" s="384"/>
      <c r="I36" s="384"/>
      <c r="J36" s="384"/>
      <c r="K36" s="384"/>
      <c r="L36" s="398"/>
    </row>
    <row r="37" spans="2:12" ht="30" customHeight="1">
      <c r="B37" s="241"/>
      <c r="C37" s="242"/>
      <c r="D37" s="243"/>
      <c r="E37" s="242"/>
      <c r="F37" s="244"/>
      <c r="G37" s="245"/>
      <c r="H37" s="409"/>
      <c r="I37" s="409"/>
      <c r="J37" s="409"/>
      <c r="K37" s="409"/>
      <c r="L37" s="246"/>
    </row>
    <row r="38" spans="2:12" ht="30" customHeight="1">
      <c r="B38" s="388" t="s">
        <v>16</v>
      </c>
      <c r="C38" s="390" t="s">
        <v>69</v>
      </c>
      <c r="D38" s="221" t="str">
        <f>IF(D12="", "Seleccionar Area ↑", "Costo de Supervisores")</f>
        <v>Costo de Supervisores</v>
      </c>
      <c r="E38" s="222"/>
      <c r="F38" s="247" t="str">
        <f>IF(D12="","","$/mes")</f>
        <v>$/mes</v>
      </c>
      <c r="G38" s="237">
        <f>IF(D12="","",IFERROR(
    INDEX('INFO-Personal'!$E$27:$CA$27,
           MATCH($C$3, 'INFO-Personal'!$E$9:$CA$9, 0)
    ),
""))</f>
        <v>0</v>
      </c>
      <c r="H38" s="385"/>
      <c r="I38" s="386"/>
      <c r="J38" s="386"/>
      <c r="K38" s="387"/>
      <c r="L38" s="397">
        <f>IFERROR(
    (G38 / INDEX('INFO-OEE'!$E$18:$CA$18,
                  MATCH($C$3, 'INFO-OEE'!$E$9:$CA$9, 0)))
    + G39,
"")</f>
        <v>0</v>
      </c>
    </row>
    <row r="39" spans="2:12" ht="30" customHeight="1">
      <c r="B39" s="392"/>
      <c r="C39" s="393"/>
      <c r="D39" s="221" t="s">
        <v>85</v>
      </c>
      <c r="E39" s="222"/>
      <c r="F39" s="223" t="str">
        <f>IF(D12="","","$/h")</f>
        <v>$/h</v>
      </c>
      <c r="G39" s="240"/>
      <c r="H39" s="385"/>
      <c r="I39" s="386"/>
      <c r="J39" s="386"/>
      <c r="K39" s="387"/>
      <c r="L39" s="399"/>
    </row>
    <row r="40" spans="2:12" ht="30" customHeight="1">
      <c r="B40" s="388" t="s">
        <v>101</v>
      </c>
      <c r="C40" s="390" t="s">
        <v>69</v>
      </c>
      <c r="D40" s="221" t="str">
        <f>IF(D12="", "Seleccionar Area ↑", "Costo de Mant. Preventivo")</f>
        <v>Costo de Mant. Preventivo</v>
      </c>
      <c r="E40" s="222"/>
      <c r="F40" s="247" t="str">
        <f>IF(D12="","","$/mes")</f>
        <v>$/mes</v>
      </c>
      <c r="G40" s="237">
        <f>IF(D12="","",IFERROR(
    INDEX('INFO-Personal'!$E$28:$CA$28,
           MATCH($C$3, 'INFO-Personal'!$E$9:$CA$9, 0)
    ),
""))</f>
        <v>0</v>
      </c>
      <c r="H40" s="385"/>
      <c r="I40" s="386"/>
      <c r="J40" s="386"/>
      <c r="K40" s="387"/>
      <c r="L40" s="397">
        <f>IF(D12="","",SUM(
    IFERROR((G40+G41) / INDEX('INFO-OEE'!$E$18:$CA$18, MATCH(C3, 'INFO-OEE'!$E$9:$CA$9, 0)), 0),
    IFERROR(G42 / G43, 0),
    IFERROR(G44 / G45, 0),
    IFERROR(G46 / G47, 0),
    IFERROR(G48, 0)
))</f>
        <v>0.25023513374001316</v>
      </c>
    </row>
    <row r="41" spans="2:12" ht="30" customHeight="1">
      <c r="B41" s="392"/>
      <c r="C41" s="393"/>
      <c r="D41" s="221" t="str">
        <f>IF(D12="", "Seleccionar Area ↑", "Costo de Mant. Correctivo")</f>
        <v>Costo de Mant. Correctivo</v>
      </c>
      <c r="E41" s="222"/>
      <c r="F41" s="247" t="str">
        <f>IF(D12="","","$/mes")</f>
        <v>$/mes</v>
      </c>
      <c r="G41" s="237">
        <f>IF(D12="","",IFERROR(
    INDEX('INFO-Personal'!$E$29:$CA$29,
           MATCH($C$3, 'INFO-Personal'!$E$9:$CA$9, 0)
    ),
""))</f>
        <v>35.233106830593854</v>
      </c>
      <c r="H41" s="385"/>
      <c r="I41" s="386"/>
      <c r="J41" s="386"/>
      <c r="K41" s="387"/>
      <c r="L41" s="399"/>
    </row>
    <row r="42" spans="2:12" ht="30" customHeight="1">
      <c r="B42" s="392"/>
      <c r="C42" s="393"/>
      <c r="D42" s="232"/>
      <c r="E42" s="222"/>
      <c r="F42" s="223" t="str">
        <f>IF(D42="","","$/u")</f>
        <v/>
      </c>
      <c r="G42" s="237" t="str">
        <f>IFERROR(INDEX('INFO-Mant'!$G$9:$G$26,
       MATCH(D42, 'INFO-Mant'!$D$9:$D$26, 0)),"")</f>
        <v/>
      </c>
      <c r="H42" s="385"/>
      <c r="I42" s="386"/>
      <c r="J42" s="386"/>
      <c r="K42" s="387"/>
      <c r="L42" s="399"/>
    </row>
    <row r="43" spans="2:12" ht="30" customHeight="1">
      <c r="B43" s="392"/>
      <c r="C43" s="393"/>
      <c r="D43" s="221" t="str">
        <f>IF(D42="", "Seleccionar Repuesto ↑", "Vida Util de " &amp; D42)</f>
        <v>Seleccionar Repuesto ↑</v>
      </c>
      <c r="E43" s="222"/>
      <c r="F43" s="223" t="str">
        <f>IF(ISERROR(FIND("Seleccionar", D43)), "Horas/u", "")</f>
        <v/>
      </c>
      <c r="G43" s="238"/>
      <c r="H43" s="385"/>
      <c r="I43" s="386"/>
      <c r="J43" s="386"/>
      <c r="K43" s="387"/>
      <c r="L43" s="399"/>
    </row>
    <row r="44" spans="2:12" ht="30" customHeight="1">
      <c r="B44" s="392"/>
      <c r="C44" s="393"/>
      <c r="D44" s="232"/>
      <c r="E44" s="222"/>
      <c r="F44" s="223" t="str">
        <f>IF(D44="","","$/u")</f>
        <v/>
      </c>
      <c r="G44" s="237" t="str">
        <f>IFERROR(INDEX('INFO-Mant'!$G$9:$G$26,
       MATCH(D44, 'INFO-Mant'!$D$9:$D$26, 0)),"")</f>
        <v/>
      </c>
      <c r="H44" s="385"/>
      <c r="I44" s="386"/>
      <c r="J44" s="386"/>
      <c r="K44" s="387"/>
      <c r="L44" s="399"/>
    </row>
    <row r="45" spans="2:12" ht="30" customHeight="1">
      <c r="B45" s="392"/>
      <c r="C45" s="393"/>
      <c r="D45" s="221" t="str">
        <f>IF(D44="", "Seleccionar Repuesto ↑", "Vida Util de " &amp; D44)</f>
        <v>Seleccionar Repuesto ↑</v>
      </c>
      <c r="E45" s="222"/>
      <c r="F45" s="223" t="str">
        <f>IF(ISERROR(FIND("Seleccionar", D45)), "Horas/u", "")</f>
        <v/>
      </c>
      <c r="G45" s="238"/>
      <c r="H45" s="385"/>
      <c r="I45" s="386"/>
      <c r="J45" s="386"/>
      <c r="K45" s="387"/>
      <c r="L45" s="399"/>
    </row>
    <row r="46" spans="2:12" ht="30" customHeight="1">
      <c r="B46" s="392"/>
      <c r="C46" s="393"/>
      <c r="D46" s="232"/>
      <c r="E46" s="222"/>
      <c r="F46" s="223" t="str">
        <f>IF(D46="","","$/u")</f>
        <v/>
      </c>
      <c r="G46" s="237" t="str">
        <f>IFERROR(INDEX('INFO-Mant'!$G$9:$G$26,
       MATCH(D46, 'INFO-Mant'!$D$9:$D$26, 0)),"")</f>
        <v/>
      </c>
      <c r="H46" s="385"/>
      <c r="I46" s="386"/>
      <c r="J46" s="386"/>
      <c r="K46" s="387"/>
      <c r="L46" s="399"/>
    </row>
    <row r="47" spans="2:12" ht="30" customHeight="1">
      <c r="B47" s="392"/>
      <c r="C47" s="393"/>
      <c r="D47" s="221" t="str">
        <f>IF(D46="", "Seleccionar Repuesto ↑", "Vida Util de " &amp; D46)</f>
        <v>Seleccionar Repuesto ↑</v>
      </c>
      <c r="E47" s="222"/>
      <c r="F47" s="223" t="str">
        <f>IF(ISERROR(FIND("Seleccionar", D47)), "Horas/u", "")</f>
        <v/>
      </c>
      <c r="G47" s="240"/>
      <c r="H47" s="385"/>
      <c r="I47" s="386"/>
      <c r="J47" s="386"/>
      <c r="K47" s="387"/>
      <c r="L47" s="399"/>
    </row>
    <row r="48" spans="2:12" ht="30" customHeight="1">
      <c r="B48" s="389"/>
      <c r="C48" s="391"/>
      <c r="D48" s="221" t="s">
        <v>85</v>
      </c>
      <c r="E48" s="222"/>
      <c r="F48" s="223" t="str">
        <f>IF(D12="","","$/h")</f>
        <v>$/h</v>
      </c>
      <c r="G48" s="240"/>
      <c r="H48" s="385"/>
      <c r="I48" s="386"/>
      <c r="J48" s="386"/>
      <c r="K48" s="387"/>
      <c r="L48" s="398"/>
    </row>
    <row r="49" spans="2:12" ht="30" customHeight="1">
      <c r="B49" s="248"/>
      <c r="C49" s="249"/>
      <c r="D49" s="250"/>
      <c r="E49" s="249"/>
      <c r="F49" s="251"/>
      <c r="G49" s="252"/>
      <c r="H49" s="249"/>
      <c r="I49" s="249"/>
      <c r="J49" s="249"/>
      <c r="K49" s="249"/>
      <c r="L49" s="253"/>
    </row>
    <row r="50" spans="2:12" ht="30" customHeight="1">
      <c r="B50" s="388" t="s">
        <v>102</v>
      </c>
      <c r="C50" s="394" t="s">
        <v>103</v>
      </c>
      <c r="D50" s="232"/>
      <c r="E50" s="222"/>
      <c r="F50" s="223" t="str">
        <f>IF(D50="","","$/h")</f>
        <v/>
      </c>
      <c r="G50" s="23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410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410"/>
      <c r="J50" s="410"/>
      <c r="K50" s="410"/>
      <c r="L50" s="255" t="str">
        <f ca="1">G50</f>
        <v/>
      </c>
    </row>
    <row r="51" spans="2:12" ht="30" customHeight="1">
      <c r="B51" s="392"/>
      <c r="C51" s="395"/>
      <c r="D51" s="232"/>
      <c r="E51" s="254"/>
      <c r="F51" s="223" t="str">
        <f>IF(D51="","","$/h")</f>
        <v/>
      </c>
      <c r="G51" s="23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410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410"/>
      <c r="J51" s="410"/>
      <c r="K51" s="410"/>
      <c r="L51" s="255" t="str">
        <f ca="1">G51</f>
        <v/>
      </c>
    </row>
    <row r="52" spans="2:12" ht="30" customHeight="1">
      <c r="B52" s="392"/>
      <c r="C52" s="395"/>
      <c r="D52" s="232"/>
      <c r="E52" s="222"/>
      <c r="F52" s="223" t="str">
        <f t="shared" ref="F52:F54" si="0">IF(D52="","","$/h")</f>
        <v/>
      </c>
      <c r="G52" s="23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410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410"/>
      <c r="J52" s="410"/>
      <c r="K52" s="410"/>
      <c r="L52" s="255" t="str">
        <f ca="1">G52</f>
        <v/>
      </c>
    </row>
    <row r="53" spans="2:12" ht="30" customHeight="1">
      <c r="B53" s="392"/>
      <c r="C53" s="395"/>
      <c r="D53" s="232"/>
      <c r="E53" s="222"/>
      <c r="F53" s="223" t="str">
        <f t="shared" si="0"/>
        <v/>
      </c>
      <c r="G53" s="23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410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410"/>
      <c r="J53" s="410"/>
      <c r="K53" s="410"/>
      <c r="L53" s="255" t="str">
        <f ca="1">G53</f>
        <v/>
      </c>
    </row>
    <row r="54" spans="2:12" ht="30" customHeight="1">
      <c r="B54" s="389"/>
      <c r="C54" s="396"/>
      <c r="D54" s="232"/>
      <c r="E54" s="222"/>
      <c r="F54" s="223" t="str">
        <f t="shared" si="0"/>
        <v/>
      </c>
      <c r="G54" s="23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410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410"/>
      <c r="J54" s="410"/>
      <c r="K54" s="410"/>
      <c r="L54" s="255" t="str">
        <f ca="1">G54</f>
        <v/>
      </c>
    </row>
    <row r="55" spans="2:12" ht="30" customHeight="1">
      <c r="B55" s="146"/>
      <c r="C55" s="147"/>
      <c r="D55" s="411"/>
      <c r="E55" s="411"/>
      <c r="F55" s="30"/>
      <c r="G55" s="30"/>
      <c r="H55" s="149"/>
      <c r="I55" s="149"/>
      <c r="J55" s="149"/>
      <c r="K55" s="30"/>
      <c r="L55" s="145"/>
    </row>
    <row r="56" spans="2:12" ht="30" customHeight="1" thickBot="1">
      <c r="B56" s="153" t="s">
        <v>39</v>
      </c>
      <c r="C56" s="330"/>
      <c r="D56" s="330"/>
      <c r="E56" s="154" t="s">
        <v>23</v>
      </c>
      <c r="F56" s="368"/>
      <c r="G56" s="368"/>
      <c r="H56" s="141"/>
      <c r="I56" s="141"/>
      <c r="J56" s="141"/>
      <c r="K56" s="256"/>
      <c r="L56" s="257"/>
    </row>
    <row r="57" spans="2:12" ht="30" customHeight="1" thickBot="1">
      <c r="B57" s="155"/>
      <c r="C57" s="156"/>
      <c r="D57" s="156"/>
      <c r="E57" s="156"/>
      <c r="F57" s="378"/>
      <c r="G57" s="378"/>
      <c r="H57" s="157"/>
      <c r="I57" s="157"/>
      <c r="J57" s="157"/>
      <c r="K57" s="258" t="s">
        <v>106</v>
      </c>
      <c r="L57" s="259">
        <f ca="1">IFERROR(SUM(L19:L54),"")</f>
        <v>7.127123170459738</v>
      </c>
    </row>
    <row r="59" spans="2:12" ht="30" customHeight="1">
      <c r="C59" s="117"/>
    </row>
  </sheetData>
  <sheetProtection algorithmName="SHA-512" hashValue="AOrlHzsgKsOtq6HWmkfmmYDhJWO7Lq1dBdIAi/heEj0pXFqiawEKVTTcnJ/V2wox0ZNxJKh9C9IIfXbgyIMg+w==" saltValue="NQWF9kP9HxOLTQxiITQGpA==" spinCount="100000" sheet="1" objects="1" scenarios="1" selectLockedCells="1"/>
  <mergeCells count="80">
    <mergeCell ref="L40:L48"/>
    <mergeCell ref="B50:B54"/>
    <mergeCell ref="C50:C54"/>
    <mergeCell ref="H50:K50"/>
    <mergeCell ref="D55:E55"/>
    <mergeCell ref="H51:K51"/>
    <mergeCell ref="H52:K52"/>
    <mergeCell ref="H53:K53"/>
    <mergeCell ref="H54:K54"/>
    <mergeCell ref="H48:K48"/>
    <mergeCell ref="C40:C48"/>
    <mergeCell ref="F57:G57"/>
    <mergeCell ref="B10:B15"/>
    <mergeCell ref="C10:C15"/>
    <mergeCell ref="B16:B20"/>
    <mergeCell ref="C16:C20"/>
    <mergeCell ref="B21:B24"/>
    <mergeCell ref="C21:C24"/>
    <mergeCell ref="B25:B29"/>
    <mergeCell ref="C25:C29"/>
    <mergeCell ref="B30:B34"/>
    <mergeCell ref="C30:C34"/>
    <mergeCell ref="B38:B39"/>
    <mergeCell ref="C38:C39"/>
    <mergeCell ref="B40:B48"/>
    <mergeCell ref="C56:D56"/>
    <mergeCell ref="F56:G56"/>
    <mergeCell ref="H38:K38"/>
    <mergeCell ref="H44:K44"/>
    <mergeCell ref="H45:K45"/>
    <mergeCell ref="H46:K46"/>
    <mergeCell ref="H47:K47"/>
    <mergeCell ref="H39:K39"/>
    <mergeCell ref="H40:K40"/>
    <mergeCell ref="H41:K41"/>
    <mergeCell ref="H42:K42"/>
    <mergeCell ref="H43:K43"/>
    <mergeCell ref="L38:L39"/>
    <mergeCell ref="L25:L29"/>
    <mergeCell ref="L30:L34"/>
    <mergeCell ref="L10:L15"/>
    <mergeCell ref="L16:L20"/>
    <mergeCell ref="L35:L36"/>
    <mergeCell ref="H34:K34"/>
    <mergeCell ref="H35:K35"/>
    <mergeCell ref="H36:K36"/>
    <mergeCell ref="H37:K37"/>
    <mergeCell ref="B35:B36"/>
    <mergeCell ref="C35:C36"/>
    <mergeCell ref="H33:K33"/>
    <mergeCell ref="H29:K29"/>
    <mergeCell ref="H30:K30"/>
    <mergeCell ref="H31:K31"/>
    <mergeCell ref="H32:K32"/>
    <mergeCell ref="H28:K28"/>
    <mergeCell ref="H23:K23"/>
    <mergeCell ref="H24:K24"/>
    <mergeCell ref="H25:K25"/>
    <mergeCell ref="H26:K26"/>
    <mergeCell ref="H27:K27"/>
    <mergeCell ref="H20:K20"/>
    <mergeCell ref="H21:K21"/>
    <mergeCell ref="H22:K22"/>
    <mergeCell ref="L21:L24"/>
    <mergeCell ref="H16:K16"/>
    <mergeCell ref="H17:K17"/>
    <mergeCell ref="H18:K18"/>
    <mergeCell ref="H19:K19"/>
    <mergeCell ref="H13:K13"/>
    <mergeCell ref="H15:K15"/>
    <mergeCell ref="H9:K9"/>
    <mergeCell ref="H10:K10"/>
    <mergeCell ref="H11:K11"/>
    <mergeCell ref="H14:K14"/>
    <mergeCell ref="C3:D3"/>
    <mergeCell ref="F3:G3"/>
    <mergeCell ref="C6:D6"/>
    <mergeCell ref="F6:G6"/>
    <mergeCell ref="C7:D7"/>
    <mergeCell ref="F7:G7"/>
  </mergeCells>
  <dataValidations count="9">
    <dataValidation allowBlank="1" showInputMessage="1" showErrorMessage="1" prompt="Escriba comentarios en las celdas de la derecha." sqref="C59"/>
    <dataValidation type="list" allowBlank="1" showInputMessage="1" showErrorMessage="1" sqref="D51:D54">
      <formula1>Herramientas_Ensamble</formula1>
    </dataValidation>
    <dataValidation type="list" allowBlank="1" showInputMessage="1" showErrorMessage="1" sqref="D10 D50">
      <formula1>Maquinaria_Ensamble</formula1>
    </dataValidation>
    <dataValidation type="list" allowBlank="1" showInputMessage="1" showErrorMessage="1" sqref="D42 D44 D46">
      <formula1>Repuestos_Ensamble</formula1>
    </dataValidation>
    <dataValidation type="list" allowBlank="1" showInputMessage="1" showErrorMessage="1" sqref="D30 D32">
      <formula1>Solvente_Ensamble</formula1>
    </dataValidation>
    <dataValidation type="list" allowBlank="1" showInputMessage="1" showErrorMessage="1" sqref="D25 D27">
      <formula1>Refrigerantes_Ensamble</formula1>
    </dataValidation>
    <dataValidation type="list" allowBlank="1" showInputMessage="1" showErrorMessage="1" sqref="D21">
      <formula1>AireComprimido_Ensamble</formula1>
    </dataValidation>
    <dataValidation type="list" allowBlank="1" showInputMessage="1" showErrorMessage="1" sqref="D16 D18">
      <formula1>Lubricantes_Ensamble</formula1>
    </dataValidation>
    <dataValidation type="list" allowBlank="1" showInputMessage="1" showErrorMessage="1" sqref="D12">
      <formula1>Areas_Ensamble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3" r:id="rId4" name="Button 3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54</xdr:row>
                    <xdr:rowOff>333375</xdr:rowOff>
                  </from>
                  <to>
                    <xdr:col>1</xdr:col>
                    <xdr:colOff>1762125</xdr:colOff>
                    <xdr:row>55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1">
    <tabColor rgb="FF0070C0"/>
    <pageSetUpPr autoPageBreaks="0" fitToPage="1"/>
  </sheetPr>
  <dimension ref="B1:M59"/>
  <sheetViews>
    <sheetView showGridLines="0" zoomScale="80" zoomScaleNormal="80" workbookViewId="0">
      <selection activeCell="C6" sqref="C6:D6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3.140625" style="80" bestFit="1" customWidth="1"/>
    <col min="5" max="5" width="20.5703125" style="80" customWidth="1"/>
    <col min="6" max="6" width="16.5703125" style="80" bestFit="1" customWidth="1"/>
    <col min="7" max="7" width="19.7109375" style="80" bestFit="1" customWidth="1"/>
    <col min="8" max="8" width="15.28515625" style="80" customWidth="1"/>
    <col min="9" max="10" width="17" style="80" customWidth="1"/>
    <col min="11" max="11" width="28.42578125" style="80" customWidth="1"/>
    <col min="12" max="12" width="20.7109375" style="80" customWidth="1"/>
    <col min="13" max="13" width="2.7109375" style="80" customWidth="1"/>
    <col min="14" max="16384" width="9.140625" style="80"/>
  </cols>
  <sheetData>
    <row r="1" spans="2:13" ht="12" customHeight="1" thickBot="1"/>
    <row r="2" spans="2:13" ht="30" customHeight="1">
      <c r="B2" s="126" t="s">
        <v>95</v>
      </c>
      <c r="C2" s="127"/>
      <c r="D2" s="128"/>
      <c r="E2" s="128"/>
      <c r="F2" s="128"/>
      <c r="G2" s="128"/>
      <c r="H2" s="128"/>
      <c r="I2" s="128"/>
      <c r="J2" s="128"/>
      <c r="K2" s="128"/>
      <c r="L2" s="129"/>
    </row>
    <row r="3" spans="2:13" ht="30" customHeight="1">
      <c r="B3" s="130" t="s">
        <v>96</v>
      </c>
      <c r="C3" s="406" t="s">
        <v>199</v>
      </c>
      <c r="D3" s="406"/>
      <c r="E3" s="125" t="s">
        <v>3</v>
      </c>
      <c r="F3" s="356">
        <f ca="1">TODAY()</f>
        <v>46020</v>
      </c>
      <c r="G3" s="356"/>
      <c r="H3" s="125" t="s">
        <v>61</v>
      </c>
      <c r="I3" s="162">
        <f>'INFO-Direc'!H3</f>
        <v>1445</v>
      </c>
      <c r="J3" s="131"/>
      <c r="K3" s="132"/>
      <c r="L3" s="133"/>
      <c r="M3" s="134"/>
    </row>
    <row r="4" spans="2:13" ht="30" customHeight="1">
      <c r="B4" s="130" t="s">
        <v>97</v>
      </c>
      <c r="C4" s="160">
        <f>IFERROR(INDEX('INFO-OEE'!E17:CL17,
       MATCH(C3, 'INFO-OEE'!E9:CL9, 0)),"")</f>
        <v>0.8</v>
      </c>
      <c r="D4" s="135"/>
      <c r="E4" s="136"/>
      <c r="F4" s="136"/>
      <c r="G4" s="136"/>
      <c r="H4" s="125"/>
      <c r="I4" s="137"/>
      <c r="J4" s="131"/>
      <c r="K4" s="132"/>
      <c r="L4" s="138"/>
      <c r="M4" s="89"/>
    </row>
    <row r="5" spans="2:13" ht="30" customHeight="1">
      <c r="B5" s="139" t="s">
        <v>4</v>
      </c>
      <c r="C5" s="140"/>
      <c r="D5" s="141"/>
      <c r="E5" s="141"/>
      <c r="F5" s="141"/>
      <c r="G5" s="141"/>
      <c r="H5" s="141"/>
      <c r="I5" s="141"/>
      <c r="J5" s="141"/>
      <c r="K5" s="141"/>
      <c r="L5" s="142"/>
    </row>
    <row r="6" spans="2:13" ht="30" customHeight="1">
      <c r="B6" s="143" t="s">
        <v>5</v>
      </c>
      <c r="C6" s="407" t="s">
        <v>205</v>
      </c>
      <c r="D6" s="407"/>
      <c r="E6" s="144" t="s">
        <v>6</v>
      </c>
      <c r="F6" s="407"/>
      <c r="G6" s="407"/>
      <c r="H6" s="141"/>
      <c r="I6" s="141"/>
      <c r="J6" s="141"/>
      <c r="K6" s="30"/>
      <c r="L6" s="145"/>
    </row>
    <row r="7" spans="2:13" ht="30" customHeight="1">
      <c r="B7" s="143" t="s">
        <v>7</v>
      </c>
      <c r="C7" s="407"/>
      <c r="D7" s="407"/>
      <c r="E7" s="144" t="s">
        <v>62</v>
      </c>
      <c r="F7" s="408"/>
      <c r="G7" s="408"/>
      <c r="H7" s="141"/>
      <c r="I7" s="141"/>
      <c r="J7" s="141"/>
      <c r="K7" s="30"/>
      <c r="L7" s="145"/>
    </row>
    <row r="8" spans="2:13" ht="30" customHeight="1" thickBot="1">
      <c r="B8" s="146"/>
      <c r="C8" s="147"/>
      <c r="D8" s="148"/>
      <c r="E8" s="148"/>
      <c r="F8" s="30"/>
      <c r="G8" s="30"/>
      <c r="H8" s="149"/>
      <c r="I8" s="149"/>
      <c r="J8" s="149"/>
      <c r="K8" s="30"/>
      <c r="L8" s="145"/>
    </row>
    <row r="9" spans="2:13" ht="30" customHeight="1" thickBot="1">
      <c r="B9" s="67" t="s">
        <v>9</v>
      </c>
      <c r="C9" s="190" t="s">
        <v>63</v>
      </c>
      <c r="D9" s="190" t="s">
        <v>64</v>
      </c>
      <c r="E9" s="190" t="s">
        <v>65</v>
      </c>
      <c r="F9" s="190" t="s">
        <v>66</v>
      </c>
      <c r="G9" s="190" t="s">
        <v>67</v>
      </c>
      <c r="H9" s="319" t="s">
        <v>68</v>
      </c>
      <c r="I9" s="319"/>
      <c r="J9" s="319"/>
      <c r="K9" s="319"/>
      <c r="L9" s="191" t="s">
        <v>98</v>
      </c>
    </row>
    <row r="10" spans="2:13" ht="30" customHeight="1">
      <c r="B10" s="404" t="s">
        <v>88</v>
      </c>
      <c r="C10" s="405" t="s">
        <v>89</v>
      </c>
      <c r="D10" s="231" t="s">
        <v>199</v>
      </c>
      <c r="E10" s="218"/>
      <c r="F10" s="219" t="str">
        <f>IF(D10="","","kW")</f>
        <v>kW</v>
      </c>
      <c r="G10" s="220">
        <f>IF(D10="","",IFERROR(INDEX('[4]INFO-Consumo'!$F$9:$F$95,
       MATCH(D10, '[4]INFO-Consumo'!$D$9:$D$95, 0)),""))</f>
        <v>1</v>
      </c>
      <c r="H10" s="401"/>
      <c r="I10" s="402"/>
      <c r="J10" s="402"/>
      <c r="K10" s="403"/>
      <c r="L10" s="400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0.30316793172398854</v>
      </c>
    </row>
    <row r="11" spans="2:13" ht="30" customHeight="1">
      <c r="B11" s="392"/>
      <c r="C11" s="393"/>
      <c r="D11" s="221" t="str">
        <f>IF(D10="", "Seleccionar Maquinaria ↑", "Carga Promedio de Uso de " &amp; D10)</f>
        <v>Carga Promedio de Uso de HER. AUT MS04 DP 03TQJ3</v>
      </c>
      <c r="E11" s="222"/>
      <c r="F11" s="223" t="str">
        <f>IF(ISERROR(FIND("Seleccionar", D11)), "%", "")</f>
        <v>%</v>
      </c>
      <c r="G11" s="289">
        <f>IF(D10="","",IFERROR(
    INDEX('[4]INFO-Consumo'!I:I,
           MATCH(D10, '[4]INFO-Consumo'!D:D, 0)
    ),
""))</f>
        <v>0.6</v>
      </c>
      <c r="H11" s="384"/>
      <c r="I11" s="384"/>
      <c r="J11" s="384"/>
      <c r="K11" s="384"/>
      <c r="L11" s="399"/>
    </row>
    <row r="12" spans="2:13" ht="30" customHeight="1">
      <c r="B12" s="392"/>
      <c r="C12" s="393"/>
      <c r="D12" s="232" t="s">
        <v>173</v>
      </c>
      <c r="E12" s="222"/>
      <c r="F12" s="223" t="str">
        <f>IF(D12="","","kW")</f>
        <v>kW</v>
      </c>
      <c r="G12" s="224">
        <f>IFERROR(INDEX('[4]INFO-Ponderacion'!$S$9:$S$13,
       MATCH(D12,'[4]INFO-Ponderacion'!$C$9:$C$13, 0)),"")</f>
        <v>2.4095999999999997</v>
      </c>
      <c r="H12" s="286"/>
      <c r="I12" s="287"/>
      <c r="J12" s="287"/>
      <c r="K12" s="288"/>
      <c r="L12" s="399"/>
    </row>
    <row r="13" spans="2:13" ht="30" customHeight="1">
      <c r="B13" s="392"/>
      <c r="C13" s="393"/>
      <c r="D13" s="221" t="str">
        <f>IF(D12="", "Seleccionar Area ↑", "Tarifa Electrica ")</f>
        <v xml:space="preserve">Tarifa Electrica </v>
      </c>
      <c r="E13" s="222"/>
      <c r="F13" s="223" t="str">
        <f>IF(D12="","","$/kWh")</f>
        <v>$/kWh</v>
      </c>
      <c r="G13" s="228">
        <f>IF(D12="","",'INFO-Direc'!$G$9)</f>
        <v>5.2613958629577628E-2</v>
      </c>
      <c r="H13" s="384"/>
      <c r="I13" s="384"/>
      <c r="J13" s="384"/>
      <c r="K13" s="384"/>
      <c r="L13" s="399"/>
    </row>
    <row r="14" spans="2:13" ht="30" customHeight="1">
      <c r="B14" s="392"/>
      <c r="C14" s="393"/>
      <c r="D14" s="229" t="str">
        <f>IF(D12="", "Seleccionar Area ↑", "Costo Electrico Fijo de " &amp; D12)</f>
        <v>Costo Electrico Fijo de Ensamble</v>
      </c>
      <c r="E14" s="222"/>
      <c r="F14" s="223" t="str">
        <f>IF(D12="","","$/h")</f>
        <v>$/h</v>
      </c>
      <c r="G14" s="290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0.14482096183241172</v>
      </c>
      <c r="H14" s="385"/>
      <c r="I14" s="386"/>
      <c r="J14" s="386"/>
      <c r="K14" s="387"/>
      <c r="L14" s="399"/>
    </row>
    <row r="15" spans="2:13" ht="30" customHeight="1">
      <c r="B15" s="389"/>
      <c r="C15" s="391"/>
      <c r="D15" s="229" t="s">
        <v>85</v>
      </c>
      <c r="E15" s="230"/>
      <c r="F15" s="223" t="str">
        <f>IF(D12="","","$/h")</f>
        <v>$/h</v>
      </c>
      <c r="G15" s="233"/>
      <c r="H15" s="385"/>
      <c r="I15" s="386"/>
      <c r="J15" s="386"/>
      <c r="K15" s="387"/>
      <c r="L15" s="398"/>
    </row>
    <row r="16" spans="2:13" ht="30" customHeight="1">
      <c r="B16" s="388" t="s">
        <v>90</v>
      </c>
      <c r="C16" s="394" t="s">
        <v>89</v>
      </c>
      <c r="D16" s="232"/>
      <c r="E16" s="222"/>
      <c r="F16" s="223" t="str">
        <f>IF(D16="","","$/L")</f>
        <v/>
      </c>
      <c r="G16" s="228" t="str">
        <f>IFERROR(INDEX('INFO-Direc'!$G$9:$G$25,
       MATCH(D16, 'INFO-Direc'!$D$9:$D$25, 0)),"")</f>
        <v/>
      </c>
      <c r="H16" s="384"/>
      <c r="I16" s="384"/>
      <c r="J16" s="384"/>
      <c r="K16" s="384"/>
      <c r="L16" s="397" t="str">
        <f>IF(AND(D16="", D18=""), "",
    IFERROR(
        IFERROR(G16*G17,0)
        + IFERROR(G18*G19,0)
        + IFERROR(G20,0),
    "")
)</f>
        <v/>
      </c>
    </row>
    <row r="17" spans="2:12" ht="30" customHeight="1">
      <c r="B17" s="392"/>
      <c r="C17" s="395"/>
      <c r="D17" s="221" t="str">
        <f>IF(D16="", "Seleccionar Lubricante ↑", "Consumo de " &amp; D16)</f>
        <v>Seleccionar Lubricante ↑</v>
      </c>
      <c r="E17" s="222"/>
      <c r="F17" s="223" t="str">
        <f>IF(ISERROR(FIND("Seleccionar", D17)), "L/h", "")</f>
        <v/>
      </c>
      <c r="G17" s="234"/>
      <c r="H17" s="384"/>
      <c r="I17" s="384"/>
      <c r="J17" s="384"/>
      <c r="K17" s="384"/>
      <c r="L17" s="399"/>
    </row>
    <row r="18" spans="2:12" ht="30" customHeight="1">
      <c r="B18" s="392"/>
      <c r="C18" s="395"/>
      <c r="D18" s="232"/>
      <c r="E18" s="222"/>
      <c r="F18" s="223" t="str">
        <f>IF(D18="","","$/L")</f>
        <v/>
      </c>
      <c r="G18" s="228" t="str">
        <f>IFERROR(INDEX('INFO-Direc'!$G$9:$G$25,
       MATCH(D18, 'INFO-Direc'!$D$9:$D$25, 0)),"")</f>
        <v/>
      </c>
      <c r="H18" s="385"/>
      <c r="I18" s="386"/>
      <c r="J18" s="386"/>
      <c r="K18" s="387"/>
      <c r="L18" s="399"/>
    </row>
    <row r="19" spans="2:12" ht="30" customHeight="1">
      <c r="B19" s="392"/>
      <c r="C19" s="395"/>
      <c r="D19" s="221" t="str">
        <f>IF(D18="", "Seleccionar Lubricante ↑", "Consumo de " &amp; D18)</f>
        <v>Seleccionar Lubricante ↑</v>
      </c>
      <c r="E19" s="222"/>
      <c r="F19" s="223" t="str">
        <f>IF(ISERROR(FIND("Seleccionar", D19)), "L/h", "")</f>
        <v/>
      </c>
      <c r="G19" s="234"/>
      <c r="H19" s="385"/>
      <c r="I19" s="386"/>
      <c r="J19" s="386"/>
      <c r="K19" s="387"/>
      <c r="L19" s="399"/>
    </row>
    <row r="20" spans="2:12" ht="30" customHeight="1">
      <c r="B20" s="389"/>
      <c r="C20" s="396"/>
      <c r="D20" s="221" t="s">
        <v>85</v>
      </c>
      <c r="E20" s="222"/>
      <c r="F20" s="223" t="str">
        <f>IF(OR(D16&lt;&gt;"", D18&lt;&gt;""), "$/h", "")</f>
        <v/>
      </c>
      <c r="G20" s="233"/>
      <c r="H20" s="384"/>
      <c r="I20" s="384"/>
      <c r="J20" s="384"/>
      <c r="K20" s="384"/>
      <c r="L20" s="398"/>
    </row>
    <row r="21" spans="2:12" ht="30" customHeight="1">
      <c r="B21" s="388" t="s">
        <v>92</v>
      </c>
      <c r="C21" s="390" t="s">
        <v>89</v>
      </c>
      <c r="D21" s="232"/>
      <c r="E21" s="222"/>
      <c r="F21" s="223" t="str">
        <f>IF(D21="","","kW")</f>
        <v/>
      </c>
      <c r="G21" s="228" t="str">
        <f>IFERROR(INDEX('INFO-Direc'!$G$9:$G$25,
       MATCH(D21, 'INFO-Direc'!$D$9:$D$25, 0)),"")</f>
        <v/>
      </c>
      <c r="H21" s="385"/>
      <c r="I21" s="386"/>
      <c r="J21" s="386"/>
      <c r="K21" s="387"/>
      <c r="L21" s="397" t="str">
        <f>IFERROR(G21*G13*G22+G23+G24,"")</f>
        <v/>
      </c>
    </row>
    <row r="22" spans="2:12" ht="30" customHeight="1">
      <c r="B22" s="392"/>
      <c r="C22" s="393"/>
      <c r="D22" s="221" t="str">
        <f>IF(D21="", "Seleccionar Compresor ↑", "Carga Promedio de Uso de " &amp; D21)</f>
        <v>Seleccionar Compresor ↑</v>
      </c>
      <c r="E22" s="222"/>
      <c r="F22" s="223" t="str">
        <f>IF(ISERROR(FIND("Seleccionar", D22)), "%", "")</f>
        <v/>
      </c>
      <c r="G22" s="289" t="str">
        <f>IF(D21="","",IFERROR(
    INDEX('[4]INFO-Consumo'!I:I,
           MATCH(D21, '[4]INFO-Consumo'!D:D, 0)
    ),
""))</f>
        <v/>
      </c>
      <c r="H22" s="384"/>
      <c r="I22" s="384"/>
      <c r="J22" s="384"/>
      <c r="K22" s="384"/>
      <c r="L22" s="399"/>
    </row>
    <row r="23" spans="2:12" ht="30" customHeight="1">
      <c r="B23" s="392"/>
      <c r="C23" s="393"/>
      <c r="D23" s="235" t="str">
        <f>IF(D21="", "Seleccionar Compresor ↑", "Costo de Repuestos " &amp; D21)</f>
        <v>Seleccionar Compresor ↑</v>
      </c>
      <c r="E23" s="222"/>
      <c r="F23" s="223" t="str">
        <f>IF(ISERROR(FIND("Seleccionar", D23)), "$/h", "")</f>
        <v/>
      </c>
      <c r="G23" s="236" t="str">
        <f>IF(D21="","", SUM(IF(ISNUMBER(FIND("Compresor", 'INFO-Mant'!D9:D26)), 'INFO-Mant'!G9:G26 / 'INFO-Mant'!H9:H26, 0)))</f>
        <v/>
      </c>
      <c r="H23" s="385"/>
      <c r="I23" s="386"/>
      <c r="J23" s="386"/>
      <c r="K23" s="387"/>
      <c r="L23" s="399"/>
    </row>
    <row r="24" spans="2:12" ht="30" customHeight="1">
      <c r="B24" s="389"/>
      <c r="C24" s="391"/>
      <c r="D24" s="221" t="s">
        <v>85</v>
      </c>
      <c r="E24" s="222"/>
      <c r="F24" s="223" t="str">
        <f>IF(D21="","","$/h")</f>
        <v/>
      </c>
      <c r="G24" s="233"/>
      <c r="H24" s="384"/>
      <c r="I24" s="384"/>
      <c r="J24" s="384"/>
      <c r="K24" s="384"/>
      <c r="L24" s="398"/>
    </row>
    <row r="25" spans="2:12" ht="30" customHeight="1">
      <c r="B25" s="388" t="s">
        <v>94</v>
      </c>
      <c r="C25" s="390" t="s">
        <v>89</v>
      </c>
      <c r="D25" s="232"/>
      <c r="E25" s="222"/>
      <c r="F25" s="223" t="str">
        <f>IF(D25="","","$/L")</f>
        <v/>
      </c>
      <c r="G25" s="228" t="str">
        <f>IFERROR(INDEX('INFO-Direc'!$G$9:$G$25,
       MATCH(D25, 'INFO-Direc'!$D$9:$D$25, 0)),"")</f>
        <v/>
      </c>
      <c r="H25" s="384"/>
      <c r="I25" s="384"/>
      <c r="J25" s="384"/>
      <c r="K25" s="384"/>
      <c r="L25" s="381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92"/>
      <c r="C26" s="393"/>
      <c r="D26" s="221" t="str">
        <f>IF(D25="", "Seleccionar Refrigerante ↑", "Consumo de " &amp; D25)</f>
        <v>Seleccionar Refrigerante ↑</v>
      </c>
      <c r="E26" s="222"/>
      <c r="F26" s="223" t="str">
        <f>IF(ISERROR(FIND("Seleccionar", D26)), "L/Año", "")</f>
        <v/>
      </c>
      <c r="G26" s="238"/>
      <c r="H26" s="384"/>
      <c r="I26" s="384"/>
      <c r="J26" s="384"/>
      <c r="K26" s="384"/>
      <c r="L26" s="382"/>
    </row>
    <row r="27" spans="2:12" ht="30" customHeight="1">
      <c r="B27" s="392"/>
      <c r="C27" s="393"/>
      <c r="D27" s="232"/>
      <c r="E27" s="222"/>
      <c r="F27" s="223" t="str">
        <f>IF(D27="","","$/L")</f>
        <v/>
      </c>
      <c r="G27" s="228" t="str">
        <f>IFERROR(INDEX('INFO-Direc'!$G$9:$G$25,
       MATCH(D27, 'INFO-Direc'!$D$9:$D$25, 0)),"")</f>
        <v/>
      </c>
      <c r="H27" s="385"/>
      <c r="I27" s="386"/>
      <c r="J27" s="386"/>
      <c r="K27" s="387"/>
      <c r="L27" s="382"/>
    </row>
    <row r="28" spans="2:12" ht="30" customHeight="1">
      <c r="B28" s="392"/>
      <c r="C28" s="393"/>
      <c r="D28" s="221" t="str">
        <f>IF(D27="", "Seleccionar Refrigerante ↑", "Consumo de " &amp; D27)</f>
        <v>Seleccionar Refrigerante ↑</v>
      </c>
      <c r="E28" s="222"/>
      <c r="F28" s="223" t="str">
        <f>IF(ISERROR(FIND("Seleccionar", D28)), "L/Año", "")</f>
        <v/>
      </c>
      <c r="G28" s="239"/>
      <c r="H28" s="385"/>
      <c r="I28" s="386"/>
      <c r="J28" s="386"/>
      <c r="K28" s="387"/>
      <c r="L28" s="382"/>
    </row>
    <row r="29" spans="2:12" ht="30" customHeight="1">
      <c r="B29" s="389"/>
      <c r="C29" s="391"/>
      <c r="D29" s="221" t="s">
        <v>85</v>
      </c>
      <c r="E29" s="222"/>
      <c r="F29" s="223" t="str">
        <f>IF(OR(D25&lt;&gt;"", D27&lt;&gt;""), "$/h", "")</f>
        <v/>
      </c>
      <c r="G29" s="233"/>
      <c r="H29" s="384"/>
      <c r="I29" s="384"/>
      <c r="J29" s="384"/>
      <c r="K29" s="384"/>
      <c r="L29" s="383"/>
    </row>
    <row r="30" spans="2:12" s="152" customFormat="1" ht="30" customHeight="1">
      <c r="B30" s="388" t="s">
        <v>168</v>
      </c>
      <c r="C30" s="394" t="s">
        <v>89</v>
      </c>
      <c r="D30" s="232"/>
      <c r="E30" s="222"/>
      <c r="F30" s="223" t="str">
        <f>IF(D30="","","$/L")</f>
        <v/>
      </c>
      <c r="G30" s="228" t="str">
        <f>IFERROR(INDEX('INFO-Direc'!$G$9:$G$25,
       MATCH(D30, 'INFO-Direc'!$D$9:$D$25, 0)),"")</f>
        <v/>
      </c>
      <c r="H30" s="384"/>
      <c r="I30" s="384"/>
      <c r="J30" s="384"/>
      <c r="K30" s="384"/>
      <c r="L30" s="381" t="str">
        <f>IF(
    AND(D30="", D32=""),
    "",
    IFERROR(
        IFERROR(G30 / (INDEX('INFO-OEE'!$E$18:$CA$18,
                               MATCH(#REF!, 'INFO-OEE'!$E$9:$CA$9, 0)) * 12), 0)
        * G31
        +
        IFERROR(G32 / (INDEX('INFO-OEE'!$E$18:$CA$18,
                               MATCH(#REF!, 'INFO-OEE'!$E$9:$CA$9, 0)) * 12), 0)
        * G33
        +
        IFERROR(G34, 0),
    "")
)</f>
        <v/>
      </c>
    </row>
    <row r="31" spans="2:12" s="152" customFormat="1" ht="30" customHeight="1">
      <c r="B31" s="392"/>
      <c r="C31" s="395"/>
      <c r="D31" s="221" t="str">
        <f>IF(D30="", "Seleccionar Solvente ↑", "Consumo de " &amp; D30)</f>
        <v>Seleccionar Solvente ↑</v>
      </c>
      <c r="E31" s="222"/>
      <c r="F31" s="223" t="str">
        <f>IF(ISERROR(FIND("Seleccionar", D31)), "L/Año", "")</f>
        <v/>
      </c>
      <c r="G31" s="234"/>
      <c r="H31" s="384"/>
      <c r="I31" s="384"/>
      <c r="J31" s="384"/>
      <c r="K31" s="384"/>
      <c r="L31" s="382"/>
    </row>
    <row r="32" spans="2:12" s="152" customFormat="1" ht="30" customHeight="1">
      <c r="B32" s="392"/>
      <c r="C32" s="395"/>
      <c r="D32" s="232"/>
      <c r="E32" s="222"/>
      <c r="F32" s="223" t="str">
        <f>IF(D32="","","$/L")</f>
        <v/>
      </c>
      <c r="G32" s="228" t="str">
        <f>IFERROR(INDEX('INFO-Direc'!$G$9:$G$25,
       MATCH(D32, 'INFO-Direc'!$D$9:$D$25, 0)),"")</f>
        <v/>
      </c>
      <c r="H32" s="385"/>
      <c r="I32" s="386"/>
      <c r="J32" s="386"/>
      <c r="K32" s="387"/>
      <c r="L32" s="382"/>
    </row>
    <row r="33" spans="2:12" s="152" customFormat="1" ht="30" customHeight="1">
      <c r="B33" s="392"/>
      <c r="C33" s="395"/>
      <c r="D33" s="221" t="str">
        <f>IF(D32="", "Seleccionar Solvente ↑", "Consumo de " &amp; D32)</f>
        <v>Seleccionar Solvente ↑</v>
      </c>
      <c r="E33" s="222"/>
      <c r="F33" s="223" t="str">
        <f>IF(ISERROR(FIND("Seleccionar", D33)), "L/Año", "")</f>
        <v/>
      </c>
      <c r="G33" s="234"/>
      <c r="H33" s="385"/>
      <c r="I33" s="386"/>
      <c r="J33" s="386"/>
      <c r="K33" s="387"/>
      <c r="L33" s="382"/>
    </row>
    <row r="34" spans="2:12" s="152" customFormat="1" ht="30" customHeight="1">
      <c r="B34" s="389"/>
      <c r="C34" s="396"/>
      <c r="D34" s="221" t="s">
        <v>85</v>
      </c>
      <c r="E34" s="222"/>
      <c r="F34" s="223" t="str">
        <f>IF(OR(D30&lt;&gt;"", D32&lt;&gt;""), "$/h", "")</f>
        <v/>
      </c>
      <c r="G34" s="233"/>
      <c r="H34" s="384"/>
      <c r="I34" s="384"/>
      <c r="J34" s="384"/>
      <c r="K34" s="384"/>
      <c r="L34" s="383"/>
    </row>
    <row r="35" spans="2:12" ht="30" customHeight="1">
      <c r="B35" s="388" t="s">
        <v>100</v>
      </c>
      <c r="C35" s="390" t="s">
        <v>89</v>
      </c>
      <c r="D35" s="221" t="str">
        <f>IF(D12="", "Seleccionar Area ↑", "Costo de Operarios")</f>
        <v>Costo de Operarios</v>
      </c>
      <c r="E35" s="222"/>
      <c r="F35" s="223" t="str">
        <f>IF(D12="","","$/mes")</f>
        <v>$/mes</v>
      </c>
      <c r="G35" s="237">
        <f>IF(D12="","",IFERROR(
    INDEX('INFO-Personal'!$E$26:$CA$26,
           MATCH($C$3, 'INFO-Personal'!$E$9:$CA$9, 0)
    ),
""))</f>
        <v>710.55480696864117</v>
      </c>
      <c r="H35" s="384"/>
      <c r="I35" s="384"/>
      <c r="J35" s="384"/>
      <c r="K35" s="384"/>
      <c r="L35" s="397">
        <f>IFERROR(
    (G35 / INDEX('INFO-OEE'!$E$18:$CA$18,
                  MATCH($C$3, 'INFO-OEE'!$E$9:$CA$9, 0)))
    + G36,
"")</f>
        <v>5.046554026765917</v>
      </c>
    </row>
    <row r="36" spans="2:12" ht="30" customHeight="1">
      <c r="B36" s="389"/>
      <c r="C36" s="391"/>
      <c r="D36" s="221" t="s">
        <v>85</v>
      </c>
      <c r="E36" s="222"/>
      <c r="F36" s="223" t="str">
        <f>IF(D12="","","$/h")</f>
        <v>$/h</v>
      </c>
      <c r="G36" s="240"/>
      <c r="H36" s="384"/>
      <c r="I36" s="384"/>
      <c r="J36" s="384"/>
      <c r="K36" s="384"/>
      <c r="L36" s="398"/>
    </row>
    <row r="37" spans="2:12" ht="30" customHeight="1">
      <c r="B37" s="241"/>
      <c r="C37" s="242"/>
      <c r="D37" s="243"/>
      <c r="E37" s="242"/>
      <c r="F37" s="244"/>
      <c r="G37" s="245"/>
      <c r="H37" s="409"/>
      <c r="I37" s="409"/>
      <c r="J37" s="409"/>
      <c r="K37" s="409"/>
      <c r="L37" s="246"/>
    </row>
    <row r="38" spans="2:12" ht="30" customHeight="1">
      <c r="B38" s="388" t="s">
        <v>16</v>
      </c>
      <c r="C38" s="390" t="s">
        <v>69</v>
      </c>
      <c r="D38" s="221" t="str">
        <f>IF(D12="", "Seleccionar Area ↑", "Costo de Supervisores")</f>
        <v>Costo de Supervisores</v>
      </c>
      <c r="E38" s="222"/>
      <c r="F38" s="247" t="str">
        <f>IF(D12="","","$/mes")</f>
        <v>$/mes</v>
      </c>
      <c r="G38" s="237">
        <f>IF(D12="","",IFERROR(
    INDEX('INFO-Personal'!$E$27:$CA$27,
           MATCH($C$3, 'INFO-Personal'!$E$9:$CA$9, 0)
    ),
""))</f>
        <v>0</v>
      </c>
      <c r="H38" s="385"/>
      <c r="I38" s="386"/>
      <c r="J38" s="386"/>
      <c r="K38" s="387"/>
      <c r="L38" s="397">
        <f>IFERROR(
    (G38 / INDEX('INFO-OEE'!$E$18:$CA$18,
                  MATCH($C$3, 'INFO-OEE'!$E$9:$CA$9, 0)))
    + G39,
"")</f>
        <v>0</v>
      </c>
    </row>
    <row r="39" spans="2:12" ht="30" customHeight="1">
      <c r="B39" s="392"/>
      <c r="C39" s="393"/>
      <c r="D39" s="221" t="s">
        <v>85</v>
      </c>
      <c r="E39" s="222"/>
      <c r="F39" s="223" t="str">
        <f>IF(D12="","","$/h")</f>
        <v>$/h</v>
      </c>
      <c r="G39" s="240"/>
      <c r="H39" s="385"/>
      <c r="I39" s="386"/>
      <c r="J39" s="386"/>
      <c r="K39" s="387"/>
      <c r="L39" s="399"/>
    </row>
    <row r="40" spans="2:12" ht="30" customHeight="1">
      <c r="B40" s="388" t="s">
        <v>101</v>
      </c>
      <c r="C40" s="390" t="s">
        <v>69</v>
      </c>
      <c r="D40" s="221" t="str">
        <f>IF(D12="", "Seleccionar Area ↑", "Costo de Mant. Preventivo")</f>
        <v>Costo de Mant. Preventivo</v>
      </c>
      <c r="E40" s="222"/>
      <c r="F40" s="247" t="str">
        <f>IF(D12="","","$/mes")</f>
        <v>$/mes</v>
      </c>
      <c r="G40" s="237">
        <f>IF(D12="","",IFERROR(
    INDEX('INFO-Personal'!$E$28:$CA$28,
           MATCH($C$3, 'INFO-Personal'!$E$9:$CA$9, 0)
    ),
""))</f>
        <v>0</v>
      </c>
      <c r="H40" s="385"/>
      <c r="I40" s="386"/>
      <c r="J40" s="386"/>
      <c r="K40" s="387"/>
      <c r="L40" s="397">
        <f>IF(D12="","",SUM(
    IFERROR((G40+G41) / INDEX('INFO-OEE'!$E$18:$CA$18, MATCH(C3, 'INFO-OEE'!$E$9:$CA$9, 0)), 0),
    IFERROR(G42 / G43, 0),
    IFERROR(G44 / G45, 0),
    IFERROR(G46 / G47, 0),
    IFERROR(G48, 0)
))</f>
        <v>0.25023513374001316</v>
      </c>
    </row>
    <row r="41" spans="2:12" ht="30" customHeight="1">
      <c r="B41" s="392"/>
      <c r="C41" s="393"/>
      <c r="D41" s="221" t="str">
        <f>IF(D12="", "Seleccionar Area ↑", "Costo de Mant. Correctivo")</f>
        <v>Costo de Mant. Correctivo</v>
      </c>
      <c r="E41" s="222"/>
      <c r="F41" s="247" t="str">
        <f>IF(D12="","","$/mes")</f>
        <v>$/mes</v>
      </c>
      <c r="G41" s="237">
        <f>IF(D12="","",IFERROR(
    INDEX('INFO-Personal'!$E$29:$CA$29,
           MATCH($C$3, 'INFO-Personal'!$E$9:$CA$9, 0)
    ),
""))</f>
        <v>35.233106830593854</v>
      </c>
      <c r="H41" s="385"/>
      <c r="I41" s="386"/>
      <c r="J41" s="386"/>
      <c r="K41" s="387"/>
      <c r="L41" s="399"/>
    </row>
    <row r="42" spans="2:12" ht="30" customHeight="1">
      <c r="B42" s="392"/>
      <c r="C42" s="393"/>
      <c r="D42" s="232"/>
      <c r="E42" s="222"/>
      <c r="F42" s="223" t="str">
        <f>IF(D42="","","$/u")</f>
        <v/>
      </c>
      <c r="G42" s="237" t="str">
        <f>IFERROR(INDEX('INFO-Mant'!$G$9:$G$26,
       MATCH(D42, 'INFO-Mant'!$D$9:$D$26, 0)),"")</f>
        <v/>
      </c>
      <c r="H42" s="385"/>
      <c r="I42" s="386"/>
      <c r="J42" s="386"/>
      <c r="K42" s="387"/>
      <c r="L42" s="399"/>
    </row>
    <row r="43" spans="2:12" ht="30" customHeight="1">
      <c r="B43" s="392"/>
      <c r="C43" s="393"/>
      <c r="D43" s="221" t="str">
        <f>IF(D42="", "Seleccionar Repuesto ↑", "Vida Util de " &amp; D42)</f>
        <v>Seleccionar Repuesto ↑</v>
      </c>
      <c r="E43" s="222"/>
      <c r="F43" s="223" t="str">
        <f>IF(ISERROR(FIND("Seleccionar", D43)), "Horas/u", "")</f>
        <v/>
      </c>
      <c r="G43" s="238"/>
      <c r="H43" s="385"/>
      <c r="I43" s="386"/>
      <c r="J43" s="386"/>
      <c r="K43" s="387"/>
      <c r="L43" s="399"/>
    </row>
    <row r="44" spans="2:12" ht="30" customHeight="1">
      <c r="B44" s="392"/>
      <c r="C44" s="393"/>
      <c r="D44" s="232"/>
      <c r="E44" s="222"/>
      <c r="F44" s="223" t="str">
        <f>IF(D44="","","$/u")</f>
        <v/>
      </c>
      <c r="G44" s="237" t="str">
        <f>IFERROR(INDEX('INFO-Mant'!$G$9:$G$26,
       MATCH(D44, 'INFO-Mant'!$D$9:$D$26, 0)),"")</f>
        <v/>
      </c>
      <c r="H44" s="385"/>
      <c r="I44" s="386"/>
      <c r="J44" s="386"/>
      <c r="K44" s="387"/>
      <c r="L44" s="399"/>
    </row>
    <row r="45" spans="2:12" ht="30" customHeight="1">
      <c r="B45" s="392"/>
      <c r="C45" s="393"/>
      <c r="D45" s="221" t="str">
        <f>IF(D44="", "Seleccionar Repuesto ↑", "Vida Util de " &amp; D44)</f>
        <v>Seleccionar Repuesto ↑</v>
      </c>
      <c r="E45" s="222"/>
      <c r="F45" s="223" t="str">
        <f>IF(ISERROR(FIND("Seleccionar", D45)), "Horas/u", "")</f>
        <v/>
      </c>
      <c r="G45" s="238"/>
      <c r="H45" s="385"/>
      <c r="I45" s="386"/>
      <c r="J45" s="386"/>
      <c r="K45" s="387"/>
      <c r="L45" s="399"/>
    </row>
    <row r="46" spans="2:12" ht="30" customHeight="1">
      <c r="B46" s="392"/>
      <c r="C46" s="393"/>
      <c r="D46" s="232"/>
      <c r="E46" s="222"/>
      <c r="F46" s="223" t="str">
        <f>IF(D46="","","$/u")</f>
        <v/>
      </c>
      <c r="G46" s="237" t="str">
        <f>IFERROR(INDEX('INFO-Mant'!$G$9:$G$26,
       MATCH(D46, 'INFO-Mant'!$D$9:$D$26, 0)),"")</f>
        <v/>
      </c>
      <c r="H46" s="385"/>
      <c r="I46" s="386"/>
      <c r="J46" s="386"/>
      <c r="K46" s="387"/>
      <c r="L46" s="399"/>
    </row>
    <row r="47" spans="2:12" ht="30" customHeight="1">
      <c r="B47" s="392"/>
      <c r="C47" s="393"/>
      <c r="D47" s="221" t="str">
        <f>IF(D46="", "Seleccionar Repuesto ↑", "Vida Util de " &amp; D46)</f>
        <v>Seleccionar Repuesto ↑</v>
      </c>
      <c r="E47" s="222"/>
      <c r="F47" s="223" t="str">
        <f>IF(ISERROR(FIND("Seleccionar", D47)), "Horas/u", "")</f>
        <v/>
      </c>
      <c r="G47" s="240"/>
      <c r="H47" s="385"/>
      <c r="I47" s="386"/>
      <c r="J47" s="386"/>
      <c r="K47" s="387"/>
      <c r="L47" s="399"/>
    </row>
    <row r="48" spans="2:12" ht="30" customHeight="1">
      <c r="B48" s="389"/>
      <c r="C48" s="391"/>
      <c r="D48" s="221" t="s">
        <v>85</v>
      </c>
      <c r="E48" s="222"/>
      <c r="F48" s="223" t="str">
        <f>IF(D12="","","$/h")</f>
        <v>$/h</v>
      </c>
      <c r="G48" s="240"/>
      <c r="H48" s="385"/>
      <c r="I48" s="386"/>
      <c r="J48" s="386"/>
      <c r="K48" s="387"/>
      <c r="L48" s="398"/>
    </row>
    <row r="49" spans="2:12" ht="30" customHeight="1">
      <c r="B49" s="248"/>
      <c r="C49" s="249"/>
      <c r="D49" s="250"/>
      <c r="E49" s="249"/>
      <c r="F49" s="251"/>
      <c r="G49" s="252"/>
      <c r="H49" s="249"/>
      <c r="I49" s="249"/>
      <c r="J49" s="249"/>
      <c r="K49" s="249"/>
      <c r="L49" s="253"/>
    </row>
    <row r="50" spans="2:12" ht="30" customHeight="1">
      <c r="B50" s="388" t="s">
        <v>102</v>
      </c>
      <c r="C50" s="394" t="s">
        <v>103</v>
      </c>
      <c r="D50" s="232"/>
      <c r="E50" s="222"/>
      <c r="F50" s="223" t="str">
        <f>IF(D50="","","$/h")</f>
        <v/>
      </c>
      <c r="G50" s="23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410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410"/>
      <c r="J50" s="410"/>
      <c r="K50" s="410"/>
      <c r="L50" s="255" t="str">
        <f ca="1">G50</f>
        <v/>
      </c>
    </row>
    <row r="51" spans="2:12" ht="30" customHeight="1">
      <c r="B51" s="392"/>
      <c r="C51" s="395"/>
      <c r="D51" s="232"/>
      <c r="E51" s="254"/>
      <c r="F51" s="223" t="str">
        <f>IF(D51="","","$/h")</f>
        <v/>
      </c>
      <c r="G51" s="23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410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410"/>
      <c r="J51" s="410"/>
      <c r="K51" s="410"/>
      <c r="L51" s="255" t="str">
        <f ca="1">G51</f>
        <v/>
      </c>
    </row>
    <row r="52" spans="2:12" ht="30" customHeight="1">
      <c r="B52" s="392"/>
      <c r="C52" s="395"/>
      <c r="D52" s="232"/>
      <c r="E52" s="222"/>
      <c r="F52" s="223" t="str">
        <f t="shared" ref="F52:F54" si="0">IF(D52="","","$/h")</f>
        <v/>
      </c>
      <c r="G52" s="23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410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410"/>
      <c r="J52" s="410"/>
      <c r="K52" s="410"/>
      <c r="L52" s="255" t="str">
        <f ca="1">G52</f>
        <v/>
      </c>
    </row>
    <row r="53" spans="2:12" ht="30" customHeight="1">
      <c r="B53" s="392"/>
      <c r="C53" s="395"/>
      <c r="D53" s="232"/>
      <c r="E53" s="222"/>
      <c r="F53" s="223" t="str">
        <f t="shared" si="0"/>
        <v/>
      </c>
      <c r="G53" s="23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410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410"/>
      <c r="J53" s="410"/>
      <c r="K53" s="410"/>
      <c r="L53" s="255" t="str">
        <f ca="1">G53</f>
        <v/>
      </c>
    </row>
    <row r="54" spans="2:12" ht="30" customHeight="1">
      <c r="B54" s="389"/>
      <c r="C54" s="396"/>
      <c r="D54" s="232"/>
      <c r="E54" s="222"/>
      <c r="F54" s="223" t="str">
        <f t="shared" si="0"/>
        <v/>
      </c>
      <c r="G54" s="23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410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410"/>
      <c r="J54" s="410"/>
      <c r="K54" s="410"/>
      <c r="L54" s="255" t="str">
        <f ca="1">G54</f>
        <v/>
      </c>
    </row>
    <row r="55" spans="2:12" ht="30" customHeight="1">
      <c r="B55" s="146"/>
      <c r="C55" s="147"/>
      <c r="D55" s="411"/>
      <c r="E55" s="411"/>
      <c r="F55" s="30"/>
      <c r="G55" s="30"/>
      <c r="H55" s="149"/>
      <c r="I55" s="149"/>
      <c r="J55" s="149"/>
      <c r="K55" s="30"/>
      <c r="L55" s="145"/>
    </row>
    <row r="56" spans="2:12" ht="30" customHeight="1" thickBot="1">
      <c r="B56" s="153" t="s">
        <v>39</v>
      </c>
      <c r="C56" s="330"/>
      <c r="D56" s="330"/>
      <c r="E56" s="154" t="s">
        <v>23</v>
      </c>
      <c r="F56" s="368"/>
      <c r="G56" s="368"/>
      <c r="H56" s="141"/>
      <c r="I56" s="141"/>
      <c r="J56" s="141"/>
      <c r="K56" s="256"/>
      <c r="L56" s="257"/>
    </row>
    <row r="57" spans="2:12" ht="30" customHeight="1" thickBot="1">
      <c r="B57" s="155"/>
      <c r="C57" s="156"/>
      <c r="D57" s="156"/>
      <c r="E57" s="156"/>
      <c r="F57" s="378"/>
      <c r="G57" s="378"/>
      <c r="H57" s="157"/>
      <c r="I57" s="157"/>
      <c r="J57" s="157"/>
      <c r="K57" s="258" t="s">
        <v>106</v>
      </c>
      <c r="L57" s="259">
        <f ca="1">IFERROR(SUM(L19:L54),"")</f>
        <v>5.2967891605059298</v>
      </c>
    </row>
    <row r="59" spans="2:12" ht="30" customHeight="1">
      <c r="C59" s="117"/>
    </row>
  </sheetData>
  <sheetProtection algorithmName="SHA-512" hashValue="5x6019zwNMZiMdIALl9/CeHD2zygi9riwRAD9qc2S0X0Kfr9+2XXJGkPE1QOkOBDNtNpYUBz7TVA7lyaQnWjnQ==" saltValue="jk7QJBGuS5rFUPn5PgHP2g==" spinCount="100000" sheet="1" objects="1" scenarios="1" selectLockedCells="1"/>
  <mergeCells count="80">
    <mergeCell ref="F57:G57"/>
    <mergeCell ref="B50:B54"/>
    <mergeCell ref="C50:C54"/>
    <mergeCell ref="H53:K53"/>
    <mergeCell ref="H54:K54"/>
    <mergeCell ref="D55:E55"/>
    <mergeCell ref="C56:D56"/>
    <mergeCell ref="F56:G56"/>
    <mergeCell ref="B38:B39"/>
    <mergeCell ref="C38:C39"/>
    <mergeCell ref="H50:K50"/>
    <mergeCell ref="H51:K51"/>
    <mergeCell ref="H52:K52"/>
    <mergeCell ref="B40:B48"/>
    <mergeCell ref="C40:C48"/>
    <mergeCell ref="H39:K39"/>
    <mergeCell ref="H40:K40"/>
    <mergeCell ref="H41:K41"/>
    <mergeCell ref="H42:K42"/>
    <mergeCell ref="H37:K37"/>
    <mergeCell ref="H38:K38"/>
    <mergeCell ref="L40:L48"/>
    <mergeCell ref="H44:K44"/>
    <mergeCell ref="H45:K45"/>
    <mergeCell ref="H46:K46"/>
    <mergeCell ref="H47:K47"/>
    <mergeCell ref="H48:K48"/>
    <mergeCell ref="H43:K43"/>
    <mergeCell ref="L38:L39"/>
    <mergeCell ref="C3:D3"/>
    <mergeCell ref="F3:G3"/>
    <mergeCell ref="C6:D6"/>
    <mergeCell ref="F6:G6"/>
    <mergeCell ref="C7:D7"/>
    <mergeCell ref="F7:G7"/>
    <mergeCell ref="H9:K9"/>
    <mergeCell ref="H10:K10"/>
    <mergeCell ref="H11:K11"/>
    <mergeCell ref="B10:B15"/>
    <mergeCell ref="C10:C15"/>
    <mergeCell ref="L10:L15"/>
    <mergeCell ref="H13:K13"/>
    <mergeCell ref="H15:K15"/>
    <mergeCell ref="H16:K16"/>
    <mergeCell ref="H17:K17"/>
    <mergeCell ref="H14:K14"/>
    <mergeCell ref="B16:B20"/>
    <mergeCell ref="C16:C20"/>
    <mergeCell ref="B21:B24"/>
    <mergeCell ref="C21:C24"/>
    <mergeCell ref="L16:L20"/>
    <mergeCell ref="H20:K20"/>
    <mergeCell ref="H18:K18"/>
    <mergeCell ref="H19:K19"/>
    <mergeCell ref="L21:L24"/>
    <mergeCell ref="H23:K23"/>
    <mergeCell ref="H24:K24"/>
    <mergeCell ref="H21:K21"/>
    <mergeCell ref="H22:K22"/>
    <mergeCell ref="H35:K35"/>
    <mergeCell ref="H36:K36"/>
    <mergeCell ref="L30:L34"/>
    <mergeCell ref="H34:K34"/>
    <mergeCell ref="L35:L36"/>
    <mergeCell ref="H33:K33"/>
    <mergeCell ref="H30:K30"/>
    <mergeCell ref="H31:K31"/>
    <mergeCell ref="H32:K32"/>
    <mergeCell ref="B35:B36"/>
    <mergeCell ref="C35:C36"/>
    <mergeCell ref="B25:B29"/>
    <mergeCell ref="C25:C29"/>
    <mergeCell ref="B30:B34"/>
    <mergeCell ref="C30:C34"/>
    <mergeCell ref="L25:L29"/>
    <mergeCell ref="H29:K29"/>
    <mergeCell ref="H28:K28"/>
    <mergeCell ref="H25:K25"/>
    <mergeCell ref="H26:K26"/>
    <mergeCell ref="H27:K27"/>
  </mergeCells>
  <dataValidations count="9">
    <dataValidation allowBlank="1" showInputMessage="1" showErrorMessage="1" prompt="Escriba comentarios en las celdas de la derecha." sqref="C59"/>
    <dataValidation type="list" allowBlank="1" showInputMessage="1" showErrorMessage="1" sqref="D51:D54">
      <formula1>Herramientas_Ensamble</formula1>
    </dataValidation>
    <dataValidation type="list" allowBlank="1" showInputMessage="1" showErrorMessage="1" sqref="D12">
      <formula1>Areas_Ensamble</formula1>
    </dataValidation>
    <dataValidation type="list" allowBlank="1" showInputMessage="1" showErrorMessage="1" sqref="D16 D18">
      <formula1>Lubricantes_Ensamble</formula1>
    </dataValidation>
    <dataValidation type="list" allowBlank="1" showInputMessage="1" showErrorMessage="1" sqref="D21">
      <formula1>AireComprimido_Ensamble</formula1>
    </dataValidation>
    <dataValidation type="list" allowBlank="1" showInputMessage="1" showErrorMessage="1" sqref="D25 D27">
      <formula1>Refrigerantes_Ensamble</formula1>
    </dataValidation>
    <dataValidation type="list" allowBlank="1" showInputMessage="1" showErrorMessage="1" sqref="D30 D32">
      <formula1>Solvente_Ensamble</formula1>
    </dataValidation>
    <dataValidation type="list" allowBlank="1" showInputMessage="1" showErrorMessage="1" sqref="D42 D44 D46">
      <formula1>Repuestos_Ensamble</formula1>
    </dataValidation>
    <dataValidation type="list" allowBlank="1" showInputMessage="1" showErrorMessage="1" sqref="D10 D50">
      <formula1>Maquinaria_Ensamble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54</xdr:row>
                    <xdr:rowOff>333375</xdr:rowOff>
                  </from>
                  <to>
                    <xdr:col>1</xdr:col>
                    <xdr:colOff>1762125</xdr:colOff>
                    <xdr:row>55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9">
    <tabColor rgb="FF0070C0"/>
    <pageSetUpPr autoPageBreaks="0" fitToPage="1"/>
  </sheetPr>
  <dimension ref="B1:M59"/>
  <sheetViews>
    <sheetView showGridLines="0" zoomScale="80" zoomScaleNormal="80" workbookViewId="0">
      <selection activeCell="D21" sqref="D21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3.140625" style="80" bestFit="1" customWidth="1"/>
    <col min="5" max="5" width="20.5703125" style="80" customWidth="1"/>
    <col min="6" max="6" width="16.5703125" style="80" bestFit="1" customWidth="1"/>
    <col min="7" max="7" width="19.7109375" style="80" bestFit="1" customWidth="1"/>
    <col min="8" max="8" width="15.28515625" style="80" customWidth="1"/>
    <col min="9" max="10" width="17" style="80" customWidth="1"/>
    <col min="11" max="11" width="28.42578125" style="80" customWidth="1"/>
    <col min="12" max="12" width="20.7109375" style="80" customWidth="1"/>
    <col min="13" max="13" width="2.7109375" style="80" customWidth="1"/>
    <col min="14" max="16384" width="9.140625" style="80"/>
  </cols>
  <sheetData>
    <row r="1" spans="2:13" ht="12" customHeight="1" thickBot="1"/>
    <row r="2" spans="2:13" ht="30" customHeight="1">
      <c r="B2" s="126" t="s">
        <v>95</v>
      </c>
      <c r="C2" s="127"/>
      <c r="D2" s="128"/>
      <c r="E2" s="128"/>
      <c r="F2" s="128"/>
      <c r="G2" s="128"/>
      <c r="H2" s="128"/>
      <c r="I2" s="128"/>
      <c r="J2" s="128"/>
      <c r="K2" s="128"/>
      <c r="L2" s="129"/>
    </row>
    <row r="3" spans="2:13" ht="30" customHeight="1">
      <c r="B3" s="130" t="s">
        <v>96</v>
      </c>
      <c r="C3" s="406" t="s">
        <v>198</v>
      </c>
      <c r="D3" s="406"/>
      <c r="E3" s="125" t="s">
        <v>3</v>
      </c>
      <c r="F3" s="356">
        <f ca="1">TODAY()</f>
        <v>46020</v>
      </c>
      <c r="G3" s="356"/>
      <c r="H3" s="125" t="s">
        <v>61</v>
      </c>
      <c r="I3" s="162">
        <f>'INFO-Direc'!H3</f>
        <v>1445</v>
      </c>
      <c r="J3" s="131"/>
      <c r="K3" s="132"/>
      <c r="L3" s="133"/>
      <c r="M3" s="134"/>
    </row>
    <row r="4" spans="2:13" ht="30" customHeight="1">
      <c r="B4" s="130" t="s">
        <v>97</v>
      </c>
      <c r="C4" s="160">
        <f>IFERROR(INDEX('INFO-OEE'!E17:CL17,
       MATCH(C3, 'INFO-OEE'!E9:CL9, 0)),"")</f>
        <v>0.8</v>
      </c>
      <c r="D4" s="135"/>
      <c r="E4" s="136"/>
      <c r="F4" s="136"/>
      <c r="G4" s="136"/>
      <c r="H4" s="125"/>
      <c r="I4" s="137"/>
      <c r="J4" s="131"/>
      <c r="K4" s="132"/>
      <c r="L4" s="138"/>
      <c r="M4" s="89"/>
    </row>
    <row r="5" spans="2:13" ht="30" customHeight="1">
      <c r="B5" s="139" t="s">
        <v>4</v>
      </c>
      <c r="C5" s="140"/>
      <c r="D5" s="141"/>
      <c r="E5" s="141"/>
      <c r="F5" s="141"/>
      <c r="G5" s="141"/>
      <c r="H5" s="141"/>
      <c r="I5" s="141"/>
      <c r="J5" s="141"/>
      <c r="K5" s="141"/>
      <c r="L5" s="142"/>
    </row>
    <row r="6" spans="2:13" ht="30" customHeight="1">
      <c r="B6" s="143" t="s">
        <v>5</v>
      </c>
      <c r="C6" s="407" t="s">
        <v>205</v>
      </c>
      <c r="D6" s="407"/>
      <c r="E6" s="144" t="s">
        <v>6</v>
      </c>
      <c r="F6" s="407"/>
      <c r="G6" s="407"/>
      <c r="H6" s="141"/>
      <c r="I6" s="141"/>
      <c r="J6" s="141"/>
      <c r="K6" s="30"/>
      <c r="L6" s="145"/>
    </row>
    <row r="7" spans="2:13" ht="30" customHeight="1">
      <c r="B7" s="143" t="s">
        <v>7</v>
      </c>
      <c r="C7" s="407"/>
      <c r="D7" s="407"/>
      <c r="E7" s="144" t="s">
        <v>62</v>
      </c>
      <c r="F7" s="408"/>
      <c r="G7" s="408"/>
      <c r="H7" s="141"/>
      <c r="I7" s="141"/>
      <c r="J7" s="141"/>
      <c r="K7" s="30"/>
      <c r="L7" s="145"/>
    </row>
    <row r="8" spans="2:13" ht="30" customHeight="1" thickBot="1">
      <c r="B8" s="146"/>
      <c r="C8" s="147"/>
      <c r="D8" s="148"/>
      <c r="E8" s="148"/>
      <c r="F8" s="30"/>
      <c r="G8" s="30"/>
      <c r="H8" s="149"/>
      <c r="I8" s="149"/>
      <c r="J8" s="149"/>
      <c r="K8" s="30"/>
      <c r="L8" s="145"/>
    </row>
    <row r="9" spans="2:13" ht="30" customHeight="1" thickBot="1">
      <c r="B9" s="67" t="s">
        <v>9</v>
      </c>
      <c r="C9" s="190" t="s">
        <v>63</v>
      </c>
      <c r="D9" s="190" t="s">
        <v>64</v>
      </c>
      <c r="E9" s="190" t="s">
        <v>65</v>
      </c>
      <c r="F9" s="190" t="s">
        <v>66</v>
      </c>
      <c r="G9" s="190" t="s">
        <v>67</v>
      </c>
      <c r="H9" s="319" t="s">
        <v>68</v>
      </c>
      <c r="I9" s="319"/>
      <c r="J9" s="319"/>
      <c r="K9" s="319"/>
      <c r="L9" s="191" t="s">
        <v>98</v>
      </c>
    </row>
    <row r="10" spans="2:13" ht="30" customHeight="1">
      <c r="B10" s="404" t="s">
        <v>88</v>
      </c>
      <c r="C10" s="405" t="s">
        <v>89</v>
      </c>
      <c r="D10" s="231" t="s">
        <v>198</v>
      </c>
      <c r="E10" s="218"/>
      <c r="F10" s="219" t="str">
        <f>IF(D10="","","kW")</f>
        <v>kW</v>
      </c>
      <c r="G10" s="220">
        <f>IF(D10="","",IFERROR(INDEX('[4]INFO-Consumo'!$F$9:$F$95,
       MATCH(D10, '[4]INFO-Consumo'!$D$9:$D$95, 0)),""))</f>
        <v>1</v>
      </c>
      <c r="H10" s="401"/>
      <c r="I10" s="402"/>
      <c r="J10" s="402"/>
      <c r="K10" s="403"/>
      <c r="L10" s="400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0.30316793172398854</v>
      </c>
    </row>
    <row r="11" spans="2:13" ht="30" customHeight="1">
      <c r="B11" s="392"/>
      <c r="C11" s="393"/>
      <c r="D11" s="221" t="str">
        <f>IF(D10="", "Seleccionar Maquinaria ↑", "Carga Promedio de Uso de " &amp; D10)</f>
        <v>Carga Promedio de Uso de HER. AUT JAULA MS04 BCJL02A</v>
      </c>
      <c r="E11" s="222"/>
      <c r="F11" s="223" t="str">
        <f>IF(ISERROR(FIND("Seleccionar", D11)), "%", "")</f>
        <v>%</v>
      </c>
      <c r="G11" s="289">
        <f>IF(D10="","",IFERROR(
    INDEX('[4]INFO-Consumo'!I:I,
           MATCH(D10, '[4]INFO-Consumo'!D:D, 0)
    ),
""))</f>
        <v>0.6</v>
      </c>
      <c r="H11" s="384"/>
      <c r="I11" s="384"/>
      <c r="J11" s="384"/>
      <c r="K11" s="384"/>
      <c r="L11" s="399"/>
    </row>
    <row r="12" spans="2:13" ht="30" customHeight="1">
      <c r="B12" s="392"/>
      <c r="C12" s="393"/>
      <c r="D12" s="232" t="s">
        <v>173</v>
      </c>
      <c r="E12" s="222"/>
      <c r="F12" s="223" t="str">
        <f>IF(D12="","","kW")</f>
        <v>kW</v>
      </c>
      <c r="G12" s="224">
        <f>IFERROR(INDEX('[4]INFO-Ponderacion'!$S$9:$S$13,
       MATCH(D12,'[4]INFO-Ponderacion'!$C$9:$C$13, 0)),"")</f>
        <v>2.4095999999999997</v>
      </c>
      <c r="H12" s="286"/>
      <c r="I12" s="287"/>
      <c r="J12" s="287"/>
      <c r="K12" s="288"/>
      <c r="L12" s="399"/>
    </row>
    <row r="13" spans="2:13" ht="30" customHeight="1">
      <c r="B13" s="392"/>
      <c r="C13" s="393"/>
      <c r="D13" s="221" t="str">
        <f>IF(D12="", "Seleccionar Area ↑", "Tarifa Electrica ")</f>
        <v xml:space="preserve">Tarifa Electrica </v>
      </c>
      <c r="E13" s="222"/>
      <c r="F13" s="223" t="str">
        <f>IF(D12="","","$/kWh")</f>
        <v>$/kWh</v>
      </c>
      <c r="G13" s="228">
        <f>IF(D12="","",'INFO-Direc'!$G$9)</f>
        <v>5.2613958629577628E-2</v>
      </c>
      <c r="H13" s="384"/>
      <c r="I13" s="384"/>
      <c r="J13" s="384"/>
      <c r="K13" s="384"/>
      <c r="L13" s="399"/>
    </row>
    <row r="14" spans="2:13" ht="30" customHeight="1">
      <c r="B14" s="392"/>
      <c r="C14" s="393"/>
      <c r="D14" s="229" t="str">
        <f>IF(D12="", "Seleccionar Area ↑", "Costo Electrico Fijo de " &amp; D12)</f>
        <v>Costo Electrico Fijo de Ensamble</v>
      </c>
      <c r="E14" s="222"/>
      <c r="F14" s="223" t="str">
        <f>IF(D12="","","$/h")</f>
        <v>$/h</v>
      </c>
      <c r="G14" s="290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0.14482096183241172</v>
      </c>
      <c r="H14" s="385"/>
      <c r="I14" s="386"/>
      <c r="J14" s="386"/>
      <c r="K14" s="387"/>
      <c r="L14" s="399"/>
    </row>
    <row r="15" spans="2:13" ht="30" customHeight="1">
      <c r="B15" s="389"/>
      <c r="C15" s="391"/>
      <c r="D15" s="229" t="s">
        <v>85</v>
      </c>
      <c r="E15" s="230"/>
      <c r="F15" s="223" t="str">
        <f>IF(D12="","","$/h")</f>
        <v>$/h</v>
      </c>
      <c r="G15" s="233"/>
      <c r="H15" s="385"/>
      <c r="I15" s="386"/>
      <c r="J15" s="386"/>
      <c r="K15" s="387"/>
      <c r="L15" s="398"/>
    </row>
    <row r="16" spans="2:13" ht="30" customHeight="1">
      <c r="B16" s="388" t="s">
        <v>90</v>
      </c>
      <c r="C16" s="394" t="s">
        <v>89</v>
      </c>
      <c r="D16" s="232"/>
      <c r="E16" s="222"/>
      <c r="F16" s="223" t="str">
        <f>IF(D16="","","$/L")</f>
        <v/>
      </c>
      <c r="G16" s="228" t="str">
        <f>IFERROR(INDEX('INFO-Direc'!$G$9:$G$25,
       MATCH(D16, 'INFO-Direc'!$D$9:$D$25, 0)),"")</f>
        <v/>
      </c>
      <c r="H16" s="384"/>
      <c r="I16" s="384"/>
      <c r="J16" s="384"/>
      <c r="K16" s="384"/>
      <c r="L16" s="397" t="str">
        <f>IF(AND(D16="", D18=""), "",
    IFERROR(
        IFERROR(G16*G17,0)
        + IFERROR(G18*G19,0)
        + IFERROR(G20,0),
    "")
)</f>
        <v/>
      </c>
    </row>
    <row r="17" spans="2:12" ht="30" customHeight="1">
      <c r="B17" s="392"/>
      <c r="C17" s="395"/>
      <c r="D17" s="221" t="str">
        <f>IF(D16="", "Seleccionar Lubricante ↑", "Consumo de " &amp; D16)</f>
        <v>Seleccionar Lubricante ↑</v>
      </c>
      <c r="E17" s="222"/>
      <c r="F17" s="223" t="str">
        <f>IF(ISERROR(FIND("Seleccionar", D17)), "L/h", "")</f>
        <v/>
      </c>
      <c r="G17" s="234"/>
      <c r="H17" s="384"/>
      <c r="I17" s="384"/>
      <c r="J17" s="384"/>
      <c r="K17" s="384"/>
      <c r="L17" s="399"/>
    </row>
    <row r="18" spans="2:12" ht="30" customHeight="1">
      <c r="B18" s="392"/>
      <c r="C18" s="395"/>
      <c r="D18" s="232"/>
      <c r="E18" s="222"/>
      <c r="F18" s="223" t="str">
        <f>IF(D18="","","$/L")</f>
        <v/>
      </c>
      <c r="G18" s="228" t="str">
        <f>IFERROR(INDEX('INFO-Direc'!$G$9:$G$25,
       MATCH(D18, 'INFO-Direc'!$D$9:$D$25, 0)),"")</f>
        <v/>
      </c>
      <c r="H18" s="385"/>
      <c r="I18" s="386"/>
      <c r="J18" s="386"/>
      <c r="K18" s="387"/>
      <c r="L18" s="399"/>
    </row>
    <row r="19" spans="2:12" ht="30" customHeight="1">
      <c r="B19" s="392"/>
      <c r="C19" s="395"/>
      <c r="D19" s="221" t="str">
        <f>IF(D18="", "Seleccionar Lubricante ↑", "Consumo de " &amp; D18)</f>
        <v>Seleccionar Lubricante ↑</v>
      </c>
      <c r="E19" s="222"/>
      <c r="F19" s="223" t="str">
        <f>IF(ISERROR(FIND("Seleccionar", D19)), "L/h", "")</f>
        <v/>
      </c>
      <c r="G19" s="234"/>
      <c r="H19" s="385"/>
      <c r="I19" s="386"/>
      <c r="J19" s="386"/>
      <c r="K19" s="387"/>
      <c r="L19" s="399"/>
    </row>
    <row r="20" spans="2:12" ht="30" customHeight="1">
      <c r="B20" s="389"/>
      <c r="C20" s="396"/>
      <c r="D20" s="221" t="s">
        <v>85</v>
      </c>
      <c r="E20" s="222"/>
      <c r="F20" s="223" t="str">
        <f>IF(OR(D16&lt;&gt;"", D18&lt;&gt;""), "$/h", "")</f>
        <v/>
      </c>
      <c r="G20" s="233"/>
      <c r="H20" s="384"/>
      <c r="I20" s="384"/>
      <c r="J20" s="384"/>
      <c r="K20" s="384"/>
      <c r="L20" s="398"/>
    </row>
    <row r="21" spans="2:12" ht="30" customHeight="1">
      <c r="B21" s="388" t="s">
        <v>92</v>
      </c>
      <c r="C21" s="390" t="s">
        <v>89</v>
      </c>
      <c r="D21" s="232" t="s">
        <v>138</v>
      </c>
      <c r="E21" s="222"/>
      <c r="F21" s="223" t="str">
        <f>IF(D21="","","kW")</f>
        <v>kW</v>
      </c>
      <c r="G21" s="228">
        <f>IFERROR(INDEX('INFO-Direc'!$G$9:$G$25,
       MATCH(D21, 'INFO-Direc'!$D$9:$D$25, 0)),"")</f>
        <v>56</v>
      </c>
      <c r="H21" s="385"/>
      <c r="I21" s="386"/>
      <c r="J21" s="386"/>
      <c r="K21" s="387"/>
      <c r="L21" s="397">
        <f>IFERROR(G21*G13*G22+G23+G24,"")</f>
        <v>1.8303340099538083</v>
      </c>
    </row>
    <row r="22" spans="2:12" ht="30" customHeight="1">
      <c r="B22" s="392"/>
      <c r="C22" s="393"/>
      <c r="D22" s="221" t="str">
        <f>IF(D21="", "Seleccionar Compresor ↑", "Carga Promedio de Uso de " &amp; D21)</f>
        <v>Carga Promedio de Uso de Compresor</v>
      </c>
      <c r="E22" s="222"/>
      <c r="F22" s="223" t="str">
        <f>IF(ISERROR(FIND("Seleccionar", D22)), "%", "")</f>
        <v>%</v>
      </c>
      <c r="G22" s="289">
        <f>IF(D21="","",IFERROR(
    INDEX('[4]INFO-Consumo'!I:I,
           MATCH(D21, '[4]INFO-Consumo'!D:D, 0)
    ),
""))</f>
        <v>0.6</v>
      </c>
      <c r="H22" s="384"/>
      <c r="I22" s="384"/>
      <c r="J22" s="384"/>
      <c r="K22" s="384"/>
      <c r="L22" s="399"/>
    </row>
    <row r="23" spans="2:12" ht="30" customHeight="1">
      <c r="B23" s="392"/>
      <c r="C23" s="393"/>
      <c r="D23" s="235" t="str">
        <f>IF(D21="", "Seleccionar Compresor ↑", "Costo de Repuestos " &amp; D21)</f>
        <v>Costo de Repuestos Compresor</v>
      </c>
      <c r="E23" s="222"/>
      <c r="F23" s="223" t="str">
        <f>IF(ISERROR(FIND("Seleccionar", D23)), "$/h", "")</f>
        <v>$/h</v>
      </c>
      <c r="G23" s="236">
        <f>IF(D21="","", SUM(IF(ISNUMBER(FIND("Compresor", 'INFO-Mant'!D9:D26)), 'INFO-Mant'!G9:G26 / 'INFO-Mant'!H9:H26, 0)))</f>
        <v>6.2505000000000005E-2</v>
      </c>
      <c r="H23" s="385"/>
      <c r="I23" s="386"/>
      <c r="J23" s="386"/>
      <c r="K23" s="387"/>
      <c r="L23" s="399"/>
    </row>
    <row r="24" spans="2:12" ht="30" customHeight="1">
      <c r="B24" s="389"/>
      <c r="C24" s="391"/>
      <c r="D24" s="221" t="s">
        <v>85</v>
      </c>
      <c r="E24" s="222"/>
      <c r="F24" s="223" t="str">
        <f>IF(D21="","","$/h")</f>
        <v>$/h</v>
      </c>
      <c r="G24" s="233"/>
      <c r="H24" s="384"/>
      <c r="I24" s="384"/>
      <c r="J24" s="384"/>
      <c r="K24" s="384"/>
      <c r="L24" s="398"/>
    </row>
    <row r="25" spans="2:12" ht="30" customHeight="1">
      <c r="B25" s="388" t="s">
        <v>94</v>
      </c>
      <c r="C25" s="390" t="s">
        <v>89</v>
      </c>
      <c r="D25" s="232"/>
      <c r="E25" s="222"/>
      <c r="F25" s="223" t="str">
        <f>IF(D25="","","$/L")</f>
        <v/>
      </c>
      <c r="G25" s="228" t="str">
        <f>IFERROR(INDEX('INFO-Direc'!$G$9:$G$25,
       MATCH(D25, 'INFO-Direc'!$D$9:$D$25, 0)),"")</f>
        <v/>
      </c>
      <c r="H25" s="384"/>
      <c r="I25" s="384"/>
      <c r="J25" s="384"/>
      <c r="K25" s="384"/>
      <c r="L25" s="381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92"/>
      <c r="C26" s="393"/>
      <c r="D26" s="221" t="str">
        <f>IF(D25="", "Seleccionar Refrigerante ↑", "Consumo de " &amp; D25)</f>
        <v>Seleccionar Refrigerante ↑</v>
      </c>
      <c r="E26" s="222"/>
      <c r="F26" s="223" t="str">
        <f>IF(ISERROR(FIND("Seleccionar", D26)), "L/Año", "")</f>
        <v/>
      </c>
      <c r="G26" s="238"/>
      <c r="H26" s="384"/>
      <c r="I26" s="384"/>
      <c r="J26" s="384"/>
      <c r="K26" s="384"/>
      <c r="L26" s="382"/>
    </row>
    <row r="27" spans="2:12" ht="30" customHeight="1">
      <c r="B27" s="392"/>
      <c r="C27" s="393"/>
      <c r="D27" s="232"/>
      <c r="E27" s="222"/>
      <c r="F27" s="223" t="str">
        <f>IF(D27="","","$/L")</f>
        <v/>
      </c>
      <c r="G27" s="228" t="str">
        <f>IFERROR(INDEX('INFO-Direc'!$G$9:$G$25,
       MATCH(D27, 'INFO-Direc'!$D$9:$D$25, 0)),"")</f>
        <v/>
      </c>
      <c r="H27" s="385"/>
      <c r="I27" s="386"/>
      <c r="J27" s="386"/>
      <c r="K27" s="387"/>
      <c r="L27" s="382"/>
    </row>
    <row r="28" spans="2:12" ht="30" customHeight="1">
      <c r="B28" s="392"/>
      <c r="C28" s="393"/>
      <c r="D28" s="221" t="str">
        <f>IF(D27="", "Seleccionar Refrigerante ↑", "Consumo de " &amp; D27)</f>
        <v>Seleccionar Refrigerante ↑</v>
      </c>
      <c r="E28" s="222"/>
      <c r="F28" s="223" t="str">
        <f>IF(ISERROR(FIND("Seleccionar", D28)), "L/Año", "")</f>
        <v/>
      </c>
      <c r="G28" s="239"/>
      <c r="H28" s="385"/>
      <c r="I28" s="386"/>
      <c r="J28" s="386"/>
      <c r="K28" s="387"/>
      <c r="L28" s="382"/>
    </row>
    <row r="29" spans="2:12" ht="30" customHeight="1">
      <c r="B29" s="389"/>
      <c r="C29" s="391"/>
      <c r="D29" s="221" t="s">
        <v>85</v>
      </c>
      <c r="E29" s="222"/>
      <c r="F29" s="223" t="str">
        <f>IF(OR(D25&lt;&gt;"", D27&lt;&gt;""), "$/h", "")</f>
        <v/>
      </c>
      <c r="G29" s="233"/>
      <c r="H29" s="384"/>
      <c r="I29" s="384"/>
      <c r="J29" s="384"/>
      <c r="K29" s="384"/>
      <c r="L29" s="383"/>
    </row>
    <row r="30" spans="2:12" s="152" customFormat="1" ht="30" customHeight="1">
      <c r="B30" s="388" t="s">
        <v>168</v>
      </c>
      <c r="C30" s="394" t="s">
        <v>89</v>
      </c>
      <c r="D30" s="232"/>
      <c r="E30" s="222"/>
      <c r="F30" s="223" t="str">
        <f>IF(D30="","","$/L")</f>
        <v/>
      </c>
      <c r="G30" s="228" t="str">
        <f>IFERROR(INDEX('INFO-Direc'!$G$9:$G$25,
       MATCH(D30, 'INFO-Direc'!$D$9:$D$25, 0)),"")</f>
        <v/>
      </c>
      <c r="H30" s="385"/>
      <c r="I30" s="386"/>
      <c r="J30" s="386"/>
      <c r="K30" s="387"/>
      <c r="L30" s="381" t="str">
        <f>IF(
    AND(D30="", D32=""),
    "",
    IFERROR(
        IFERROR(G30 / (INDEX('INFO-OEE'!$E$18:$CA$18,
                               MATCH(#REF!, 'INFO-OEE'!$E$9:$CA$9, 0)) * 12), 0)
        * G31
        +
        IFERROR(G32 / (INDEX('INFO-OEE'!$E$18:$CA$18,
                               MATCH(#REF!, 'INFO-OEE'!$E$9:$CA$9, 0)) * 12), 0)
        * G33
        +
        IFERROR(G34, 0),
    "")
)</f>
        <v/>
      </c>
    </row>
    <row r="31" spans="2:12" s="152" customFormat="1" ht="30" customHeight="1">
      <c r="B31" s="392"/>
      <c r="C31" s="395"/>
      <c r="D31" s="221" t="str">
        <f>IF(D30="", "Seleccionar Solvente ↑", "Consumo de " &amp; D30)</f>
        <v>Seleccionar Solvente ↑</v>
      </c>
      <c r="E31" s="222"/>
      <c r="F31" s="223" t="str">
        <f>IF(ISERROR(FIND("Seleccionar", D31)), "L/Año", "")</f>
        <v/>
      </c>
      <c r="G31" s="234"/>
      <c r="H31" s="385"/>
      <c r="I31" s="386"/>
      <c r="J31" s="386"/>
      <c r="K31" s="387"/>
      <c r="L31" s="382"/>
    </row>
    <row r="32" spans="2:12" s="152" customFormat="1" ht="30" customHeight="1">
      <c r="B32" s="392"/>
      <c r="C32" s="395"/>
      <c r="D32" s="232"/>
      <c r="E32" s="222"/>
      <c r="F32" s="223" t="str">
        <f>IF(D32="","","$/L")</f>
        <v/>
      </c>
      <c r="G32" s="228" t="str">
        <f>IFERROR(INDEX('INFO-Direc'!$G$9:$G$25,
       MATCH(D32, 'INFO-Direc'!$D$9:$D$25, 0)),"")</f>
        <v/>
      </c>
      <c r="H32" s="385"/>
      <c r="I32" s="386"/>
      <c r="J32" s="386"/>
      <c r="K32" s="387"/>
      <c r="L32" s="382"/>
    </row>
    <row r="33" spans="2:12" s="152" customFormat="1" ht="30" customHeight="1">
      <c r="B33" s="392"/>
      <c r="C33" s="395"/>
      <c r="D33" s="221" t="str">
        <f>IF(D32="", "Seleccionar Solvente ↑", "Consumo de " &amp; D32)</f>
        <v>Seleccionar Solvente ↑</v>
      </c>
      <c r="E33" s="222"/>
      <c r="F33" s="223" t="str">
        <f>IF(ISERROR(FIND("Seleccionar", D33)), "L/Año", "")</f>
        <v/>
      </c>
      <c r="G33" s="234"/>
      <c r="H33" s="385"/>
      <c r="I33" s="386"/>
      <c r="J33" s="386"/>
      <c r="K33" s="387"/>
      <c r="L33" s="382"/>
    </row>
    <row r="34" spans="2:12" s="152" customFormat="1" ht="30" customHeight="1">
      <c r="B34" s="389"/>
      <c r="C34" s="396"/>
      <c r="D34" s="221" t="s">
        <v>85</v>
      </c>
      <c r="E34" s="222"/>
      <c r="F34" s="223" t="str">
        <f>IF(OR(D30&lt;&gt;"", D32&lt;&gt;""), "$/h", "")</f>
        <v/>
      </c>
      <c r="G34" s="233"/>
      <c r="H34" s="385"/>
      <c r="I34" s="386"/>
      <c r="J34" s="386"/>
      <c r="K34" s="387"/>
      <c r="L34" s="383"/>
    </row>
    <row r="35" spans="2:12" ht="30" customHeight="1">
      <c r="B35" s="388" t="s">
        <v>100</v>
      </c>
      <c r="C35" s="390" t="s">
        <v>89</v>
      </c>
      <c r="D35" s="221" t="str">
        <f>IF(D12="", "Seleccionar Area ↑", "Costo de Operarios")</f>
        <v>Costo de Operarios</v>
      </c>
      <c r="E35" s="222"/>
      <c r="F35" s="223" t="str">
        <f>IF(D12="","","$/mes")</f>
        <v>$/mes</v>
      </c>
      <c r="G35" s="237">
        <f>IF(D12="","",IFERROR(
    INDEX('INFO-Personal'!$E$26:$CA$26,
           MATCH($C$3, 'INFO-Personal'!$E$9:$CA$9, 0)
    ),
""))</f>
        <v>710.55480696864117</v>
      </c>
      <c r="H35" s="384"/>
      <c r="I35" s="384"/>
      <c r="J35" s="384"/>
      <c r="K35" s="384"/>
      <c r="L35" s="397">
        <f>IFERROR(
    (G35 / INDEX('INFO-OEE'!$E$18:$CA$18,
                  MATCH($C$3, 'INFO-OEE'!$E$9:$CA$9, 0)))
    + G36,
"")</f>
        <v>5.046554026765917</v>
      </c>
    </row>
    <row r="36" spans="2:12" ht="30" customHeight="1">
      <c r="B36" s="389"/>
      <c r="C36" s="391"/>
      <c r="D36" s="221" t="s">
        <v>85</v>
      </c>
      <c r="E36" s="222"/>
      <c r="F36" s="223" t="str">
        <f>IF(D12="","","$/h")</f>
        <v>$/h</v>
      </c>
      <c r="G36" s="240"/>
      <c r="H36" s="384"/>
      <c r="I36" s="384"/>
      <c r="J36" s="384"/>
      <c r="K36" s="384"/>
      <c r="L36" s="398"/>
    </row>
    <row r="37" spans="2:12" ht="30" customHeight="1">
      <c r="B37" s="241"/>
      <c r="C37" s="242"/>
      <c r="D37" s="243"/>
      <c r="E37" s="242"/>
      <c r="F37" s="244"/>
      <c r="G37" s="245"/>
      <c r="H37" s="409"/>
      <c r="I37" s="409"/>
      <c r="J37" s="409"/>
      <c r="K37" s="409"/>
      <c r="L37" s="246"/>
    </row>
    <row r="38" spans="2:12" ht="30" customHeight="1">
      <c r="B38" s="388" t="s">
        <v>16</v>
      </c>
      <c r="C38" s="390" t="s">
        <v>69</v>
      </c>
      <c r="D38" s="221" t="str">
        <f>IF(D12="", "Seleccionar Area ↑", "Costo de Supervisores")</f>
        <v>Costo de Supervisores</v>
      </c>
      <c r="E38" s="222"/>
      <c r="F38" s="247" t="str">
        <f>IF(D12="","","$/mes")</f>
        <v>$/mes</v>
      </c>
      <c r="G38" s="237">
        <f>IF(D12="","",IFERROR(
    INDEX('INFO-Personal'!$E$27:$CA$27,
           MATCH($C$3, 'INFO-Personal'!$E$9:$CA$9, 0)
    ),
""))</f>
        <v>0</v>
      </c>
      <c r="H38" s="385"/>
      <c r="I38" s="386"/>
      <c r="J38" s="386"/>
      <c r="K38" s="387"/>
      <c r="L38" s="397">
        <f>IFERROR(
    (G38 / INDEX('INFO-OEE'!$E$18:$CA$18,
                  MATCH($C$3, 'INFO-OEE'!$E$9:$CA$9, 0)))
    + G39,
"")</f>
        <v>0</v>
      </c>
    </row>
    <row r="39" spans="2:12" ht="30" customHeight="1">
      <c r="B39" s="392"/>
      <c r="C39" s="393"/>
      <c r="D39" s="221" t="s">
        <v>85</v>
      </c>
      <c r="E39" s="222"/>
      <c r="F39" s="223" t="str">
        <f>IF(D12="","","$/h")</f>
        <v>$/h</v>
      </c>
      <c r="G39" s="240"/>
      <c r="H39" s="385"/>
      <c r="I39" s="386"/>
      <c r="J39" s="386"/>
      <c r="K39" s="387"/>
      <c r="L39" s="399"/>
    </row>
    <row r="40" spans="2:12" ht="30" customHeight="1">
      <c r="B40" s="388" t="s">
        <v>101</v>
      </c>
      <c r="C40" s="390" t="s">
        <v>69</v>
      </c>
      <c r="D40" s="221" t="str">
        <f>IF(D12="", "Seleccionar Area ↑", "Costo de Mant. Preventivo")</f>
        <v>Costo de Mant. Preventivo</v>
      </c>
      <c r="E40" s="222"/>
      <c r="F40" s="247" t="str">
        <f>IF(D12="","","$/mes")</f>
        <v>$/mes</v>
      </c>
      <c r="G40" s="237">
        <f>IF(D12="","",IFERROR(
    INDEX('INFO-Personal'!$E$28:$CA$28,
           MATCH($C$3, 'INFO-Personal'!$E$9:$CA$9, 0)
    ),
""))</f>
        <v>0</v>
      </c>
      <c r="H40" s="385"/>
      <c r="I40" s="386"/>
      <c r="J40" s="386"/>
      <c r="K40" s="387"/>
      <c r="L40" s="397">
        <f>IF(D12="","",SUM(
    IFERROR((G40+G41) / INDEX('INFO-OEE'!$E$18:$CA$18, MATCH(C3, 'INFO-OEE'!$E$9:$CA$9, 0)), 0),
    IFERROR(G42 / G43, 0),
    IFERROR(G44 / G45, 0),
    IFERROR(G46 / G47, 0),
    IFERROR(G48, 0)
))</f>
        <v>0.25023513374001316</v>
      </c>
    </row>
    <row r="41" spans="2:12" ht="30" customHeight="1">
      <c r="B41" s="392"/>
      <c r="C41" s="393"/>
      <c r="D41" s="221" t="str">
        <f>IF(D12="", "Seleccionar Area ↑", "Costo de Mant. Correctivo")</f>
        <v>Costo de Mant. Correctivo</v>
      </c>
      <c r="E41" s="222"/>
      <c r="F41" s="247" t="str">
        <f>IF(D12="","","$/mes")</f>
        <v>$/mes</v>
      </c>
      <c r="G41" s="237">
        <f>IF(D12="","",IFERROR(
    INDEX('INFO-Personal'!$E$29:$CA$29,
           MATCH($C$3, 'INFO-Personal'!$E$9:$CA$9, 0)
    ),
""))</f>
        <v>35.233106830593854</v>
      </c>
      <c r="H41" s="385"/>
      <c r="I41" s="386"/>
      <c r="J41" s="386"/>
      <c r="K41" s="387"/>
      <c r="L41" s="399"/>
    </row>
    <row r="42" spans="2:12" ht="30" customHeight="1">
      <c r="B42" s="392"/>
      <c r="C42" s="393"/>
      <c r="D42" s="232"/>
      <c r="E42" s="222"/>
      <c r="F42" s="223" t="str">
        <f>IF(D42="","","$/u")</f>
        <v/>
      </c>
      <c r="G42" s="237" t="str">
        <f>IFERROR(INDEX('INFO-Mant'!$G$9:$G$26,
       MATCH(D42, 'INFO-Mant'!$D$9:$D$26, 0)),"")</f>
        <v/>
      </c>
      <c r="H42" s="385"/>
      <c r="I42" s="386"/>
      <c r="J42" s="386"/>
      <c r="K42" s="387"/>
      <c r="L42" s="399"/>
    </row>
    <row r="43" spans="2:12" ht="30" customHeight="1">
      <c r="B43" s="392"/>
      <c r="C43" s="393"/>
      <c r="D43" s="221" t="str">
        <f>IF(D42="", "Seleccionar Repuesto ↑", "Vida Util de " &amp; D42)</f>
        <v>Seleccionar Repuesto ↑</v>
      </c>
      <c r="E43" s="222"/>
      <c r="F43" s="223" t="str">
        <f>IF(ISERROR(FIND("Seleccionar", D43)), "Horas/u", "")</f>
        <v/>
      </c>
      <c r="G43" s="238"/>
      <c r="H43" s="385"/>
      <c r="I43" s="386"/>
      <c r="J43" s="386"/>
      <c r="K43" s="387"/>
      <c r="L43" s="399"/>
    </row>
    <row r="44" spans="2:12" ht="30" customHeight="1">
      <c r="B44" s="392"/>
      <c r="C44" s="393"/>
      <c r="D44" s="232"/>
      <c r="E44" s="222"/>
      <c r="F44" s="223" t="str">
        <f>IF(D44="","","$/u")</f>
        <v/>
      </c>
      <c r="G44" s="237" t="str">
        <f>IFERROR(INDEX('INFO-Mant'!$G$9:$G$26,
       MATCH(D44, 'INFO-Mant'!$D$9:$D$26, 0)),"")</f>
        <v/>
      </c>
      <c r="H44" s="385"/>
      <c r="I44" s="386"/>
      <c r="J44" s="386"/>
      <c r="K44" s="387"/>
      <c r="L44" s="399"/>
    </row>
    <row r="45" spans="2:12" ht="30" customHeight="1">
      <c r="B45" s="392"/>
      <c r="C45" s="393"/>
      <c r="D45" s="221" t="str">
        <f>IF(D44="", "Seleccionar Repuesto ↑", "Vida Util de " &amp; D44)</f>
        <v>Seleccionar Repuesto ↑</v>
      </c>
      <c r="E45" s="222"/>
      <c r="F45" s="223" t="str">
        <f>IF(ISERROR(FIND("Seleccionar", D45)), "Horas/u", "")</f>
        <v/>
      </c>
      <c r="G45" s="238"/>
      <c r="H45" s="385"/>
      <c r="I45" s="386"/>
      <c r="J45" s="386"/>
      <c r="K45" s="387"/>
      <c r="L45" s="399"/>
    </row>
    <row r="46" spans="2:12" ht="30" customHeight="1">
      <c r="B46" s="392"/>
      <c r="C46" s="393"/>
      <c r="D46" s="232"/>
      <c r="E46" s="222"/>
      <c r="F46" s="223" t="str">
        <f>IF(D46="","","$/u")</f>
        <v/>
      </c>
      <c r="G46" s="237" t="str">
        <f>IFERROR(INDEX('INFO-Mant'!$G$9:$G$26,
       MATCH(D46, 'INFO-Mant'!$D$9:$D$26, 0)),"")</f>
        <v/>
      </c>
      <c r="H46" s="385"/>
      <c r="I46" s="386"/>
      <c r="J46" s="386"/>
      <c r="K46" s="387"/>
      <c r="L46" s="399"/>
    </row>
    <row r="47" spans="2:12" ht="30.75" customHeight="1">
      <c r="B47" s="392"/>
      <c r="C47" s="393"/>
      <c r="D47" s="221" t="str">
        <f>IF(D46="", "Seleccionar Repuesto ↑", "Vida Util de " &amp; D46)</f>
        <v>Seleccionar Repuesto ↑</v>
      </c>
      <c r="E47" s="222"/>
      <c r="F47" s="223" t="str">
        <f>IF(ISERROR(FIND("Seleccionar", D47)), "Horas/u", "")</f>
        <v/>
      </c>
      <c r="G47" s="240"/>
      <c r="H47" s="385"/>
      <c r="I47" s="386"/>
      <c r="J47" s="386"/>
      <c r="K47" s="387"/>
      <c r="L47" s="399"/>
    </row>
    <row r="48" spans="2:12" ht="30" customHeight="1">
      <c r="B48" s="389"/>
      <c r="C48" s="391"/>
      <c r="D48" s="221" t="s">
        <v>85</v>
      </c>
      <c r="E48" s="222"/>
      <c r="F48" s="223" t="str">
        <f>IF(D12="","","$/h")</f>
        <v>$/h</v>
      </c>
      <c r="G48" s="240"/>
      <c r="H48" s="385"/>
      <c r="I48" s="386"/>
      <c r="J48" s="386"/>
      <c r="K48" s="387"/>
      <c r="L48" s="398"/>
    </row>
    <row r="49" spans="2:12" ht="30" customHeight="1">
      <c r="B49" s="248"/>
      <c r="C49" s="249"/>
      <c r="D49" s="250"/>
      <c r="E49" s="249"/>
      <c r="F49" s="251"/>
      <c r="G49" s="252"/>
      <c r="H49" s="249"/>
      <c r="I49" s="249"/>
      <c r="J49" s="249"/>
      <c r="K49" s="249"/>
      <c r="L49" s="253"/>
    </row>
    <row r="50" spans="2:12" ht="30" customHeight="1">
      <c r="B50" s="388" t="s">
        <v>102</v>
      </c>
      <c r="C50" s="394" t="s">
        <v>103</v>
      </c>
      <c r="D50" s="232"/>
      <c r="E50" s="222"/>
      <c r="F50" s="223" t="str">
        <f>IF(D50="","","$/h")</f>
        <v/>
      </c>
      <c r="G50" s="23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410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410"/>
      <c r="J50" s="410"/>
      <c r="K50" s="410"/>
      <c r="L50" s="255" t="str">
        <f ca="1">G50</f>
        <v/>
      </c>
    </row>
    <row r="51" spans="2:12" ht="30" customHeight="1">
      <c r="B51" s="392"/>
      <c r="C51" s="395"/>
      <c r="D51" s="232"/>
      <c r="E51" s="254"/>
      <c r="F51" s="223" t="str">
        <f>IF(D51="","","$/h")</f>
        <v/>
      </c>
      <c r="G51" s="23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410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410"/>
      <c r="J51" s="410"/>
      <c r="K51" s="410"/>
      <c r="L51" s="255" t="str">
        <f ca="1">G51</f>
        <v/>
      </c>
    </row>
    <row r="52" spans="2:12" ht="30" customHeight="1">
      <c r="B52" s="392"/>
      <c r="C52" s="395"/>
      <c r="D52" s="232"/>
      <c r="E52" s="222"/>
      <c r="F52" s="223" t="str">
        <f t="shared" ref="F52:F54" si="0">IF(D52="","","$/h")</f>
        <v/>
      </c>
      <c r="G52" s="23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410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410"/>
      <c r="J52" s="410"/>
      <c r="K52" s="410"/>
      <c r="L52" s="255" t="str">
        <f ca="1">G52</f>
        <v/>
      </c>
    </row>
    <row r="53" spans="2:12" ht="30" customHeight="1">
      <c r="B53" s="392"/>
      <c r="C53" s="395"/>
      <c r="D53" s="232"/>
      <c r="E53" s="222"/>
      <c r="F53" s="223" t="str">
        <f t="shared" si="0"/>
        <v/>
      </c>
      <c r="G53" s="23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410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410"/>
      <c r="J53" s="410"/>
      <c r="K53" s="410"/>
      <c r="L53" s="255" t="str">
        <f ca="1">G53</f>
        <v/>
      </c>
    </row>
    <row r="54" spans="2:12" ht="30" customHeight="1">
      <c r="B54" s="389"/>
      <c r="C54" s="396"/>
      <c r="D54" s="232"/>
      <c r="E54" s="222"/>
      <c r="F54" s="223" t="str">
        <f t="shared" si="0"/>
        <v/>
      </c>
      <c r="G54" s="23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410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410"/>
      <c r="J54" s="410"/>
      <c r="K54" s="410"/>
      <c r="L54" s="255" t="str">
        <f ca="1">G54</f>
        <v/>
      </c>
    </row>
    <row r="55" spans="2:12" ht="30" customHeight="1">
      <c r="B55" s="146"/>
      <c r="C55" s="147"/>
      <c r="D55" s="411"/>
      <c r="E55" s="411"/>
      <c r="F55" s="30"/>
      <c r="G55" s="30"/>
      <c r="H55" s="149"/>
      <c r="I55" s="149"/>
      <c r="J55" s="149"/>
      <c r="K55" s="30"/>
      <c r="L55" s="145"/>
    </row>
    <row r="56" spans="2:12" ht="30" customHeight="1" thickBot="1">
      <c r="B56" s="153" t="s">
        <v>39</v>
      </c>
      <c r="C56" s="330"/>
      <c r="D56" s="330"/>
      <c r="E56" s="154" t="s">
        <v>23</v>
      </c>
      <c r="F56" s="368"/>
      <c r="G56" s="368"/>
      <c r="H56" s="141"/>
      <c r="I56" s="141"/>
      <c r="J56" s="141"/>
      <c r="K56" s="256"/>
      <c r="L56" s="257"/>
    </row>
    <row r="57" spans="2:12" ht="30" customHeight="1" thickBot="1">
      <c r="B57" s="155"/>
      <c r="C57" s="156"/>
      <c r="D57" s="156"/>
      <c r="E57" s="156"/>
      <c r="F57" s="378"/>
      <c r="G57" s="378"/>
      <c r="H57" s="157"/>
      <c r="I57" s="157"/>
      <c r="J57" s="157"/>
      <c r="K57" s="258" t="s">
        <v>106</v>
      </c>
      <c r="L57" s="259">
        <f ca="1">IFERROR(SUM(L19:L54),"")</f>
        <v>7.127123170459738</v>
      </c>
    </row>
    <row r="59" spans="2:12" ht="30" customHeight="1">
      <c r="C59" s="117"/>
    </row>
  </sheetData>
  <sheetProtection algorithmName="SHA-512" hashValue="E8vyT+nO4kJM06M9MmoqTCk1OvoHkmEnMB0n1wtudOYASXNM4TDIszAo6H+/syB3+AS0QKGpcspX+JRw0BlKwg==" saltValue="Ec9WY4lOkJ52IIQoeYj/6Q==" spinCount="100000" sheet="1" objects="1" scenarios="1" selectLockedCells="1"/>
  <mergeCells count="80">
    <mergeCell ref="F57:G57"/>
    <mergeCell ref="B50:B54"/>
    <mergeCell ref="C50:C54"/>
    <mergeCell ref="H53:K53"/>
    <mergeCell ref="H54:K54"/>
    <mergeCell ref="D55:E55"/>
    <mergeCell ref="C56:D56"/>
    <mergeCell ref="F56:G56"/>
    <mergeCell ref="B38:B39"/>
    <mergeCell ref="C38:C39"/>
    <mergeCell ref="H50:K50"/>
    <mergeCell ref="H51:K51"/>
    <mergeCell ref="H52:K52"/>
    <mergeCell ref="B40:B48"/>
    <mergeCell ref="C40:C48"/>
    <mergeCell ref="H39:K39"/>
    <mergeCell ref="H40:K40"/>
    <mergeCell ref="H41:K41"/>
    <mergeCell ref="H42:K42"/>
    <mergeCell ref="H37:K37"/>
    <mergeCell ref="H38:K38"/>
    <mergeCell ref="L40:L48"/>
    <mergeCell ref="H44:K44"/>
    <mergeCell ref="H45:K45"/>
    <mergeCell ref="H46:K46"/>
    <mergeCell ref="H47:K47"/>
    <mergeCell ref="H48:K48"/>
    <mergeCell ref="H43:K43"/>
    <mergeCell ref="L38:L39"/>
    <mergeCell ref="C3:D3"/>
    <mergeCell ref="F3:G3"/>
    <mergeCell ref="C6:D6"/>
    <mergeCell ref="F6:G6"/>
    <mergeCell ref="C7:D7"/>
    <mergeCell ref="F7:G7"/>
    <mergeCell ref="H9:K9"/>
    <mergeCell ref="H10:K10"/>
    <mergeCell ref="H11:K11"/>
    <mergeCell ref="B10:B15"/>
    <mergeCell ref="C10:C15"/>
    <mergeCell ref="B16:B20"/>
    <mergeCell ref="C16:C20"/>
    <mergeCell ref="L16:L20"/>
    <mergeCell ref="H20:K20"/>
    <mergeCell ref="L10:L15"/>
    <mergeCell ref="H13:K13"/>
    <mergeCell ref="H15:K15"/>
    <mergeCell ref="H16:K16"/>
    <mergeCell ref="H17:K17"/>
    <mergeCell ref="H14:K14"/>
    <mergeCell ref="L21:L24"/>
    <mergeCell ref="H23:K23"/>
    <mergeCell ref="H24:K24"/>
    <mergeCell ref="H18:K18"/>
    <mergeCell ref="H19:K19"/>
    <mergeCell ref="H21:K21"/>
    <mergeCell ref="H22:K22"/>
    <mergeCell ref="L25:L29"/>
    <mergeCell ref="H29:K29"/>
    <mergeCell ref="H28:K28"/>
    <mergeCell ref="H25:K25"/>
    <mergeCell ref="H26:K26"/>
    <mergeCell ref="H27:K27"/>
    <mergeCell ref="B25:B29"/>
    <mergeCell ref="C25:C29"/>
    <mergeCell ref="B30:B34"/>
    <mergeCell ref="C30:C34"/>
    <mergeCell ref="B21:B24"/>
    <mergeCell ref="C21:C24"/>
    <mergeCell ref="H35:K35"/>
    <mergeCell ref="H36:K36"/>
    <mergeCell ref="L35:L36"/>
    <mergeCell ref="B35:B36"/>
    <mergeCell ref="C35:C36"/>
    <mergeCell ref="H34:K34"/>
    <mergeCell ref="H33:K33"/>
    <mergeCell ref="H32:K32"/>
    <mergeCell ref="H31:K31"/>
    <mergeCell ref="L30:L34"/>
    <mergeCell ref="H30:K30"/>
  </mergeCells>
  <dataValidations count="9">
    <dataValidation allowBlank="1" showInputMessage="1" showErrorMessage="1" prompt="Escriba comentarios en las celdas de la derecha." sqref="C59"/>
    <dataValidation type="list" allowBlank="1" showInputMessage="1" showErrorMessage="1" sqref="D51:D54">
      <formula1>Herramientas_Ensamble</formula1>
    </dataValidation>
    <dataValidation type="list" allowBlank="1" showInputMessage="1" showErrorMessage="1" sqref="D10 D50">
      <formula1>Maquinaria_Ensamble</formula1>
    </dataValidation>
    <dataValidation type="list" allowBlank="1" showInputMessage="1" showErrorMessage="1" sqref="D42 D44 D46">
      <formula1>Repuestos_Ensamble</formula1>
    </dataValidation>
    <dataValidation type="list" allowBlank="1" showInputMessage="1" showErrorMessage="1" sqref="D30 D32">
      <formula1>Solvente_Ensamble</formula1>
    </dataValidation>
    <dataValidation type="list" allowBlank="1" showInputMessage="1" showErrorMessage="1" sqref="D25 D27">
      <formula1>Refrigerantes_Ensamble</formula1>
    </dataValidation>
    <dataValidation type="list" allowBlank="1" showInputMessage="1" showErrorMessage="1" sqref="D21">
      <formula1>AireComprimido_Ensamble</formula1>
    </dataValidation>
    <dataValidation type="list" allowBlank="1" showInputMessage="1" showErrorMessage="1" sqref="D16 D18">
      <formula1>Lubricantes_Ensamble</formula1>
    </dataValidation>
    <dataValidation type="list" allowBlank="1" showInputMessage="1" showErrorMessage="1" sqref="D12">
      <formula1>Areas_Ensamble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4" name="Button 3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54</xdr:row>
                    <xdr:rowOff>333375</xdr:rowOff>
                  </from>
                  <to>
                    <xdr:col>1</xdr:col>
                    <xdr:colOff>1762125</xdr:colOff>
                    <xdr:row>55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0">
    <tabColor rgb="FF0070C0"/>
    <pageSetUpPr autoPageBreaks="0" fitToPage="1"/>
  </sheetPr>
  <dimension ref="B1:M59"/>
  <sheetViews>
    <sheetView showGridLines="0" zoomScale="80" zoomScaleNormal="80" workbookViewId="0">
      <selection activeCell="C6" sqref="C6:D6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3.140625" style="80" bestFit="1" customWidth="1"/>
    <col min="5" max="5" width="20.5703125" style="80" customWidth="1"/>
    <col min="6" max="6" width="16.5703125" style="80" bestFit="1" customWidth="1"/>
    <col min="7" max="7" width="19.7109375" style="80" bestFit="1" customWidth="1"/>
    <col min="8" max="8" width="15.28515625" style="80" customWidth="1"/>
    <col min="9" max="10" width="17" style="80" customWidth="1"/>
    <col min="11" max="11" width="28.42578125" style="80" customWidth="1"/>
    <col min="12" max="12" width="20.7109375" style="80" customWidth="1"/>
    <col min="13" max="13" width="2.7109375" style="80" customWidth="1"/>
    <col min="14" max="16384" width="9.140625" style="80"/>
  </cols>
  <sheetData>
    <row r="1" spans="2:13" ht="12" customHeight="1" thickBot="1"/>
    <row r="2" spans="2:13" ht="30" customHeight="1">
      <c r="B2" s="126" t="s">
        <v>95</v>
      </c>
      <c r="C2" s="127"/>
      <c r="D2" s="128"/>
      <c r="E2" s="128"/>
      <c r="F2" s="128"/>
      <c r="G2" s="128"/>
      <c r="H2" s="128"/>
      <c r="I2" s="128"/>
      <c r="J2" s="128"/>
      <c r="K2" s="128"/>
      <c r="L2" s="129"/>
    </row>
    <row r="3" spans="2:13" ht="30" customHeight="1">
      <c r="B3" s="130" t="s">
        <v>96</v>
      </c>
      <c r="C3" s="406" t="s">
        <v>124</v>
      </c>
      <c r="D3" s="406"/>
      <c r="E3" s="125" t="s">
        <v>3</v>
      </c>
      <c r="F3" s="356">
        <f ca="1">TODAY()</f>
        <v>46020</v>
      </c>
      <c r="G3" s="356"/>
      <c r="H3" s="125" t="s">
        <v>61</v>
      </c>
      <c r="I3" s="162">
        <f>'INFO-Direc'!H3</f>
        <v>1445</v>
      </c>
      <c r="J3" s="131"/>
      <c r="K3" s="132"/>
      <c r="L3" s="133"/>
      <c r="M3" s="134"/>
    </row>
    <row r="4" spans="2:13" ht="30" customHeight="1">
      <c r="B4" s="130" t="s">
        <v>97</v>
      </c>
      <c r="C4" s="160">
        <f>IFERROR(INDEX('INFO-OEE'!E17:CL17,
       MATCH(C3, 'INFO-OEE'!E9:CL9, 0)),"")</f>
        <v>0.8</v>
      </c>
      <c r="D4" s="135"/>
      <c r="E4" s="136"/>
      <c r="F4" s="136"/>
      <c r="G4" s="136"/>
      <c r="H4" s="125"/>
      <c r="I4" s="137"/>
      <c r="J4" s="131"/>
      <c r="K4" s="132"/>
      <c r="L4" s="138"/>
      <c r="M4" s="89"/>
    </row>
    <row r="5" spans="2:13" ht="30" customHeight="1">
      <c r="B5" s="139" t="s">
        <v>4</v>
      </c>
      <c r="C5" s="140"/>
      <c r="D5" s="141"/>
      <c r="E5" s="141"/>
      <c r="F5" s="141"/>
      <c r="G5" s="141"/>
      <c r="H5" s="141"/>
      <c r="I5" s="141"/>
      <c r="J5" s="141"/>
      <c r="K5" s="141"/>
      <c r="L5" s="142"/>
    </row>
    <row r="6" spans="2:13" ht="30" customHeight="1">
      <c r="B6" s="143" t="s">
        <v>5</v>
      </c>
      <c r="C6" s="407" t="s">
        <v>205</v>
      </c>
      <c r="D6" s="407"/>
      <c r="E6" s="144" t="s">
        <v>6</v>
      </c>
      <c r="F6" s="407"/>
      <c r="G6" s="407"/>
      <c r="H6" s="141"/>
      <c r="I6" s="141"/>
      <c r="J6" s="141"/>
      <c r="K6" s="30"/>
      <c r="L6" s="145"/>
    </row>
    <row r="7" spans="2:13" ht="30" customHeight="1">
      <c r="B7" s="143" t="s">
        <v>7</v>
      </c>
      <c r="C7" s="407"/>
      <c r="D7" s="407"/>
      <c r="E7" s="144" t="s">
        <v>62</v>
      </c>
      <c r="F7" s="408"/>
      <c r="G7" s="408"/>
      <c r="H7" s="141"/>
      <c r="I7" s="141"/>
      <c r="J7" s="141"/>
      <c r="K7" s="30"/>
      <c r="L7" s="145"/>
    </row>
    <row r="8" spans="2:13" ht="30" customHeight="1" thickBot="1">
      <c r="B8" s="146"/>
      <c r="C8" s="147"/>
      <c r="D8" s="148"/>
      <c r="E8" s="148"/>
      <c r="F8" s="30"/>
      <c r="G8" s="30"/>
      <c r="H8" s="149"/>
      <c r="I8" s="149"/>
      <c r="J8" s="149"/>
      <c r="K8" s="30"/>
      <c r="L8" s="145"/>
    </row>
    <row r="9" spans="2:13" ht="30" customHeight="1" thickBot="1">
      <c r="B9" s="67" t="s">
        <v>9</v>
      </c>
      <c r="C9" s="190" t="s">
        <v>63</v>
      </c>
      <c r="D9" s="190" t="s">
        <v>64</v>
      </c>
      <c r="E9" s="190" t="s">
        <v>65</v>
      </c>
      <c r="F9" s="190" t="s">
        <v>66</v>
      </c>
      <c r="G9" s="190" t="s">
        <v>67</v>
      </c>
      <c r="H9" s="319" t="s">
        <v>68</v>
      </c>
      <c r="I9" s="319"/>
      <c r="J9" s="319"/>
      <c r="K9" s="319"/>
      <c r="L9" s="191" t="s">
        <v>98</v>
      </c>
    </row>
    <row r="10" spans="2:13" ht="30" customHeight="1">
      <c r="B10" s="404" t="s">
        <v>88</v>
      </c>
      <c r="C10" s="405" t="s">
        <v>89</v>
      </c>
      <c r="D10" s="231" t="s">
        <v>124</v>
      </c>
      <c r="E10" s="218"/>
      <c r="F10" s="219" t="str">
        <f>IF(D10="","","kW")</f>
        <v>kW</v>
      </c>
      <c r="G10" s="220">
        <f>IF(D10="","",IFERROR(INDEX('[4]INFO-Consumo'!$F$9:$F$95,
       MATCH(D10, '[4]INFO-Consumo'!$D$9:$D$95, 0)),""))</f>
        <v>1</v>
      </c>
      <c r="H10" s="401"/>
      <c r="I10" s="402"/>
      <c r="J10" s="402"/>
      <c r="K10" s="403"/>
      <c r="L10" s="400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0.30316793172398854</v>
      </c>
    </row>
    <row r="11" spans="2:13" ht="30" customHeight="1">
      <c r="B11" s="392"/>
      <c r="C11" s="393"/>
      <c r="D11" s="221" t="str">
        <f>IF(D10="", "Seleccionar Maquinaria ↑", "Carga Promedio de Uso de " &amp; D10)</f>
        <v>Carga Promedio de Uso de ENGRASADORA AUTOMATICA MS04 ZYJ3H</v>
      </c>
      <c r="E11" s="222"/>
      <c r="F11" s="223" t="str">
        <f>IF(ISERROR(FIND("Seleccionar", D11)), "%", "")</f>
        <v>%</v>
      </c>
      <c r="G11" s="289">
        <f>IF(D10="","",IFERROR(
    INDEX('[4]INFO-Consumo'!I:I,
           MATCH(D10, '[4]INFO-Consumo'!D:D, 0)
    ),
""))</f>
        <v>0.6</v>
      </c>
      <c r="H11" s="384"/>
      <c r="I11" s="384"/>
      <c r="J11" s="384"/>
      <c r="K11" s="384"/>
      <c r="L11" s="399"/>
    </row>
    <row r="12" spans="2:13" ht="30" customHeight="1">
      <c r="B12" s="392"/>
      <c r="C12" s="393"/>
      <c r="D12" s="232" t="s">
        <v>173</v>
      </c>
      <c r="E12" s="222"/>
      <c r="F12" s="223" t="str">
        <f>IF(D12="","","kW")</f>
        <v>kW</v>
      </c>
      <c r="G12" s="224">
        <f>IFERROR(INDEX('[4]INFO-Ponderacion'!$S$9:$S$13,
       MATCH(D12,'[4]INFO-Ponderacion'!$C$9:$C$13, 0)),"")</f>
        <v>2.4095999999999997</v>
      </c>
      <c r="H12" s="286"/>
      <c r="I12" s="287"/>
      <c r="J12" s="287"/>
      <c r="K12" s="288"/>
      <c r="L12" s="399"/>
    </row>
    <row r="13" spans="2:13" ht="30" customHeight="1">
      <c r="B13" s="392"/>
      <c r="C13" s="393"/>
      <c r="D13" s="221" t="str">
        <f>IF(D12="", "Seleccionar Area ↑", "Tarifa Electrica ")</f>
        <v xml:space="preserve">Tarifa Electrica </v>
      </c>
      <c r="E13" s="222"/>
      <c r="F13" s="223" t="str">
        <f>IF(D12="","","$/kWh")</f>
        <v>$/kWh</v>
      </c>
      <c r="G13" s="228">
        <f>IF(D12="","",'INFO-Direc'!$G$9)</f>
        <v>5.2613958629577628E-2</v>
      </c>
      <c r="H13" s="384"/>
      <c r="I13" s="384"/>
      <c r="J13" s="384"/>
      <c r="K13" s="384"/>
      <c r="L13" s="399"/>
    </row>
    <row r="14" spans="2:13" ht="30" customHeight="1">
      <c r="B14" s="392"/>
      <c r="C14" s="393"/>
      <c r="D14" s="229" t="str">
        <f>IF(D12="", "Seleccionar Area ↑", "Costo Electrico Fijo de " &amp; D12)</f>
        <v>Costo Electrico Fijo de Ensamble</v>
      </c>
      <c r="E14" s="222"/>
      <c r="F14" s="223" t="str">
        <f>IF(D12="","","$/h")</f>
        <v>$/h</v>
      </c>
      <c r="G14" s="290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0.14482096183241172</v>
      </c>
      <c r="H14" s="385"/>
      <c r="I14" s="386"/>
      <c r="J14" s="386"/>
      <c r="K14" s="387"/>
      <c r="L14" s="399"/>
    </row>
    <row r="15" spans="2:13" ht="30" customHeight="1">
      <c r="B15" s="389"/>
      <c r="C15" s="391"/>
      <c r="D15" s="229" t="s">
        <v>85</v>
      </c>
      <c r="E15" s="230"/>
      <c r="F15" s="223" t="str">
        <f>IF(D12="","","$/h")</f>
        <v>$/h</v>
      </c>
      <c r="G15" s="233"/>
      <c r="H15" s="385"/>
      <c r="I15" s="386"/>
      <c r="J15" s="386"/>
      <c r="K15" s="387"/>
      <c r="L15" s="398"/>
    </row>
    <row r="16" spans="2:13" ht="30" customHeight="1">
      <c r="B16" s="388" t="s">
        <v>90</v>
      </c>
      <c r="C16" s="394" t="s">
        <v>89</v>
      </c>
      <c r="D16" s="232"/>
      <c r="E16" s="222"/>
      <c r="F16" s="223" t="str">
        <f>IF(D16="","","$/L")</f>
        <v/>
      </c>
      <c r="G16" s="228" t="str">
        <f>IFERROR(INDEX('INFO-Direc'!$G$9:$G$25,
       MATCH(D16, 'INFO-Direc'!$D$9:$D$25, 0)),"")</f>
        <v/>
      </c>
      <c r="H16" s="384"/>
      <c r="I16" s="384"/>
      <c r="J16" s="384"/>
      <c r="K16" s="384"/>
      <c r="L16" s="397" t="str">
        <f>IF(AND(D16="", D18=""), "",
    IFERROR(
        IFERROR(G16*G17,0)
        + IFERROR(G18*G19,0)
        + IFERROR(G20,0),
    "")
)</f>
        <v/>
      </c>
    </row>
    <row r="17" spans="2:12" ht="30" customHeight="1">
      <c r="B17" s="392"/>
      <c r="C17" s="395"/>
      <c r="D17" s="221" t="str">
        <f>IF(D16="", "Seleccionar Lubricante ↑", "Consumo de " &amp; D16)</f>
        <v>Seleccionar Lubricante ↑</v>
      </c>
      <c r="E17" s="222"/>
      <c r="F17" s="223" t="str">
        <f>IF(ISERROR(FIND("Seleccionar", D17)), "L/h", "")</f>
        <v/>
      </c>
      <c r="G17" s="234"/>
      <c r="H17" s="384"/>
      <c r="I17" s="384"/>
      <c r="J17" s="384"/>
      <c r="K17" s="384"/>
      <c r="L17" s="399"/>
    </row>
    <row r="18" spans="2:12" ht="30" customHeight="1">
      <c r="B18" s="392"/>
      <c r="C18" s="395"/>
      <c r="D18" s="232"/>
      <c r="E18" s="222"/>
      <c r="F18" s="223" t="str">
        <f>IF(D18="","","$/L")</f>
        <v/>
      </c>
      <c r="G18" s="228" t="str">
        <f>IFERROR(INDEX('INFO-Direc'!$G$9:$G$25,
       MATCH(D18, 'INFO-Direc'!$D$9:$D$25, 0)),"")</f>
        <v/>
      </c>
      <c r="H18" s="385"/>
      <c r="I18" s="386"/>
      <c r="J18" s="386"/>
      <c r="K18" s="387"/>
      <c r="L18" s="399"/>
    </row>
    <row r="19" spans="2:12" ht="30" customHeight="1">
      <c r="B19" s="392"/>
      <c r="C19" s="395"/>
      <c r="D19" s="221" t="str">
        <f>IF(D18="", "Seleccionar Lubricante ↑", "Consumo de " &amp; D18)</f>
        <v>Seleccionar Lubricante ↑</v>
      </c>
      <c r="E19" s="222"/>
      <c r="F19" s="223" t="str">
        <f>IF(ISERROR(FIND("Seleccionar", D19)), "L/h", "")</f>
        <v/>
      </c>
      <c r="G19" s="234"/>
      <c r="H19" s="385"/>
      <c r="I19" s="386"/>
      <c r="J19" s="386"/>
      <c r="K19" s="387"/>
      <c r="L19" s="399"/>
    </row>
    <row r="20" spans="2:12" ht="30" customHeight="1">
      <c r="B20" s="389"/>
      <c r="C20" s="396"/>
      <c r="D20" s="221" t="s">
        <v>85</v>
      </c>
      <c r="E20" s="222"/>
      <c r="F20" s="223" t="str">
        <f>IF(OR(D16&lt;&gt;"", D18&lt;&gt;""), "$/h", "")</f>
        <v/>
      </c>
      <c r="G20" s="233"/>
      <c r="H20" s="384"/>
      <c r="I20" s="384"/>
      <c r="J20" s="384"/>
      <c r="K20" s="384"/>
      <c r="L20" s="398"/>
    </row>
    <row r="21" spans="2:12" ht="30" customHeight="1">
      <c r="B21" s="388" t="s">
        <v>92</v>
      </c>
      <c r="C21" s="390" t="s">
        <v>89</v>
      </c>
      <c r="D21" s="232" t="s">
        <v>138</v>
      </c>
      <c r="E21" s="222"/>
      <c r="F21" s="223" t="str">
        <f>IF(D21="","","kW")</f>
        <v>kW</v>
      </c>
      <c r="G21" s="228">
        <f>IFERROR(INDEX('INFO-Direc'!$G$9:$G$25,
       MATCH(D21, 'INFO-Direc'!$D$9:$D$25, 0)),"")</f>
        <v>56</v>
      </c>
      <c r="H21" s="385"/>
      <c r="I21" s="386"/>
      <c r="J21" s="386"/>
      <c r="K21" s="387"/>
      <c r="L21" s="397">
        <f>IFERROR(G21*G13*G22+G23+G24,"")</f>
        <v>1.8303340099538083</v>
      </c>
    </row>
    <row r="22" spans="2:12" ht="30" customHeight="1">
      <c r="B22" s="392"/>
      <c r="C22" s="393"/>
      <c r="D22" s="221" t="str">
        <f>IF(D21="", "Seleccionar Compresor ↑", "Carga Promedio de Uso de " &amp; D21)</f>
        <v>Carga Promedio de Uso de Compresor</v>
      </c>
      <c r="E22" s="222"/>
      <c r="F22" s="223" t="str">
        <f>IF(ISERROR(FIND("Seleccionar", D22)), "%", "")</f>
        <v>%</v>
      </c>
      <c r="G22" s="289">
        <f>IF(D21="","",IFERROR(
    INDEX('[4]INFO-Consumo'!I:I,
           MATCH(D21, '[4]INFO-Consumo'!D:D, 0)
    ),
""))</f>
        <v>0.6</v>
      </c>
      <c r="H22" s="384"/>
      <c r="I22" s="384"/>
      <c r="J22" s="384"/>
      <c r="K22" s="384"/>
      <c r="L22" s="399"/>
    </row>
    <row r="23" spans="2:12" ht="30" customHeight="1">
      <c r="B23" s="392"/>
      <c r="C23" s="393"/>
      <c r="D23" s="235" t="str">
        <f>IF(D21="", "Seleccionar Compresor ↑", "Costo de Repuestos " &amp; D21)</f>
        <v>Costo de Repuestos Compresor</v>
      </c>
      <c r="E23" s="222"/>
      <c r="F23" s="223" t="str">
        <f>IF(ISERROR(FIND("Seleccionar", D23)), "$/h", "")</f>
        <v>$/h</v>
      </c>
      <c r="G23" s="236">
        <f>IF(D21="","", SUM(IF(ISNUMBER(FIND("Compresor", 'INFO-Mant'!D9:D26)), 'INFO-Mant'!G9:G26 / 'INFO-Mant'!H9:H26, 0)))</f>
        <v>6.2505000000000005E-2</v>
      </c>
      <c r="H23" s="385"/>
      <c r="I23" s="386"/>
      <c r="J23" s="386"/>
      <c r="K23" s="387"/>
      <c r="L23" s="399"/>
    </row>
    <row r="24" spans="2:12" ht="30" customHeight="1">
      <c r="B24" s="389"/>
      <c r="C24" s="391"/>
      <c r="D24" s="221" t="s">
        <v>85</v>
      </c>
      <c r="E24" s="222"/>
      <c r="F24" s="223" t="str">
        <f>IF(D21="","","$/h")</f>
        <v>$/h</v>
      </c>
      <c r="G24" s="233"/>
      <c r="H24" s="384"/>
      <c r="I24" s="384"/>
      <c r="J24" s="384"/>
      <c r="K24" s="384"/>
      <c r="L24" s="398"/>
    </row>
    <row r="25" spans="2:12" ht="30" customHeight="1">
      <c r="B25" s="388" t="s">
        <v>94</v>
      </c>
      <c r="C25" s="390" t="s">
        <v>89</v>
      </c>
      <c r="D25" s="232"/>
      <c r="E25" s="222"/>
      <c r="F25" s="223" t="str">
        <f>IF(D25="","","$/L")</f>
        <v/>
      </c>
      <c r="G25" s="228" t="str">
        <f>IFERROR(INDEX('INFO-Direc'!$G$9:$G$25,
       MATCH(D25, 'INFO-Direc'!$D$9:$D$25, 0)),"")</f>
        <v/>
      </c>
      <c r="H25" s="384"/>
      <c r="I25" s="384"/>
      <c r="J25" s="384"/>
      <c r="K25" s="384"/>
      <c r="L25" s="381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92"/>
      <c r="C26" s="393"/>
      <c r="D26" s="221" t="str">
        <f>IF(D25="", "Seleccionar Refrigerante ↑", "Consumo de " &amp; D25)</f>
        <v>Seleccionar Refrigerante ↑</v>
      </c>
      <c r="E26" s="222"/>
      <c r="F26" s="223" t="str">
        <f>IF(ISERROR(FIND("Seleccionar", D26)), "L/Año", "")</f>
        <v/>
      </c>
      <c r="G26" s="238"/>
      <c r="H26" s="384"/>
      <c r="I26" s="384"/>
      <c r="J26" s="384"/>
      <c r="K26" s="384"/>
      <c r="L26" s="382"/>
    </row>
    <row r="27" spans="2:12" ht="30" customHeight="1">
      <c r="B27" s="392"/>
      <c r="C27" s="393"/>
      <c r="D27" s="232"/>
      <c r="E27" s="222"/>
      <c r="F27" s="223" t="str">
        <f>IF(D27="","","$/L")</f>
        <v/>
      </c>
      <c r="G27" s="228" t="str">
        <f>IFERROR(INDEX('INFO-Direc'!$G$9:$G$25,
       MATCH(D27, 'INFO-Direc'!$D$9:$D$25, 0)),"")</f>
        <v/>
      </c>
      <c r="H27" s="385"/>
      <c r="I27" s="386"/>
      <c r="J27" s="386"/>
      <c r="K27" s="387"/>
      <c r="L27" s="382"/>
    </row>
    <row r="28" spans="2:12" ht="30" customHeight="1">
      <c r="B28" s="392"/>
      <c r="C28" s="393"/>
      <c r="D28" s="221" t="str">
        <f>IF(D27="", "Seleccionar Refrigerante ↑", "Consumo de " &amp; D27)</f>
        <v>Seleccionar Refrigerante ↑</v>
      </c>
      <c r="E28" s="222"/>
      <c r="F28" s="223" t="str">
        <f>IF(ISERROR(FIND("Seleccionar", D28)), "L/Año", "")</f>
        <v/>
      </c>
      <c r="G28" s="239"/>
      <c r="H28" s="385"/>
      <c r="I28" s="386"/>
      <c r="J28" s="386"/>
      <c r="K28" s="387"/>
      <c r="L28" s="382"/>
    </row>
    <row r="29" spans="2:12" ht="30" customHeight="1">
      <c r="B29" s="389"/>
      <c r="C29" s="391"/>
      <c r="D29" s="221" t="s">
        <v>85</v>
      </c>
      <c r="E29" s="222"/>
      <c r="F29" s="223" t="str">
        <f>IF(OR(D25&lt;&gt;"", D27&lt;&gt;""), "$/h", "")</f>
        <v/>
      </c>
      <c r="G29" s="233"/>
      <c r="H29" s="384"/>
      <c r="I29" s="384"/>
      <c r="J29" s="384"/>
      <c r="K29" s="384"/>
      <c r="L29" s="383"/>
    </row>
    <row r="30" spans="2:12" s="152" customFormat="1" ht="30" customHeight="1">
      <c r="B30" s="388" t="s">
        <v>168</v>
      </c>
      <c r="C30" s="394" t="s">
        <v>89</v>
      </c>
      <c r="D30" s="232"/>
      <c r="E30" s="222"/>
      <c r="F30" s="223" t="str">
        <f>IF(D30="","","$/L")</f>
        <v/>
      </c>
      <c r="G30" s="228" t="str">
        <f>IFERROR(INDEX('INFO-Direc'!$G$9:$G$25,
       MATCH(D30, 'INFO-Direc'!$D$9:$D$25, 0)),"")</f>
        <v/>
      </c>
      <c r="H30" s="384"/>
      <c r="I30" s="384"/>
      <c r="J30" s="384"/>
      <c r="K30" s="384"/>
      <c r="L30" s="381" t="str">
        <f>IF(
    AND(D30="", D32=""),
    "",
    IFERROR(
        IFERROR(G30 / (INDEX('INFO-OEE'!$E$18:$CA$18,
                               MATCH(#REF!, 'INFO-OEE'!$E$9:$CA$9, 0)) * 12), 0)
        * G31
        +
        IFERROR(G32 / (INDEX('INFO-OEE'!$E$18:$CA$18,
                               MATCH(#REF!, 'INFO-OEE'!$E$9:$CA$9, 0)) * 12), 0)
        * G33
        +
        IFERROR(G34, 0),
    "")
)</f>
        <v/>
      </c>
    </row>
    <row r="31" spans="2:12" s="152" customFormat="1" ht="30" customHeight="1">
      <c r="B31" s="392"/>
      <c r="C31" s="395"/>
      <c r="D31" s="221" t="str">
        <f>IF(D30="", "Seleccionar Solvente ↑", "Consumo de " &amp; D30)</f>
        <v>Seleccionar Solvente ↑</v>
      </c>
      <c r="E31" s="222"/>
      <c r="F31" s="223" t="str">
        <f>IF(ISERROR(FIND("Seleccionar", D31)), "L/Año", "")</f>
        <v/>
      </c>
      <c r="G31" s="234"/>
      <c r="H31" s="384"/>
      <c r="I31" s="384"/>
      <c r="J31" s="384"/>
      <c r="K31" s="384"/>
      <c r="L31" s="382"/>
    </row>
    <row r="32" spans="2:12" s="152" customFormat="1" ht="30" customHeight="1">
      <c r="B32" s="392"/>
      <c r="C32" s="395"/>
      <c r="D32" s="232"/>
      <c r="E32" s="222"/>
      <c r="F32" s="223" t="str">
        <f>IF(D32="","","$/L")</f>
        <v/>
      </c>
      <c r="G32" s="228" t="str">
        <f>IFERROR(INDEX('INFO-Direc'!$G$9:$G$25,
       MATCH(D32, 'INFO-Direc'!$D$9:$D$25, 0)),"")</f>
        <v/>
      </c>
      <c r="H32" s="385"/>
      <c r="I32" s="386"/>
      <c r="J32" s="386"/>
      <c r="K32" s="387"/>
      <c r="L32" s="382"/>
    </row>
    <row r="33" spans="2:12" s="152" customFormat="1" ht="30" customHeight="1">
      <c r="B33" s="392"/>
      <c r="C33" s="395"/>
      <c r="D33" s="221" t="str">
        <f>IF(D32="", "Seleccionar Solvente ↑", "Consumo de " &amp; D32)</f>
        <v>Seleccionar Solvente ↑</v>
      </c>
      <c r="E33" s="222"/>
      <c r="F33" s="223" t="str">
        <f>IF(ISERROR(FIND("Seleccionar", D33)), "L/Año", "")</f>
        <v/>
      </c>
      <c r="G33" s="234"/>
      <c r="H33" s="385"/>
      <c r="I33" s="386"/>
      <c r="J33" s="386"/>
      <c r="K33" s="387"/>
      <c r="L33" s="382"/>
    </row>
    <row r="34" spans="2:12" s="152" customFormat="1" ht="30" customHeight="1">
      <c r="B34" s="389"/>
      <c r="C34" s="396"/>
      <c r="D34" s="221" t="s">
        <v>85</v>
      </c>
      <c r="E34" s="222"/>
      <c r="F34" s="223" t="str">
        <f>IF(OR(D30&lt;&gt;"", D32&lt;&gt;""), "$/h", "")</f>
        <v/>
      </c>
      <c r="G34" s="233"/>
      <c r="H34" s="384"/>
      <c r="I34" s="384"/>
      <c r="J34" s="384"/>
      <c r="K34" s="384"/>
      <c r="L34" s="383"/>
    </row>
    <row r="35" spans="2:12" ht="30" customHeight="1">
      <c r="B35" s="388" t="s">
        <v>100</v>
      </c>
      <c r="C35" s="390" t="s">
        <v>89</v>
      </c>
      <c r="D35" s="221" t="str">
        <f>IF(D12="", "Seleccionar Area ↑", "Costo de Operarios")</f>
        <v>Costo de Operarios</v>
      </c>
      <c r="E35" s="222"/>
      <c r="F35" s="223" t="str">
        <f>IF(D12="","","$/mes")</f>
        <v>$/mes</v>
      </c>
      <c r="G35" s="237">
        <f>IF(D12="","",IFERROR(
    INDEX('INFO-Personal'!$E$26:$CA$26,
           MATCH($C$3, 'INFO-Personal'!$E$9:$CA$9, 0)
    ),
""))</f>
        <v>0</v>
      </c>
      <c r="H35" s="384"/>
      <c r="I35" s="384"/>
      <c r="J35" s="384"/>
      <c r="K35" s="384"/>
      <c r="L35" s="397">
        <f>IFERROR(
    (G35 / INDEX('INFO-OEE'!$E$18:$CA$18,
                  MATCH($C$3, 'INFO-OEE'!$E$9:$CA$9, 0)))
    + G36,
"")</f>
        <v>0</v>
      </c>
    </row>
    <row r="36" spans="2:12" ht="30" customHeight="1">
      <c r="B36" s="389"/>
      <c r="C36" s="391"/>
      <c r="D36" s="221" t="s">
        <v>85</v>
      </c>
      <c r="E36" s="222"/>
      <c r="F36" s="223" t="str">
        <f>IF(D12="","","$/h")</f>
        <v>$/h</v>
      </c>
      <c r="G36" s="240"/>
      <c r="H36" s="384"/>
      <c r="I36" s="384"/>
      <c r="J36" s="384"/>
      <c r="K36" s="384"/>
      <c r="L36" s="398"/>
    </row>
    <row r="37" spans="2:12" ht="30" customHeight="1">
      <c r="B37" s="241"/>
      <c r="C37" s="242"/>
      <c r="D37" s="243"/>
      <c r="E37" s="242"/>
      <c r="F37" s="244"/>
      <c r="G37" s="245"/>
      <c r="H37" s="409"/>
      <c r="I37" s="409"/>
      <c r="J37" s="409"/>
      <c r="K37" s="409"/>
      <c r="L37" s="246"/>
    </row>
    <row r="38" spans="2:12" ht="30" customHeight="1">
      <c r="B38" s="388" t="s">
        <v>16</v>
      </c>
      <c r="C38" s="390" t="s">
        <v>69</v>
      </c>
      <c r="D38" s="221" t="str">
        <f>IF(D12="", "Seleccionar Area ↑", "Costo de Supervisores")</f>
        <v>Costo de Supervisores</v>
      </c>
      <c r="E38" s="222"/>
      <c r="F38" s="247" t="str">
        <f>IF(D12="","","$/mes")</f>
        <v>$/mes</v>
      </c>
      <c r="G38" s="237">
        <f>IF(D12="","",IFERROR(
    INDEX('INFO-Personal'!$E$27:$CA$27,
           MATCH($C$3, 'INFO-Personal'!$E$9:$CA$9, 0)
    ),
""))</f>
        <v>0</v>
      </c>
      <c r="H38" s="385"/>
      <c r="I38" s="386"/>
      <c r="J38" s="386"/>
      <c r="K38" s="387"/>
      <c r="L38" s="397">
        <f>IFERROR(
    (G38 / INDEX('INFO-OEE'!$E$18:$CA$18,
                  MATCH($C$3, 'INFO-OEE'!$E$9:$CA$9, 0)))
    + G39,
"")</f>
        <v>0</v>
      </c>
    </row>
    <row r="39" spans="2:12" ht="30" customHeight="1">
      <c r="B39" s="392"/>
      <c r="C39" s="393"/>
      <c r="D39" s="221" t="s">
        <v>85</v>
      </c>
      <c r="E39" s="222"/>
      <c r="F39" s="223" t="str">
        <f>IF(D12="","","$/h")</f>
        <v>$/h</v>
      </c>
      <c r="G39" s="240"/>
      <c r="H39" s="385"/>
      <c r="I39" s="386"/>
      <c r="J39" s="386"/>
      <c r="K39" s="387"/>
      <c r="L39" s="399"/>
    </row>
    <row r="40" spans="2:12" ht="30" customHeight="1">
      <c r="B40" s="388" t="s">
        <v>101</v>
      </c>
      <c r="C40" s="390" t="s">
        <v>69</v>
      </c>
      <c r="D40" s="221" t="str">
        <f>IF(D12="", "Seleccionar Area ↑", "Costo de Mant. Preventivo")</f>
        <v>Costo de Mant. Preventivo</v>
      </c>
      <c r="E40" s="222"/>
      <c r="F40" s="247" t="str">
        <f>IF(D12="","","$/mes")</f>
        <v>$/mes</v>
      </c>
      <c r="G40" s="237">
        <f>IF(D12="","",IFERROR(
    INDEX('INFO-Personal'!$E$28:$CA$28,
           MATCH($C$3, 'INFO-Personal'!$E$9:$CA$9, 0)
    ),
""))</f>
        <v>0</v>
      </c>
      <c r="H40" s="385"/>
      <c r="I40" s="386"/>
      <c r="J40" s="386"/>
      <c r="K40" s="387"/>
      <c r="L40" s="397">
        <f>IF(D12="","",SUM(
    IFERROR((G40+G41) / INDEX('INFO-OEE'!$E$18:$CA$18, MATCH(C3, 'INFO-OEE'!$E$9:$CA$9, 0)), 0),
    IFERROR(G42 / G43, 0),
    IFERROR(G44 / G45, 0),
    IFERROR(G46 / G47, 0),
    IFERROR(G48, 0)
))</f>
        <v>0.25023513374001316</v>
      </c>
    </row>
    <row r="41" spans="2:12" ht="30" customHeight="1">
      <c r="B41" s="392"/>
      <c r="C41" s="393"/>
      <c r="D41" s="221" t="str">
        <f>IF(D12="", "Seleccionar Area ↑", "Costo de Mant. Correctivo")</f>
        <v>Costo de Mant. Correctivo</v>
      </c>
      <c r="E41" s="222"/>
      <c r="F41" s="247" t="str">
        <f>IF(D12="","","$/mes")</f>
        <v>$/mes</v>
      </c>
      <c r="G41" s="237">
        <f>IF(D12="","",IFERROR(
    INDEX('INFO-Personal'!$E$29:$CA$29,
           MATCH($C$3, 'INFO-Personal'!$E$9:$CA$9, 0)
    ),
""))</f>
        <v>35.233106830593854</v>
      </c>
      <c r="H41" s="385"/>
      <c r="I41" s="386"/>
      <c r="J41" s="386"/>
      <c r="K41" s="387"/>
      <c r="L41" s="399"/>
    </row>
    <row r="42" spans="2:12" ht="30" customHeight="1">
      <c r="B42" s="392"/>
      <c r="C42" s="393"/>
      <c r="D42" s="232"/>
      <c r="E42" s="222"/>
      <c r="F42" s="223" t="str">
        <f>IF(D42="","","$/u")</f>
        <v/>
      </c>
      <c r="G42" s="237" t="str">
        <f>IFERROR(INDEX('INFO-Mant'!$G$9:$G$26,
       MATCH(D42, 'INFO-Mant'!$D$9:$D$26, 0)),"")</f>
        <v/>
      </c>
      <c r="H42" s="385"/>
      <c r="I42" s="386"/>
      <c r="J42" s="386"/>
      <c r="K42" s="387"/>
      <c r="L42" s="399"/>
    </row>
    <row r="43" spans="2:12" ht="30" customHeight="1">
      <c r="B43" s="392"/>
      <c r="C43" s="393"/>
      <c r="D43" s="221" t="str">
        <f>IF(D42="", "Seleccionar Repuesto ↑", "Vida Util de " &amp; D42)</f>
        <v>Seleccionar Repuesto ↑</v>
      </c>
      <c r="E43" s="222"/>
      <c r="F43" s="223" t="str">
        <f>IF(ISERROR(FIND("Seleccionar", D43)), "Horas/u", "")</f>
        <v/>
      </c>
      <c r="G43" s="238"/>
      <c r="H43" s="385"/>
      <c r="I43" s="386"/>
      <c r="J43" s="386"/>
      <c r="K43" s="387"/>
      <c r="L43" s="399"/>
    </row>
    <row r="44" spans="2:12" ht="30" customHeight="1">
      <c r="B44" s="392"/>
      <c r="C44" s="393"/>
      <c r="D44" s="232"/>
      <c r="E44" s="222"/>
      <c r="F44" s="223" t="str">
        <f>IF(D44="","","$/u")</f>
        <v/>
      </c>
      <c r="G44" s="237" t="str">
        <f>IFERROR(INDEX('INFO-Mant'!$G$9:$G$26,
       MATCH(D44, 'INFO-Mant'!$D$9:$D$26, 0)),"")</f>
        <v/>
      </c>
      <c r="H44" s="385"/>
      <c r="I44" s="386"/>
      <c r="J44" s="386"/>
      <c r="K44" s="387"/>
      <c r="L44" s="399"/>
    </row>
    <row r="45" spans="2:12" ht="30" customHeight="1">
      <c r="B45" s="392"/>
      <c r="C45" s="393"/>
      <c r="D45" s="221" t="str">
        <f>IF(D44="", "Seleccionar Repuesto ↑", "Vida Util de " &amp; D44)</f>
        <v>Seleccionar Repuesto ↑</v>
      </c>
      <c r="E45" s="222"/>
      <c r="F45" s="223" t="str">
        <f>IF(ISERROR(FIND("Seleccionar", D45)), "Horas/u", "")</f>
        <v/>
      </c>
      <c r="G45" s="238"/>
      <c r="H45" s="385"/>
      <c r="I45" s="386"/>
      <c r="J45" s="386"/>
      <c r="K45" s="387"/>
      <c r="L45" s="399"/>
    </row>
    <row r="46" spans="2:12" ht="30" customHeight="1">
      <c r="B46" s="392"/>
      <c r="C46" s="393"/>
      <c r="D46" s="232"/>
      <c r="E46" s="222"/>
      <c r="F46" s="223" t="str">
        <f>IF(D46="","","$/u")</f>
        <v/>
      </c>
      <c r="G46" s="237" t="str">
        <f>IFERROR(INDEX('INFO-Mant'!$G$9:$G$26,
       MATCH(D46, 'INFO-Mant'!$D$9:$D$26, 0)),"")</f>
        <v/>
      </c>
      <c r="H46" s="385"/>
      <c r="I46" s="386"/>
      <c r="J46" s="386"/>
      <c r="K46" s="387"/>
      <c r="L46" s="399"/>
    </row>
    <row r="47" spans="2:12" ht="33.75" customHeight="1">
      <c r="B47" s="392"/>
      <c r="C47" s="393"/>
      <c r="D47" s="221" t="str">
        <f>IF(D46="", "Seleccionar Repuesto ↑", "Vida Util de " &amp; D46)</f>
        <v>Seleccionar Repuesto ↑</v>
      </c>
      <c r="E47" s="222"/>
      <c r="F47" s="223" t="str">
        <f>IF(ISERROR(FIND("Seleccionar", D47)), "Horas/u", "")</f>
        <v/>
      </c>
      <c r="G47" s="240"/>
      <c r="H47" s="385"/>
      <c r="I47" s="386"/>
      <c r="J47" s="386"/>
      <c r="K47" s="387"/>
      <c r="L47" s="399"/>
    </row>
    <row r="48" spans="2:12" ht="30" customHeight="1">
      <c r="B48" s="389"/>
      <c r="C48" s="391"/>
      <c r="D48" s="221" t="s">
        <v>85</v>
      </c>
      <c r="E48" s="222"/>
      <c r="F48" s="223" t="str">
        <f>IF(D12="","","$/h")</f>
        <v>$/h</v>
      </c>
      <c r="G48" s="240"/>
      <c r="H48" s="385"/>
      <c r="I48" s="386"/>
      <c r="J48" s="386"/>
      <c r="K48" s="387"/>
      <c r="L48" s="398"/>
    </row>
    <row r="49" spans="2:12" ht="30" customHeight="1">
      <c r="B49" s="248"/>
      <c r="C49" s="249"/>
      <c r="D49" s="250"/>
      <c r="E49" s="249"/>
      <c r="F49" s="251"/>
      <c r="G49" s="252"/>
      <c r="H49" s="249"/>
      <c r="I49" s="249"/>
      <c r="J49" s="249"/>
      <c r="K49" s="249"/>
      <c r="L49" s="253"/>
    </row>
    <row r="50" spans="2:12" ht="30" customHeight="1">
      <c r="B50" s="388" t="s">
        <v>102</v>
      </c>
      <c r="C50" s="394" t="s">
        <v>103</v>
      </c>
      <c r="D50" s="232"/>
      <c r="E50" s="222"/>
      <c r="F50" s="223" t="str">
        <f>IF(D50="","","$/h")</f>
        <v/>
      </c>
      <c r="G50" s="23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410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410"/>
      <c r="J50" s="410"/>
      <c r="K50" s="410"/>
      <c r="L50" s="255" t="str">
        <f ca="1">G50</f>
        <v/>
      </c>
    </row>
    <row r="51" spans="2:12" ht="30" customHeight="1">
      <c r="B51" s="392"/>
      <c r="C51" s="395"/>
      <c r="D51" s="232"/>
      <c r="E51" s="254"/>
      <c r="F51" s="223" t="str">
        <f>IF(D51="","","$/h")</f>
        <v/>
      </c>
      <c r="G51" s="23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410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410"/>
      <c r="J51" s="410"/>
      <c r="K51" s="410"/>
      <c r="L51" s="255" t="str">
        <f ca="1">G51</f>
        <v/>
      </c>
    </row>
    <row r="52" spans="2:12" ht="30" customHeight="1">
      <c r="B52" s="392"/>
      <c r="C52" s="395"/>
      <c r="D52" s="232"/>
      <c r="E52" s="222"/>
      <c r="F52" s="223" t="str">
        <f t="shared" ref="F52:F54" si="0">IF(D52="","","$/h")</f>
        <v/>
      </c>
      <c r="G52" s="23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410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410"/>
      <c r="J52" s="410"/>
      <c r="K52" s="410"/>
      <c r="L52" s="255" t="str">
        <f ca="1">G52</f>
        <v/>
      </c>
    </row>
    <row r="53" spans="2:12" ht="30" customHeight="1">
      <c r="B53" s="392"/>
      <c r="C53" s="395"/>
      <c r="D53" s="232"/>
      <c r="E53" s="222"/>
      <c r="F53" s="223" t="str">
        <f t="shared" si="0"/>
        <v/>
      </c>
      <c r="G53" s="23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410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410"/>
      <c r="J53" s="410"/>
      <c r="K53" s="410"/>
      <c r="L53" s="255" t="str">
        <f ca="1">G53</f>
        <v/>
      </c>
    </row>
    <row r="54" spans="2:12" ht="30" customHeight="1">
      <c r="B54" s="389"/>
      <c r="C54" s="396"/>
      <c r="D54" s="232"/>
      <c r="E54" s="222"/>
      <c r="F54" s="223" t="str">
        <f t="shared" si="0"/>
        <v/>
      </c>
      <c r="G54" s="23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410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410"/>
      <c r="J54" s="410"/>
      <c r="K54" s="410"/>
      <c r="L54" s="255" t="str">
        <f ca="1">G54</f>
        <v/>
      </c>
    </row>
    <row r="55" spans="2:12" ht="30" customHeight="1">
      <c r="B55" s="146"/>
      <c r="C55" s="147"/>
      <c r="D55" s="411"/>
      <c r="E55" s="411"/>
      <c r="F55" s="30"/>
      <c r="G55" s="30"/>
      <c r="H55" s="149"/>
      <c r="I55" s="149"/>
      <c r="J55" s="149"/>
      <c r="K55" s="30"/>
      <c r="L55" s="145"/>
    </row>
    <row r="56" spans="2:12" ht="30" customHeight="1" thickBot="1">
      <c r="B56" s="153" t="s">
        <v>39</v>
      </c>
      <c r="C56" s="330" t="s">
        <v>176</v>
      </c>
      <c r="D56" s="330"/>
      <c r="E56" s="154" t="s">
        <v>23</v>
      </c>
      <c r="F56" s="368"/>
      <c r="G56" s="368"/>
      <c r="H56" s="141"/>
      <c r="I56" s="141"/>
      <c r="J56" s="141"/>
      <c r="K56" s="256"/>
      <c r="L56" s="257"/>
    </row>
    <row r="57" spans="2:12" ht="30" customHeight="1" thickBot="1">
      <c r="B57" s="155"/>
      <c r="C57" s="156"/>
      <c r="D57" s="156"/>
      <c r="E57" s="156"/>
      <c r="F57" s="378"/>
      <c r="G57" s="378"/>
      <c r="H57" s="157"/>
      <c r="I57" s="157"/>
      <c r="J57" s="157"/>
      <c r="K57" s="258" t="s">
        <v>106</v>
      </c>
      <c r="L57" s="259">
        <f ca="1">IFERROR(SUM(L19:L54),"")</f>
        <v>2.0805691436938214</v>
      </c>
    </row>
    <row r="59" spans="2:12" ht="30" customHeight="1">
      <c r="C59" s="117"/>
    </row>
  </sheetData>
  <sheetProtection algorithmName="SHA-512" hashValue="F0ES8cT85ap+USWDQaKULMViCkWvdhtcZzMZhkyCJ0HUFJqbHPH6yNOD973MIYx3AVfsPOn6nVxxRbSHVD4aNQ==" saltValue="GPNvj+44NwcBLMWSDdWUeA==" spinCount="100000" sheet="1" objects="1" scenarios="1" selectLockedCells="1"/>
  <mergeCells count="80">
    <mergeCell ref="F57:G57"/>
    <mergeCell ref="B50:B54"/>
    <mergeCell ref="C50:C54"/>
    <mergeCell ref="H53:K53"/>
    <mergeCell ref="H54:K54"/>
    <mergeCell ref="D55:E55"/>
    <mergeCell ref="C56:D56"/>
    <mergeCell ref="F56:G56"/>
    <mergeCell ref="B38:B39"/>
    <mergeCell ref="C38:C39"/>
    <mergeCell ref="H50:K50"/>
    <mergeCell ref="H51:K51"/>
    <mergeCell ref="H52:K52"/>
    <mergeCell ref="B40:B48"/>
    <mergeCell ref="C40:C48"/>
    <mergeCell ref="H39:K39"/>
    <mergeCell ref="H40:K40"/>
    <mergeCell ref="H41:K41"/>
    <mergeCell ref="H42:K42"/>
    <mergeCell ref="H37:K37"/>
    <mergeCell ref="H38:K38"/>
    <mergeCell ref="L40:L48"/>
    <mergeCell ref="H44:K44"/>
    <mergeCell ref="H45:K45"/>
    <mergeCell ref="H46:K46"/>
    <mergeCell ref="H47:K47"/>
    <mergeCell ref="H48:K48"/>
    <mergeCell ref="H43:K43"/>
    <mergeCell ref="L38:L39"/>
    <mergeCell ref="C3:D3"/>
    <mergeCell ref="F3:G3"/>
    <mergeCell ref="C6:D6"/>
    <mergeCell ref="F6:G6"/>
    <mergeCell ref="C7:D7"/>
    <mergeCell ref="F7:G7"/>
    <mergeCell ref="H9:K9"/>
    <mergeCell ref="H10:K10"/>
    <mergeCell ref="H11:K11"/>
    <mergeCell ref="B10:B15"/>
    <mergeCell ref="C10:C15"/>
    <mergeCell ref="L10:L15"/>
    <mergeCell ref="H13:K13"/>
    <mergeCell ref="H15:K15"/>
    <mergeCell ref="H16:K16"/>
    <mergeCell ref="H17:K17"/>
    <mergeCell ref="H14:K14"/>
    <mergeCell ref="B16:B20"/>
    <mergeCell ref="C16:C20"/>
    <mergeCell ref="B21:B24"/>
    <mergeCell ref="C21:C24"/>
    <mergeCell ref="L16:L20"/>
    <mergeCell ref="H20:K20"/>
    <mergeCell ref="H18:K18"/>
    <mergeCell ref="H19:K19"/>
    <mergeCell ref="L21:L24"/>
    <mergeCell ref="H23:K23"/>
    <mergeCell ref="H24:K24"/>
    <mergeCell ref="H21:K21"/>
    <mergeCell ref="H22:K22"/>
    <mergeCell ref="H35:K35"/>
    <mergeCell ref="H36:K36"/>
    <mergeCell ref="L30:L34"/>
    <mergeCell ref="H34:K34"/>
    <mergeCell ref="L35:L36"/>
    <mergeCell ref="H33:K33"/>
    <mergeCell ref="H30:K30"/>
    <mergeCell ref="H31:K31"/>
    <mergeCell ref="H32:K32"/>
    <mergeCell ref="B35:B36"/>
    <mergeCell ref="C35:C36"/>
    <mergeCell ref="B25:B29"/>
    <mergeCell ref="C25:C29"/>
    <mergeCell ref="B30:B34"/>
    <mergeCell ref="C30:C34"/>
    <mergeCell ref="L25:L29"/>
    <mergeCell ref="H29:K29"/>
    <mergeCell ref="H28:K28"/>
    <mergeCell ref="H25:K25"/>
    <mergeCell ref="H26:K26"/>
    <mergeCell ref="H27:K27"/>
  </mergeCells>
  <dataValidations count="9">
    <dataValidation allowBlank="1" showInputMessage="1" showErrorMessage="1" prompt="Escriba comentarios en las celdas de la derecha." sqref="C59"/>
    <dataValidation type="list" allowBlank="1" showInputMessage="1" showErrorMessage="1" sqref="D51:D54">
      <formula1>Herramientas_Ensamble</formula1>
    </dataValidation>
    <dataValidation type="list" allowBlank="1" showInputMessage="1" showErrorMessage="1" sqref="D12">
      <formula1>Areas_Ensamble</formula1>
    </dataValidation>
    <dataValidation type="list" allowBlank="1" showInputMessage="1" showErrorMessage="1" sqref="D16 D18">
      <formula1>Lubricantes_Ensamble</formula1>
    </dataValidation>
    <dataValidation type="list" allowBlank="1" showInputMessage="1" showErrorMessage="1" sqref="D21">
      <formula1>AireComprimido_Ensamble</formula1>
    </dataValidation>
    <dataValidation type="list" allowBlank="1" showInputMessage="1" showErrorMessage="1" sqref="D25 D27">
      <formula1>Refrigerantes_Ensamble</formula1>
    </dataValidation>
    <dataValidation type="list" allowBlank="1" showInputMessage="1" showErrorMessage="1" sqref="D30 D32">
      <formula1>Solvente_Ensamble</formula1>
    </dataValidation>
    <dataValidation type="list" allowBlank="1" showInputMessage="1" showErrorMessage="1" sqref="D42 D44 D46">
      <formula1>Repuestos_Ensamble</formula1>
    </dataValidation>
    <dataValidation type="list" allowBlank="1" showInputMessage="1" showErrorMessage="1" sqref="D10 D50">
      <formula1>Maquinaria_Ensamble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54</xdr:row>
                    <xdr:rowOff>333375</xdr:rowOff>
                  </from>
                  <to>
                    <xdr:col>1</xdr:col>
                    <xdr:colOff>1762125</xdr:colOff>
                    <xdr:row>55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3">
    <tabColor rgb="FF0070C0"/>
    <pageSetUpPr autoPageBreaks="0" fitToPage="1"/>
  </sheetPr>
  <dimension ref="B1:M59"/>
  <sheetViews>
    <sheetView showGridLines="0" zoomScale="80" zoomScaleNormal="80" workbookViewId="0">
      <selection activeCell="C6" sqref="C6:D6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3.140625" style="80" bestFit="1" customWidth="1"/>
    <col min="5" max="5" width="20.5703125" style="80" customWidth="1"/>
    <col min="6" max="6" width="16.5703125" style="80" bestFit="1" customWidth="1"/>
    <col min="7" max="7" width="19.7109375" style="80" bestFit="1" customWidth="1"/>
    <col min="8" max="8" width="15.28515625" style="80" customWidth="1"/>
    <col min="9" max="10" width="17" style="80" customWidth="1"/>
    <col min="11" max="11" width="28.42578125" style="80" customWidth="1"/>
    <col min="12" max="12" width="20.7109375" style="80" customWidth="1"/>
    <col min="13" max="13" width="2.7109375" style="80" customWidth="1"/>
    <col min="14" max="16384" width="9.140625" style="80"/>
  </cols>
  <sheetData>
    <row r="1" spans="2:13" ht="12" customHeight="1" thickBot="1"/>
    <row r="2" spans="2:13" ht="30" customHeight="1">
      <c r="B2" s="126" t="s">
        <v>95</v>
      </c>
      <c r="C2" s="127"/>
      <c r="D2" s="128"/>
      <c r="E2" s="128"/>
      <c r="F2" s="128"/>
      <c r="G2" s="128"/>
      <c r="H2" s="128"/>
      <c r="I2" s="128"/>
      <c r="J2" s="128"/>
      <c r="K2" s="128"/>
      <c r="L2" s="129"/>
    </row>
    <row r="3" spans="2:13" ht="30" customHeight="1">
      <c r="B3" s="130" t="s">
        <v>96</v>
      </c>
      <c r="C3" s="406" t="s">
        <v>125</v>
      </c>
      <c r="D3" s="406"/>
      <c r="E3" s="125" t="s">
        <v>3</v>
      </c>
      <c r="F3" s="356">
        <f ca="1">TODAY()</f>
        <v>46020</v>
      </c>
      <c r="G3" s="356"/>
      <c r="H3" s="125" t="s">
        <v>61</v>
      </c>
      <c r="I3" s="162">
        <f>'INFO-Direc'!H3</f>
        <v>1445</v>
      </c>
      <c r="J3" s="131"/>
      <c r="K3" s="132"/>
      <c r="L3" s="133"/>
      <c r="M3" s="134"/>
    </row>
    <row r="4" spans="2:13" ht="30" customHeight="1">
      <c r="B4" s="130" t="s">
        <v>97</v>
      </c>
      <c r="C4" s="160">
        <f>IFERROR(INDEX('INFO-OEE'!E17:CL17,
       MATCH(C3, 'INFO-OEE'!E9:CL9, 0)),"")</f>
        <v>0.8</v>
      </c>
      <c r="D4" s="135"/>
      <c r="E4" s="136"/>
      <c r="F4" s="136"/>
      <c r="G4" s="136"/>
      <c r="H4" s="125"/>
      <c r="I4" s="137"/>
      <c r="J4" s="131"/>
      <c r="K4" s="132"/>
      <c r="L4" s="138"/>
      <c r="M4" s="89"/>
    </row>
    <row r="5" spans="2:13" ht="30" customHeight="1">
      <c r="B5" s="139" t="s">
        <v>4</v>
      </c>
      <c r="C5" s="140"/>
      <c r="D5" s="141"/>
      <c r="E5" s="141"/>
      <c r="F5" s="141"/>
      <c r="G5" s="141"/>
      <c r="H5" s="141"/>
      <c r="I5" s="141"/>
      <c r="J5" s="141"/>
      <c r="K5" s="141"/>
      <c r="L5" s="142"/>
    </row>
    <row r="6" spans="2:13" ht="30" customHeight="1">
      <c r="B6" s="143" t="s">
        <v>5</v>
      </c>
      <c r="C6" s="407" t="s">
        <v>205</v>
      </c>
      <c r="D6" s="407"/>
      <c r="E6" s="144" t="s">
        <v>6</v>
      </c>
      <c r="F6" s="407"/>
      <c r="G6" s="407"/>
      <c r="H6" s="141"/>
      <c r="I6" s="141"/>
      <c r="J6" s="141"/>
      <c r="K6" s="30"/>
      <c r="L6" s="145"/>
    </row>
    <row r="7" spans="2:13" ht="30" customHeight="1">
      <c r="B7" s="143" t="s">
        <v>7</v>
      </c>
      <c r="C7" s="407"/>
      <c r="D7" s="407"/>
      <c r="E7" s="144" t="s">
        <v>62</v>
      </c>
      <c r="F7" s="408"/>
      <c r="G7" s="408"/>
      <c r="H7" s="141"/>
      <c r="I7" s="141"/>
      <c r="J7" s="141"/>
      <c r="K7" s="30"/>
      <c r="L7" s="145"/>
    </row>
    <row r="8" spans="2:13" ht="30" customHeight="1" thickBot="1">
      <c r="B8" s="146"/>
      <c r="C8" s="147"/>
      <c r="D8" s="148"/>
      <c r="E8" s="148"/>
      <c r="F8" s="30"/>
      <c r="G8" s="30"/>
      <c r="H8" s="149"/>
      <c r="I8" s="149"/>
      <c r="J8" s="149"/>
      <c r="K8" s="30"/>
      <c r="L8" s="145"/>
    </row>
    <row r="9" spans="2:13" ht="30" customHeight="1" thickBot="1">
      <c r="B9" s="67" t="s">
        <v>9</v>
      </c>
      <c r="C9" s="190" t="s">
        <v>63</v>
      </c>
      <c r="D9" s="190" t="s">
        <v>64</v>
      </c>
      <c r="E9" s="190" t="s">
        <v>65</v>
      </c>
      <c r="F9" s="190" t="s">
        <v>66</v>
      </c>
      <c r="G9" s="190" t="s">
        <v>67</v>
      </c>
      <c r="H9" s="319" t="s">
        <v>68</v>
      </c>
      <c r="I9" s="319"/>
      <c r="J9" s="319"/>
      <c r="K9" s="319"/>
      <c r="L9" s="191" t="s">
        <v>98</v>
      </c>
    </row>
    <row r="10" spans="2:13" ht="30" customHeight="1">
      <c r="B10" s="404" t="s">
        <v>88</v>
      </c>
      <c r="C10" s="405" t="s">
        <v>89</v>
      </c>
      <c r="D10" s="231" t="s">
        <v>125</v>
      </c>
      <c r="E10" s="218"/>
      <c r="F10" s="219" t="str">
        <f>IF(D10="","","kW")</f>
        <v>kW</v>
      </c>
      <c r="G10" s="220">
        <f>IF(D10="","",IFERROR(INDEX('[4]INFO-Consumo'!$F$9:$F$95,
       MATCH(D10, '[4]INFO-Consumo'!$D$9:$D$95, 0)),""))</f>
        <v>1</v>
      </c>
      <c r="H10" s="401"/>
      <c r="I10" s="402"/>
      <c r="J10" s="402"/>
      <c r="K10" s="403"/>
      <c r="L10" s="400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0.30316793172398854</v>
      </c>
    </row>
    <row r="11" spans="2:13" ht="30" customHeight="1">
      <c r="B11" s="392"/>
      <c r="C11" s="393"/>
      <c r="D11" s="221" t="str">
        <f>IF(D10="", "Seleccionar Maquinaria ↑", "Carga Promedio de Uso de " &amp; D10)</f>
        <v>Carga Promedio de Uso de LASER CHICO 30</v>
      </c>
      <c r="E11" s="222"/>
      <c r="F11" s="223" t="str">
        <f>IF(ISERROR(FIND("Seleccionar", D11)), "%", "")</f>
        <v>%</v>
      </c>
      <c r="G11" s="289">
        <f>IF(D10="","",IFERROR(
    INDEX('[4]INFO-Consumo'!I:I,
           MATCH(D10, '[4]INFO-Consumo'!D:D, 0)
    ),
""))</f>
        <v>0.6</v>
      </c>
      <c r="H11" s="384"/>
      <c r="I11" s="384"/>
      <c r="J11" s="384"/>
      <c r="K11" s="384"/>
      <c r="L11" s="399"/>
    </row>
    <row r="12" spans="2:13" ht="30" customHeight="1">
      <c r="B12" s="392"/>
      <c r="C12" s="393"/>
      <c r="D12" s="232" t="s">
        <v>173</v>
      </c>
      <c r="E12" s="222"/>
      <c r="F12" s="223" t="str">
        <f>IF(D12="","","kW")</f>
        <v>kW</v>
      </c>
      <c r="G12" s="224">
        <f>IFERROR(INDEX('[4]INFO-Ponderacion'!$S$9:$S$13,
       MATCH(D12,'[4]INFO-Ponderacion'!$C$9:$C$13, 0)),"")</f>
        <v>2.4095999999999997</v>
      </c>
      <c r="H12" s="286"/>
      <c r="I12" s="287"/>
      <c r="J12" s="287"/>
      <c r="K12" s="288"/>
      <c r="L12" s="399"/>
    </row>
    <row r="13" spans="2:13" ht="30" customHeight="1">
      <c r="B13" s="392"/>
      <c r="C13" s="393"/>
      <c r="D13" s="221" t="str">
        <f>IF(D12="", "Seleccionar Area ↑", "Tarifa Electrica ")</f>
        <v xml:space="preserve">Tarifa Electrica </v>
      </c>
      <c r="E13" s="222"/>
      <c r="F13" s="223" t="str">
        <f>IF(D12="","","$/kWh")</f>
        <v>$/kWh</v>
      </c>
      <c r="G13" s="228">
        <f>IF(D12="","",'INFO-Direc'!$G$9)</f>
        <v>5.2613958629577628E-2</v>
      </c>
      <c r="H13" s="384"/>
      <c r="I13" s="384"/>
      <c r="J13" s="384"/>
      <c r="K13" s="384"/>
      <c r="L13" s="399"/>
    </row>
    <row r="14" spans="2:13" ht="30" customHeight="1">
      <c r="B14" s="392"/>
      <c r="C14" s="393"/>
      <c r="D14" s="229" t="str">
        <f>IF(D12="", "Seleccionar Area ↑", "Costo Electrico Fijo de " &amp; D12)</f>
        <v>Costo Electrico Fijo de Ensamble</v>
      </c>
      <c r="E14" s="222"/>
      <c r="F14" s="223" t="str">
        <f>IF(D12="","","$/h")</f>
        <v>$/h</v>
      </c>
      <c r="G14" s="290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0.14482096183241172</v>
      </c>
      <c r="H14" s="385"/>
      <c r="I14" s="386"/>
      <c r="J14" s="386"/>
      <c r="K14" s="387"/>
      <c r="L14" s="399"/>
    </row>
    <row r="15" spans="2:13" ht="30" customHeight="1">
      <c r="B15" s="389"/>
      <c r="C15" s="391"/>
      <c r="D15" s="229" t="s">
        <v>85</v>
      </c>
      <c r="E15" s="230"/>
      <c r="F15" s="223" t="str">
        <f>IF(D12="","","$/h")</f>
        <v>$/h</v>
      </c>
      <c r="G15" s="233"/>
      <c r="H15" s="385"/>
      <c r="I15" s="386"/>
      <c r="J15" s="386"/>
      <c r="K15" s="387"/>
      <c r="L15" s="398"/>
    </row>
    <row r="16" spans="2:13" ht="30" customHeight="1">
      <c r="B16" s="388" t="s">
        <v>90</v>
      </c>
      <c r="C16" s="394" t="s">
        <v>89</v>
      </c>
      <c r="D16" s="232"/>
      <c r="E16" s="222"/>
      <c r="F16" s="223" t="str">
        <f>IF(D16="","","$/L")</f>
        <v/>
      </c>
      <c r="G16" s="228" t="str">
        <f>IFERROR(INDEX('INFO-Direc'!$G$9:$G$25,
       MATCH(D16, 'INFO-Direc'!$D$9:$D$25, 0)),"")</f>
        <v/>
      </c>
      <c r="H16" s="384"/>
      <c r="I16" s="384"/>
      <c r="J16" s="384"/>
      <c r="K16" s="384"/>
      <c r="L16" s="397" t="str">
        <f>IF(AND(D16="", D18=""), "",
    IFERROR(
        IFERROR(G16*G17,0)
        + IFERROR(G18*G19,0)
        + IFERROR(G20,0),
    "")
)</f>
        <v/>
      </c>
    </row>
    <row r="17" spans="2:12" ht="30" customHeight="1">
      <c r="B17" s="392"/>
      <c r="C17" s="395"/>
      <c r="D17" s="221" t="str">
        <f>IF(D16="", "Seleccionar Lubricante ↑", "Consumo de " &amp; D16)</f>
        <v>Seleccionar Lubricante ↑</v>
      </c>
      <c r="E17" s="222"/>
      <c r="F17" s="223" t="str">
        <f>IF(ISERROR(FIND("Seleccionar", D17)), "L/h", "")</f>
        <v/>
      </c>
      <c r="G17" s="234"/>
      <c r="H17" s="384"/>
      <c r="I17" s="384"/>
      <c r="J17" s="384"/>
      <c r="K17" s="384"/>
      <c r="L17" s="399"/>
    </row>
    <row r="18" spans="2:12" ht="30" customHeight="1">
      <c r="B18" s="392"/>
      <c r="C18" s="395"/>
      <c r="D18" s="232"/>
      <c r="E18" s="222"/>
      <c r="F18" s="223" t="str">
        <f>IF(D18="","","$/L")</f>
        <v/>
      </c>
      <c r="G18" s="228" t="str">
        <f>IFERROR(INDEX('INFO-Direc'!$G$9:$G$25,
       MATCH(D18, 'INFO-Direc'!$D$9:$D$25, 0)),"")</f>
        <v/>
      </c>
      <c r="H18" s="385"/>
      <c r="I18" s="386"/>
      <c r="J18" s="386"/>
      <c r="K18" s="387"/>
      <c r="L18" s="399"/>
    </row>
    <row r="19" spans="2:12" ht="30" customHeight="1">
      <c r="B19" s="392"/>
      <c r="C19" s="395"/>
      <c r="D19" s="221" t="str">
        <f>IF(D18="", "Seleccionar Lubricante ↑", "Consumo de " &amp; D18)</f>
        <v>Seleccionar Lubricante ↑</v>
      </c>
      <c r="E19" s="222"/>
      <c r="F19" s="223" t="str">
        <f>IF(ISERROR(FIND("Seleccionar", D19)), "L/h", "")</f>
        <v/>
      </c>
      <c r="G19" s="234"/>
      <c r="H19" s="385"/>
      <c r="I19" s="386"/>
      <c r="J19" s="386"/>
      <c r="K19" s="387"/>
      <c r="L19" s="399"/>
    </row>
    <row r="20" spans="2:12" ht="30" customHeight="1">
      <c r="B20" s="389"/>
      <c r="C20" s="396"/>
      <c r="D20" s="221" t="s">
        <v>85</v>
      </c>
      <c r="E20" s="222"/>
      <c r="F20" s="223" t="str">
        <f>IF(OR(D16&lt;&gt;"", D18&lt;&gt;""), "$/h", "")</f>
        <v/>
      </c>
      <c r="G20" s="233"/>
      <c r="H20" s="384"/>
      <c r="I20" s="384"/>
      <c r="J20" s="384"/>
      <c r="K20" s="384"/>
      <c r="L20" s="398"/>
    </row>
    <row r="21" spans="2:12" ht="30" customHeight="1">
      <c r="B21" s="388" t="s">
        <v>92</v>
      </c>
      <c r="C21" s="390" t="s">
        <v>89</v>
      </c>
      <c r="D21" s="232"/>
      <c r="E21" s="222"/>
      <c r="F21" s="223" t="str">
        <f>IF(D21="","","kW")</f>
        <v/>
      </c>
      <c r="G21" s="228" t="str">
        <f>IFERROR(INDEX('INFO-Direc'!$G$9:$G$25,
       MATCH(D21, 'INFO-Direc'!$D$9:$D$25, 0)),"")</f>
        <v/>
      </c>
      <c r="H21" s="385"/>
      <c r="I21" s="386"/>
      <c r="J21" s="386"/>
      <c r="K21" s="387"/>
      <c r="L21" s="397" t="str">
        <f>IFERROR(G21*G13*G22+G23+G24,"")</f>
        <v/>
      </c>
    </row>
    <row r="22" spans="2:12" ht="30" customHeight="1">
      <c r="B22" s="392"/>
      <c r="C22" s="393"/>
      <c r="D22" s="221" t="str">
        <f>IF(D21="", "Seleccionar Compresor ↑", "Carga Promedio de Uso de " &amp; D21)</f>
        <v>Seleccionar Compresor ↑</v>
      </c>
      <c r="E22" s="222"/>
      <c r="F22" s="223" t="str">
        <f>IF(ISERROR(FIND("Seleccionar", D22)), "%", "")</f>
        <v/>
      </c>
      <c r="G22" s="289" t="str">
        <f>IF(D21="","",IFERROR(
    INDEX('[4]INFO-Consumo'!I:I,
           MATCH(D21, '[4]INFO-Consumo'!D:D, 0)
    ),
""))</f>
        <v/>
      </c>
      <c r="H22" s="384"/>
      <c r="I22" s="384"/>
      <c r="J22" s="384"/>
      <c r="K22" s="384"/>
      <c r="L22" s="399"/>
    </row>
    <row r="23" spans="2:12" ht="30" customHeight="1">
      <c r="B23" s="392"/>
      <c r="C23" s="393"/>
      <c r="D23" s="235" t="str">
        <f>IF(D21="", "Seleccionar Compresor ↑", "Costo de Repuestos " &amp; D21)</f>
        <v>Seleccionar Compresor ↑</v>
      </c>
      <c r="E23" s="222"/>
      <c r="F23" s="223" t="str">
        <f>IF(ISERROR(FIND("Seleccionar", D23)), "$/h", "")</f>
        <v/>
      </c>
      <c r="G23" s="236" t="str">
        <f>IF(D21="","", SUM(IF(ISNUMBER(FIND("Compresor", 'INFO-Mant'!D9:D26)), 'INFO-Mant'!G9:G26 / 'INFO-Mant'!H9:H26, 0)))</f>
        <v/>
      </c>
      <c r="H23" s="385"/>
      <c r="I23" s="386"/>
      <c r="J23" s="386"/>
      <c r="K23" s="387"/>
      <c r="L23" s="399"/>
    </row>
    <row r="24" spans="2:12" ht="30" customHeight="1">
      <c r="B24" s="389"/>
      <c r="C24" s="391"/>
      <c r="D24" s="221" t="s">
        <v>85</v>
      </c>
      <c r="E24" s="222"/>
      <c r="F24" s="223" t="str">
        <f>IF(D21="","","$/h")</f>
        <v/>
      </c>
      <c r="G24" s="233"/>
      <c r="H24" s="384"/>
      <c r="I24" s="384"/>
      <c r="J24" s="384"/>
      <c r="K24" s="384"/>
      <c r="L24" s="398"/>
    </row>
    <row r="25" spans="2:12" ht="30" customHeight="1">
      <c r="B25" s="388" t="s">
        <v>94</v>
      </c>
      <c r="C25" s="390" t="s">
        <v>89</v>
      </c>
      <c r="D25" s="232"/>
      <c r="E25" s="222"/>
      <c r="F25" s="223" t="str">
        <f>IF(D25="","","$/L")</f>
        <v/>
      </c>
      <c r="G25" s="228" t="str">
        <f>IFERROR(INDEX('INFO-Direc'!$G$9:$G$25,
       MATCH(D25, 'INFO-Direc'!$D$9:$D$25, 0)),"")</f>
        <v/>
      </c>
      <c r="H25" s="384"/>
      <c r="I25" s="384"/>
      <c r="J25" s="384"/>
      <c r="K25" s="384"/>
      <c r="L25" s="381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92"/>
      <c r="C26" s="393"/>
      <c r="D26" s="221" t="str">
        <f>IF(D25="", "Seleccionar Refrigerante ↑", "Consumo de " &amp; D25)</f>
        <v>Seleccionar Refrigerante ↑</v>
      </c>
      <c r="E26" s="222"/>
      <c r="F26" s="223" t="str">
        <f>IF(ISERROR(FIND("Seleccionar", D26)), "L/Año", "")</f>
        <v/>
      </c>
      <c r="G26" s="238"/>
      <c r="H26" s="384"/>
      <c r="I26" s="384"/>
      <c r="J26" s="384"/>
      <c r="K26" s="384"/>
      <c r="L26" s="382"/>
    </row>
    <row r="27" spans="2:12" ht="30" customHeight="1">
      <c r="B27" s="392"/>
      <c r="C27" s="393"/>
      <c r="D27" s="232"/>
      <c r="E27" s="222"/>
      <c r="F27" s="223" t="str">
        <f>IF(D27="","","$/L")</f>
        <v/>
      </c>
      <c r="G27" s="228" t="str">
        <f>IFERROR(INDEX('INFO-Direc'!$G$9:$G$25,
       MATCH(D27, 'INFO-Direc'!$D$9:$D$25, 0)),"")</f>
        <v/>
      </c>
      <c r="H27" s="385"/>
      <c r="I27" s="386"/>
      <c r="J27" s="386"/>
      <c r="K27" s="387"/>
      <c r="L27" s="382"/>
    </row>
    <row r="28" spans="2:12" ht="30" customHeight="1">
      <c r="B28" s="392"/>
      <c r="C28" s="393"/>
      <c r="D28" s="221" t="str">
        <f>IF(D27="", "Seleccionar Refrigerante ↑", "Consumo de " &amp; D27)</f>
        <v>Seleccionar Refrigerante ↑</v>
      </c>
      <c r="E28" s="222"/>
      <c r="F28" s="223" t="str">
        <f>IF(ISERROR(FIND("Seleccionar", D28)), "L/Año", "")</f>
        <v/>
      </c>
      <c r="G28" s="239"/>
      <c r="H28" s="385"/>
      <c r="I28" s="386"/>
      <c r="J28" s="386"/>
      <c r="K28" s="387"/>
      <c r="L28" s="382"/>
    </row>
    <row r="29" spans="2:12" ht="30" customHeight="1">
      <c r="B29" s="389"/>
      <c r="C29" s="391"/>
      <c r="D29" s="221" t="s">
        <v>85</v>
      </c>
      <c r="E29" s="222"/>
      <c r="F29" s="223" t="str">
        <f>IF(OR(D25&lt;&gt;"", D27&lt;&gt;""), "$/h", "")</f>
        <v/>
      </c>
      <c r="G29" s="233"/>
      <c r="H29" s="384"/>
      <c r="I29" s="384"/>
      <c r="J29" s="384"/>
      <c r="K29" s="384"/>
      <c r="L29" s="383"/>
    </row>
    <row r="30" spans="2:12" s="152" customFormat="1" ht="30" customHeight="1">
      <c r="B30" s="388" t="s">
        <v>168</v>
      </c>
      <c r="C30" s="394" t="s">
        <v>89</v>
      </c>
      <c r="D30" s="232"/>
      <c r="E30" s="222"/>
      <c r="F30" s="223" t="str">
        <f>IF(D30="","","$/L")</f>
        <v/>
      </c>
      <c r="G30" s="228" t="str">
        <f>IFERROR(INDEX('INFO-Direc'!$G$9:$G$25,
       MATCH(D30, 'INFO-Direc'!$D$9:$D$25, 0)),"")</f>
        <v/>
      </c>
      <c r="H30" s="384"/>
      <c r="I30" s="384"/>
      <c r="J30" s="384"/>
      <c r="K30" s="384"/>
      <c r="L30" s="381" t="str">
        <f>IF(
    AND(D30="", D32=""),
    "",
    IFERROR(
        IFERROR(G30 / (INDEX('INFO-OEE'!$E$18:$CA$18,
                               MATCH(#REF!, 'INFO-OEE'!$E$9:$CA$9, 0)) * 12), 0)
        * G31
        +
        IFERROR(G32 / (INDEX('INFO-OEE'!$E$18:$CA$18,
                               MATCH(#REF!, 'INFO-OEE'!$E$9:$CA$9, 0)) * 12), 0)
        * G33
        +
        IFERROR(G34, 0),
    "")
)</f>
        <v/>
      </c>
    </row>
    <row r="31" spans="2:12" s="152" customFormat="1" ht="30" customHeight="1">
      <c r="B31" s="392"/>
      <c r="C31" s="395"/>
      <c r="D31" s="221" t="str">
        <f>IF(D30="", "Seleccionar Solvente ↑", "Consumo de " &amp; D30)</f>
        <v>Seleccionar Solvente ↑</v>
      </c>
      <c r="E31" s="222"/>
      <c r="F31" s="223" t="str">
        <f>IF(ISERROR(FIND("Seleccionar", D31)), "L/Año", "")</f>
        <v/>
      </c>
      <c r="G31" s="234"/>
      <c r="H31" s="384"/>
      <c r="I31" s="384"/>
      <c r="J31" s="384"/>
      <c r="K31" s="384"/>
      <c r="L31" s="382"/>
    </row>
    <row r="32" spans="2:12" s="152" customFormat="1" ht="30" customHeight="1">
      <c r="B32" s="392"/>
      <c r="C32" s="395"/>
      <c r="D32" s="232"/>
      <c r="E32" s="222"/>
      <c r="F32" s="223" t="str">
        <f>IF(D32="","","$/L")</f>
        <v/>
      </c>
      <c r="G32" s="228" t="str">
        <f>IFERROR(INDEX('INFO-Direc'!$G$9:$G$25,
       MATCH(D32, 'INFO-Direc'!$D$9:$D$25, 0)),"")</f>
        <v/>
      </c>
      <c r="H32" s="385"/>
      <c r="I32" s="386"/>
      <c r="J32" s="386"/>
      <c r="K32" s="387"/>
      <c r="L32" s="382"/>
    </row>
    <row r="33" spans="2:12" s="152" customFormat="1" ht="30" customHeight="1">
      <c r="B33" s="392"/>
      <c r="C33" s="395"/>
      <c r="D33" s="221" t="str">
        <f>IF(D32="", "Seleccionar Solvente ↑", "Consumo de " &amp; D32)</f>
        <v>Seleccionar Solvente ↑</v>
      </c>
      <c r="E33" s="222"/>
      <c r="F33" s="223" t="str">
        <f>IF(ISERROR(FIND("Seleccionar", D33)), "L/Año", "")</f>
        <v/>
      </c>
      <c r="G33" s="234"/>
      <c r="H33" s="385"/>
      <c r="I33" s="386"/>
      <c r="J33" s="386"/>
      <c r="K33" s="387"/>
      <c r="L33" s="382"/>
    </row>
    <row r="34" spans="2:12" s="152" customFormat="1" ht="30" customHeight="1">
      <c r="B34" s="389"/>
      <c r="C34" s="396"/>
      <c r="D34" s="221" t="s">
        <v>85</v>
      </c>
      <c r="E34" s="222"/>
      <c r="F34" s="223" t="str">
        <f>IF(OR(D30&lt;&gt;"", D32&lt;&gt;""), "$/h", "")</f>
        <v/>
      </c>
      <c r="G34" s="233"/>
      <c r="H34" s="384"/>
      <c r="I34" s="384"/>
      <c r="J34" s="384"/>
      <c r="K34" s="384"/>
      <c r="L34" s="383"/>
    </row>
    <row r="35" spans="2:12" ht="30" customHeight="1">
      <c r="B35" s="388" t="s">
        <v>100</v>
      </c>
      <c r="C35" s="390" t="s">
        <v>89</v>
      </c>
      <c r="D35" s="221" t="str">
        <f>IF(D12="", "Seleccionar Area ↑", "Costo de Operarios")</f>
        <v>Costo de Operarios</v>
      </c>
      <c r="E35" s="222"/>
      <c r="F35" s="223" t="str">
        <f>IF(D12="","","$/mes")</f>
        <v>$/mes</v>
      </c>
      <c r="G35" s="237">
        <f>IF(D12="","",IFERROR(
    INDEX('INFO-Personal'!$E$26:$CA$26,
           MATCH($C$3, 'INFO-Personal'!$E$9:$CA$9, 0)
    ),
""))</f>
        <v>631.29763832752622</v>
      </c>
      <c r="H35" s="384"/>
      <c r="I35" s="384"/>
      <c r="J35" s="384"/>
      <c r="K35" s="384"/>
      <c r="L35" s="397">
        <f>IFERROR(
    (G35 / INDEX('INFO-OEE'!$E$18:$CA$18,
                  MATCH($C$3, 'INFO-OEE'!$E$9:$CA$9, 0)))
    + G36,
"")</f>
        <v>4.4836479994852709</v>
      </c>
    </row>
    <row r="36" spans="2:12" ht="30" customHeight="1">
      <c r="B36" s="389"/>
      <c r="C36" s="391"/>
      <c r="D36" s="221" t="s">
        <v>85</v>
      </c>
      <c r="E36" s="222"/>
      <c r="F36" s="223" t="str">
        <f>IF(D12="","","$/h")</f>
        <v>$/h</v>
      </c>
      <c r="G36" s="240"/>
      <c r="H36" s="384"/>
      <c r="I36" s="384"/>
      <c r="J36" s="384"/>
      <c r="K36" s="384"/>
      <c r="L36" s="398"/>
    </row>
    <row r="37" spans="2:12" ht="30" customHeight="1">
      <c r="B37" s="241"/>
      <c r="C37" s="242"/>
      <c r="D37" s="243"/>
      <c r="E37" s="242"/>
      <c r="F37" s="244"/>
      <c r="G37" s="245"/>
      <c r="H37" s="409"/>
      <c r="I37" s="409"/>
      <c r="J37" s="409"/>
      <c r="K37" s="409"/>
      <c r="L37" s="246"/>
    </row>
    <row r="38" spans="2:12" ht="30" customHeight="1">
      <c r="B38" s="388" t="s">
        <v>16</v>
      </c>
      <c r="C38" s="390" t="s">
        <v>69</v>
      </c>
      <c r="D38" s="221" t="str">
        <f>IF(D12="", "Seleccionar Area ↑", "Costo de Supervisores")</f>
        <v>Costo de Supervisores</v>
      </c>
      <c r="E38" s="222"/>
      <c r="F38" s="247" t="str">
        <f>IF(D12="","","$/mes")</f>
        <v>$/mes</v>
      </c>
      <c r="G38" s="237">
        <f>IF(D12="","",IFERROR(
    INDEX('INFO-Personal'!$E$27:$CA$27,
           MATCH($C$3, 'INFO-Personal'!$E$9:$CA$9, 0)
    ),
""))</f>
        <v>0</v>
      </c>
      <c r="H38" s="385"/>
      <c r="I38" s="386"/>
      <c r="J38" s="386"/>
      <c r="K38" s="387"/>
      <c r="L38" s="397">
        <f>IFERROR(
    (G38 / INDEX('INFO-OEE'!$E$18:$CA$18,
                  MATCH($C$3, 'INFO-OEE'!$E$9:$CA$9, 0)))
    + G39,
"")</f>
        <v>0</v>
      </c>
    </row>
    <row r="39" spans="2:12" ht="30" customHeight="1">
      <c r="B39" s="392"/>
      <c r="C39" s="393"/>
      <c r="D39" s="221" t="s">
        <v>85</v>
      </c>
      <c r="E39" s="222"/>
      <c r="F39" s="223" t="str">
        <f>IF(D12="","","$/h")</f>
        <v>$/h</v>
      </c>
      <c r="G39" s="240"/>
      <c r="H39" s="385"/>
      <c r="I39" s="386"/>
      <c r="J39" s="386"/>
      <c r="K39" s="387"/>
      <c r="L39" s="399"/>
    </row>
    <row r="40" spans="2:12" ht="30" customHeight="1">
      <c r="B40" s="388" t="s">
        <v>101</v>
      </c>
      <c r="C40" s="390" t="s">
        <v>69</v>
      </c>
      <c r="D40" s="221" t="str">
        <f>IF(D12="", "Seleccionar Area ↑", "Costo de Mant. Preventivo")</f>
        <v>Costo de Mant. Preventivo</v>
      </c>
      <c r="E40" s="222"/>
      <c r="F40" s="247" t="str">
        <f>IF(D12="","","$/mes")</f>
        <v>$/mes</v>
      </c>
      <c r="G40" s="237">
        <f>IF(D12="","",IFERROR(
    INDEX('INFO-Personal'!$E$28:$CA$28,
           MATCH($C$3, 'INFO-Personal'!$E$9:$CA$9, 0)
    ),
""))</f>
        <v>0</v>
      </c>
      <c r="H40" s="385"/>
      <c r="I40" s="386"/>
      <c r="J40" s="386"/>
      <c r="K40" s="387"/>
      <c r="L40" s="397">
        <f>IF(D12="","",SUM(
    IFERROR((G40+G41) / INDEX('INFO-OEE'!$E$18:$CA$18, MATCH(C3, 'INFO-OEE'!$E$9:$CA$9, 0)), 0),
    IFERROR(G42 / G43, 0),
    IFERROR(G44 / G45, 0),
    IFERROR(G46 / G47, 0),
    IFERROR(G48, 0)
))</f>
        <v>0.25023513374001316</v>
      </c>
    </row>
    <row r="41" spans="2:12" ht="30" customHeight="1">
      <c r="B41" s="392"/>
      <c r="C41" s="393"/>
      <c r="D41" s="221" t="str">
        <f>IF(D12="", "Seleccionar Area ↑", "Costo de Mant. Correctivo")</f>
        <v>Costo de Mant. Correctivo</v>
      </c>
      <c r="E41" s="222"/>
      <c r="F41" s="247" t="str">
        <f>IF(D12="","","$/mes")</f>
        <v>$/mes</v>
      </c>
      <c r="G41" s="237">
        <f>IF(D12="","",IFERROR(
    INDEX('INFO-Personal'!$E$29:$CA$29,
           MATCH($C$3, 'INFO-Personal'!$E$9:$CA$9, 0)
    ),
""))</f>
        <v>35.233106830593854</v>
      </c>
      <c r="H41" s="385"/>
      <c r="I41" s="386"/>
      <c r="J41" s="386"/>
      <c r="K41" s="387"/>
      <c r="L41" s="399"/>
    </row>
    <row r="42" spans="2:12" ht="30" customHeight="1">
      <c r="B42" s="392"/>
      <c r="C42" s="393"/>
      <c r="D42" s="232"/>
      <c r="E42" s="222"/>
      <c r="F42" s="223" t="str">
        <f>IF(D42="","","$/u")</f>
        <v/>
      </c>
      <c r="G42" s="237" t="str">
        <f>IFERROR(INDEX('INFO-Mant'!$G$9:$G$26,
       MATCH(D42, 'INFO-Mant'!$D$9:$D$26, 0)),"")</f>
        <v/>
      </c>
      <c r="H42" s="385"/>
      <c r="I42" s="386"/>
      <c r="J42" s="386"/>
      <c r="K42" s="387"/>
      <c r="L42" s="399"/>
    </row>
    <row r="43" spans="2:12" ht="30" customHeight="1">
      <c r="B43" s="392"/>
      <c r="C43" s="393"/>
      <c r="D43" s="221" t="str">
        <f>IF(D42="", "Seleccionar Repuesto ↑", "Vida Util de " &amp; D42)</f>
        <v>Seleccionar Repuesto ↑</v>
      </c>
      <c r="E43" s="222"/>
      <c r="F43" s="223" t="str">
        <f>IF(ISERROR(FIND("Seleccionar", D43)), "Horas/u", "")</f>
        <v/>
      </c>
      <c r="G43" s="238"/>
      <c r="H43" s="385"/>
      <c r="I43" s="386"/>
      <c r="J43" s="386"/>
      <c r="K43" s="387"/>
      <c r="L43" s="399"/>
    </row>
    <row r="44" spans="2:12" ht="30" customHeight="1">
      <c r="B44" s="392"/>
      <c r="C44" s="393"/>
      <c r="D44" s="232"/>
      <c r="E44" s="222"/>
      <c r="F44" s="223" t="str">
        <f>IF(D44="","","$/u")</f>
        <v/>
      </c>
      <c r="G44" s="237" t="str">
        <f>IFERROR(INDEX('INFO-Mant'!$G$9:$G$26,
       MATCH(D44, 'INFO-Mant'!$D$9:$D$26, 0)),"")</f>
        <v/>
      </c>
      <c r="H44" s="385"/>
      <c r="I44" s="386"/>
      <c r="J44" s="386"/>
      <c r="K44" s="387"/>
      <c r="L44" s="399"/>
    </row>
    <row r="45" spans="2:12" ht="30" customHeight="1">
      <c r="B45" s="392"/>
      <c r="C45" s="393"/>
      <c r="D45" s="221" t="str">
        <f>IF(D44="", "Seleccionar Repuesto ↑", "Vida Util de " &amp; D44)</f>
        <v>Seleccionar Repuesto ↑</v>
      </c>
      <c r="E45" s="222"/>
      <c r="F45" s="223" t="str">
        <f>IF(ISERROR(FIND("Seleccionar", D45)), "Horas/u", "")</f>
        <v/>
      </c>
      <c r="G45" s="238"/>
      <c r="H45" s="385"/>
      <c r="I45" s="386"/>
      <c r="J45" s="386"/>
      <c r="K45" s="387"/>
      <c r="L45" s="399"/>
    </row>
    <row r="46" spans="2:12" ht="30" customHeight="1">
      <c r="B46" s="392"/>
      <c r="C46" s="393"/>
      <c r="D46" s="232"/>
      <c r="E46" s="222"/>
      <c r="F46" s="223" t="str">
        <f>IF(D46="","","$/u")</f>
        <v/>
      </c>
      <c r="G46" s="237" t="str">
        <f>IFERROR(INDEX('INFO-Mant'!$G$9:$G$26,
       MATCH(D46, 'INFO-Mant'!$D$9:$D$26, 0)),"")</f>
        <v/>
      </c>
      <c r="H46" s="385"/>
      <c r="I46" s="386"/>
      <c r="J46" s="386"/>
      <c r="K46" s="387"/>
      <c r="L46" s="399"/>
    </row>
    <row r="47" spans="2:12" ht="29.25" customHeight="1">
      <c r="B47" s="392"/>
      <c r="C47" s="393"/>
      <c r="D47" s="221" t="str">
        <f>IF(D46="", "Seleccionar Repuesto ↑", "Vida Util de " &amp; D46)</f>
        <v>Seleccionar Repuesto ↑</v>
      </c>
      <c r="E47" s="222"/>
      <c r="F47" s="223" t="str">
        <f>IF(ISERROR(FIND("Seleccionar", D47)), "Horas/u", "")</f>
        <v/>
      </c>
      <c r="G47" s="240"/>
      <c r="H47" s="385"/>
      <c r="I47" s="386"/>
      <c r="J47" s="386"/>
      <c r="K47" s="387"/>
      <c r="L47" s="399"/>
    </row>
    <row r="48" spans="2:12" ht="30" customHeight="1">
      <c r="B48" s="389"/>
      <c r="C48" s="391"/>
      <c r="D48" s="221" t="s">
        <v>85</v>
      </c>
      <c r="E48" s="222"/>
      <c r="F48" s="223" t="str">
        <f>IF(D12="","","$/h")</f>
        <v>$/h</v>
      </c>
      <c r="G48" s="240"/>
      <c r="H48" s="385"/>
      <c r="I48" s="386"/>
      <c r="J48" s="386"/>
      <c r="K48" s="387"/>
      <c r="L48" s="398"/>
    </row>
    <row r="49" spans="2:12" ht="30" customHeight="1">
      <c r="B49" s="248"/>
      <c r="C49" s="249"/>
      <c r="D49" s="250"/>
      <c r="E49" s="249"/>
      <c r="F49" s="251"/>
      <c r="G49" s="252"/>
      <c r="H49" s="249"/>
      <c r="I49" s="249"/>
      <c r="J49" s="249"/>
      <c r="K49" s="249"/>
      <c r="L49" s="253"/>
    </row>
    <row r="50" spans="2:12" ht="30" customHeight="1">
      <c r="B50" s="388" t="s">
        <v>102</v>
      </c>
      <c r="C50" s="394" t="s">
        <v>103</v>
      </c>
      <c r="D50" s="232"/>
      <c r="E50" s="222"/>
      <c r="F50" s="223" t="str">
        <f>IF(D50="","","$/h")</f>
        <v/>
      </c>
      <c r="G50" s="23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410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410"/>
      <c r="J50" s="410"/>
      <c r="K50" s="410"/>
      <c r="L50" s="255" t="str">
        <f ca="1">G50</f>
        <v/>
      </c>
    </row>
    <row r="51" spans="2:12" ht="30" customHeight="1">
      <c r="B51" s="392"/>
      <c r="C51" s="395"/>
      <c r="D51" s="232"/>
      <c r="E51" s="254"/>
      <c r="F51" s="223" t="str">
        <f>IF(D51="","","$/h")</f>
        <v/>
      </c>
      <c r="G51" s="23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410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410"/>
      <c r="J51" s="410"/>
      <c r="K51" s="410"/>
      <c r="L51" s="255" t="str">
        <f ca="1">G51</f>
        <v/>
      </c>
    </row>
    <row r="52" spans="2:12" ht="30" customHeight="1">
      <c r="B52" s="392"/>
      <c r="C52" s="395"/>
      <c r="D52" s="232"/>
      <c r="E52" s="222"/>
      <c r="F52" s="223" t="str">
        <f t="shared" ref="F52:F54" si="0">IF(D52="","","$/h")</f>
        <v/>
      </c>
      <c r="G52" s="23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410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410"/>
      <c r="J52" s="410"/>
      <c r="K52" s="410"/>
      <c r="L52" s="255" t="str">
        <f ca="1">G52</f>
        <v/>
      </c>
    </row>
    <row r="53" spans="2:12" ht="30" customHeight="1">
      <c r="B53" s="392"/>
      <c r="C53" s="395"/>
      <c r="D53" s="232"/>
      <c r="E53" s="222"/>
      <c r="F53" s="223" t="str">
        <f t="shared" si="0"/>
        <v/>
      </c>
      <c r="G53" s="23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410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410"/>
      <c r="J53" s="410"/>
      <c r="K53" s="410"/>
      <c r="L53" s="255" t="str">
        <f ca="1">G53</f>
        <v/>
      </c>
    </row>
    <row r="54" spans="2:12" ht="30" customHeight="1">
      <c r="B54" s="389"/>
      <c r="C54" s="396"/>
      <c r="D54" s="232"/>
      <c r="E54" s="222"/>
      <c r="F54" s="223" t="str">
        <f t="shared" si="0"/>
        <v/>
      </c>
      <c r="G54" s="23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410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410"/>
      <c r="J54" s="410"/>
      <c r="K54" s="410"/>
      <c r="L54" s="255" t="str">
        <f ca="1">G54</f>
        <v/>
      </c>
    </row>
    <row r="55" spans="2:12" ht="30" customHeight="1">
      <c r="B55" s="146"/>
      <c r="C55" s="147"/>
      <c r="D55" s="411"/>
      <c r="E55" s="411"/>
      <c r="F55" s="30"/>
      <c r="G55" s="30"/>
      <c r="H55" s="149"/>
      <c r="I55" s="149"/>
      <c r="J55" s="149"/>
      <c r="K55" s="30"/>
      <c r="L55" s="145"/>
    </row>
    <row r="56" spans="2:12" ht="30" customHeight="1" thickBot="1">
      <c r="B56" s="153" t="s">
        <v>39</v>
      </c>
      <c r="C56" s="330" t="s">
        <v>176</v>
      </c>
      <c r="D56" s="330"/>
      <c r="E56" s="154" t="s">
        <v>23</v>
      </c>
      <c r="F56" s="368"/>
      <c r="G56" s="368"/>
      <c r="H56" s="141"/>
      <c r="I56" s="141"/>
      <c r="J56" s="141"/>
      <c r="K56" s="256"/>
      <c r="L56" s="257"/>
    </row>
    <row r="57" spans="2:12" ht="30" customHeight="1" thickBot="1">
      <c r="B57" s="155"/>
      <c r="C57" s="156"/>
      <c r="D57" s="156"/>
      <c r="E57" s="156"/>
      <c r="F57" s="378"/>
      <c r="G57" s="378"/>
      <c r="H57" s="157"/>
      <c r="I57" s="157"/>
      <c r="J57" s="157"/>
      <c r="K57" s="258" t="s">
        <v>106</v>
      </c>
      <c r="L57" s="259">
        <f ca="1">IFERROR(SUM(L19:L54),"")</f>
        <v>4.7338831332252838</v>
      </c>
    </row>
    <row r="59" spans="2:12" ht="30" customHeight="1">
      <c r="C59" s="117"/>
    </row>
  </sheetData>
  <sheetProtection algorithmName="SHA-512" hashValue="5rSr9zbJXy+dfw7J86GeM0NV4mryzov7dSWvGV30F5K0sL3UiRz7EZ8sLi08oCz0AAlNkNNrVwqlA30C+mwKow==" saltValue="q/IDVU0bCRkd9m68lfHmHQ==" spinCount="100000" sheet="1" objects="1" scenarios="1" selectLockedCells="1"/>
  <mergeCells count="80">
    <mergeCell ref="F57:G57"/>
    <mergeCell ref="B50:B54"/>
    <mergeCell ref="C50:C54"/>
    <mergeCell ref="H53:K53"/>
    <mergeCell ref="H54:K54"/>
    <mergeCell ref="D55:E55"/>
    <mergeCell ref="C56:D56"/>
    <mergeCell ref="F56:G56"/>
    <mergeCell ref="B38:B39"/>
    <mergeCell ref="C38:C39"/>
    <mergeCell ref="H50:K50"/>
    <mergeCell ref="H51:K51"/>
    <mergeCell ref="H52:K52"/>
    <mergeCell ref="B40:B48"/>
    <mergeCell ref="C40:C48"/>
    <mergeCell ref="H39:K39"/>
    <mergeCell ref="H40:K40"/>
    <mergeCell ref="H41:K41"/>
    <mergeCell ref="H42:K42"/>
    <mergeCell ref="H37:K37"/>
    <mergeCell ref="H38:K38"/>
    <mergeCell ref="L40:L48"/>
    <mergeCell ref="H44:K44"/>
    <mergeCell ref="H45:K45"/>
    <mergeCell ref="H46:K46"/>
    <mergeCell ref="H47:K47"/>
    <mergeCell ref="H48:K48"/>
    <mergeCell ref="H43:K43"/>
    <mergeCell ref="L38:L39"/>
    <mergeCell ref="C3:D3"/>
    <mergeCell ref="F3:G3"/>
    <mergeCell ref="C6:D6"/>
    <mergeCell ref="F6:G6"/>
    <mergeCell ref="C7:D7"/>
    <mergeCell ref="F7:G7"/>
    <mergeCell ref="H9:K9"/>
    <mergeCell ref="H10:K10"/>
    <mergeCell ref="H11:K11"/>
    <mergeCell ref="B10:B15"/>
    <mergeCell ref="C10:C15"/>
    <mergeCell ref="L10:L15"/>
    <mergeCell ref="H13:K13"/>
    <mergeCell ref="H15:K15"/>
    <mergeCell ref="H16:K16"/>
    <mergeCell ref="H17:K17"/>
    <mergeCell ref="H14:K14"/>
    <mergeCell ref="B16:B20"/>
    <mergeCell ref="C16:C20"/>
    <mergeCell ref="B21:B24"/>
    <mergeCell ref="C21:C24"/>
    <mergeCell ref="L16:L20"/>
    <mergeCell ref="H20:K20"/>
    <mergeCell ref="H18:K18"/>
    <mergeCell ref="H19:K19"/>
    <mergeCell ref="L21:L24"/>
    <mergeCell ref="H23:K23"/>
    <mergeCell ref="H24:K24"/>
    <mergeCell ref="H21:K21"/>
    <mergeCell ref="H22:K22"/>
    <mergeCell ref="H35:K35"/>
    <mergeCell ref="H36:K36"/>
    <mergeCell ref="L30:L34"/>
    <mergeCell ref="H34:K34"/>
    <mergeCell ref="L35:L36"/>
    <mergeCell ref="H33:K33"/>
    <mergeCell ref="H30:K30"/>
    <mergeCell ref="H31:K31"/>
    <mergeCell ref="H32:K32"/>
    <mergeCell ref="B35:B36"/>
    <mergeCell ref="C35:C36"/>
    <mergeCell ref="B25:B29"/>
    <mergeCell ref="C25:C29"/>
    <mergeCell ref="B30:B34"/>
    <mergeCell ref="C30:C34"/>
    <mergeCell ref="L25:L29"/>
    <mergeCell ref="H29:K29"/>
    <mergeCell ref="H28:K28"/>
    <mergeCell ref="H25:K25"/>
    <mergeCell ref="H26:K26"/>
    <mergeCell ref="H27:K27"/>
  </mergeCells>
  <dataValidations count="9">
    <dataValidation allowBlank="1" showInputMessage="1" showErrorMessage="1" prompt="Escriba comentarios en las celdas de la derecha." sqref="C59"/>
    <dataValidation type="list" allowBlank="1" showInputMessage="1" showErrorMessage="1" sqref="D51:D54">
      <formula1>Herramientas_Ensamble</formula1>
    </dataValidation>
    <dataValidation type="list" allowBlank="1" showInputMessage="1" showErrorMessage="1" sqref="D10 D50">
      <formula1>Maquinaria_Ensamble</formula1>
    </dataValidation>
    <dataValidation type="list" allowBlank="1" showInputMessage="1" showErrorMessage="1" sqref="D42 D44 D46">
      <formula1>Repuestos_Ensamble</formula1>
    </dataValidation>
    <dataValidation type="list" allowBlank="1" showInputMessage="1" showErrorMessage="1" sqref="D30 D32">
      <formula1>Solvente_Ensamble</formula1>
    </dataValidation>
    <dataValidation type="list" allowBlank="1" showInputMessage="1" showErrorMessage="1" sqref="D25 D27">
      <formula1>Refrigerantes_Ensamble</formula1>
    </dataValidation>
    <dataValidation type="list" allowBlank="1" showInputMessage="1" showErrorMessage="1" sqref="D21">
      <formula1>AireComprimido_Ensamble</formula1>
    </dataValidation>
    <dataValidation type="list" allowBlank="1" showInputMessage="1" showErrorMessage="1" sqref="D16 D18">
      <formula1>Lubricantes_Ensamble</formula1>
    </dataValidation>
    <dataValidation type="list" allowBlank="1" showInputMessage="1" showErrorMessage="1" sqref="D12">
      <formula1>Areas_Ensamble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54</xdr:row>
                    <xdr:rowOff>333375</xdr:rowOff>
                  </from>
                  <to>
                    <xdr:col>1</xdr:col>
                    <xdr:colOff>1762125</xdr:colOff>
                    <xdr:row>55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2">
    <tabColor rgb="FF0070C0"/>
    <pageSetUpPr autoPageBreaks="0" fitToPage="1"/>
  </sheetPr>
  <dimension ref="B1:M59"/>
  <sheetViews>
    <sheetView showGridLines="0" topLeftCell="A13" zoomScale="80" zoomScaleNormal="80" workbookViewId="0">
      <selection activeCell="C6" sqref="C6:D6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3.140625" style="80" bestFit="1" customWidth="1"/>
    <col min="5" max="5" width="20.5703125" style="80" customWidth="1"/>
    <col min="6" max="6" width="16.5703125" style="80" bestFit="1" customWidth="1"/>
    <col min="7" max="7" width="19.7109375" style="80" bestFit="1" customWidth="1"/>
    <col min="8" max="8" width="15.28515625" style="80" customWidth="1"/>
    <col min="9" max="10" width="17" style="80" customWidth="1"/>
    <col min="11" max="11" width="28.42578125" style="80" customWidth="1"/>
    <col min="12" max="12" width="20.7109375" style="80" customWidth="1"/>
    <col min="13" max="13" width="2.7109375" style="80" customWidth="1"/>
    <col min="14" max="16384" width="9.140625" style="80"/>
  </cols>
  <sheetData>
    <row r="1" spans="2:13" ht="12" customHeight="1" thickBot="1"/>
    <row r="2" spans="2:13" ht="30" customHeight="1">
      <c r="B2" s="126" t="s">
        <v>95</v>
      </c>
      <c r="C2" s="127"/>
      <c r="D2" s="128"/>
      <c r="E2" s="128"/>
      <c r="F2" s="128"/>
      <c r="G2" s="128"/>
      <c r="H2" s="128"/>
      <c r="I2" s="128"/>
      <c r="J2" s="128"/>
      <c r="K2" s="128"/>
      <c r="L2" s="129"/>
    </row>
    <row r="3" spans="2:13" ht="30" customHeight="1">
      <c r="B3" s="130" t="s">
        <v>96</v>
      </c>
      <c r="C3" s="406" t="s">
        <v>126</v>
      </c>
      <c r="D3" s="406"/>
      <c r="E3" s="125" t="s">
        <v>3</v>
      </c>
      <c r="F3" s="356">
        <f ca="1">TODAY()</f>
        <v>46020</v>
      </c>
      <c r="G3" s="356"/>
      <c r="H3" s="125" t="s">
        <v>61</v>
      </c>
      <c r="I3" s="162">
        <f>'INFO-Direc'!H3</f>
        <v>1445</v>
      </c>
      <c r="J3" s="131"/>
      <c r="K3" s="132"/>
      <c r="L3" s="133"/>
      <c r="M3" s="134"/>
    </row>
    <row r="4" spans="2:13" ht="30" customHeight="1">
      <c r="B4" s="130" t="s">
        <v>97</v>
      </c>
      <c r="C4" s="160">
        <f>IFERROR(INDEX('INFO-OEE'!E17:CL17,
       MATCH(C3, 'INFO-OEE'!E9:CL9, 0)),"")</f>
        <v>0.8</v>
      </c>
      <c r="D4" s="135"/>
      <c r="E4" s="136"/>
      <c r="F4" s="136"/>
      <c r="G4" s="136"/>
      <c r="H4" s="125"/>
      <c r="I4" s="137"/>
      <c r="J4" s="131"/>
      <c r="K4" s="132"/>
      <c r="L4" s="138"/>
      <c r="M4" s="89"/>
    </row>
    <row r="5" spans="2:13" ht="30" customHeight="1">
      <c r="B5" s="139" t="s">
        <v>4</v>
      </c>
      <c r="C5" s="140"/>
      <c r="D5" s="141"/>
      <c r="E5" s="141"/>
      <c r="F5" s="141"/>
      <c r="G5" s="141"/>
      <c r="H5" s="141"/>
      <c r="I5" s="141"/>
      <c r="J5" s="141"/>
      <c r="K5" s="141"/>
      <c r="L5" s="142"/>
    </row>
    <row r="6" spans="2:13" ht="30" customHeight="1">
      <c r="B6" s="143" t="s">
        <v>5</v>
      </c>
      <c r="C6" s="407" t="s">
        <v>205</v>
      </c>
      <c r="D6" s="407"/>
      <c r="E6" s="144" t="s">
        <v>6</v>
      </c>
      <c r="F6" s="407"/>
      <c r="G6" s="407"/>
      <c r="H6" s="141"/>
      <c r="I6" s="141"/>
      <c r="J6" s="141"/>
      <c r="K6" s="30"/>
      <c r="L6" s="145"/>
    </row>
    <row r="7" spans="2:13" ht="30" customHeight="1">
      <c r="B7" s="143" t="s">
        <v>7</v>
      </c>
      <c r="C7" s="407"/>
      <c r="D7" s="407"/>
      <c r="E7" s="144" t="s">
        <v>62</v>
      </c>
      <c r="F7" s="408"/>
      <c r="G7" s="408"/>
      <c r="H7" s="141"/>
      <c r="I7" s="141"/>
      <c r="J7" s="141"/>
      <c r="K7" s="30"/>
      <c r="L7" s="145"/>
    </row>
    <row r="8" spans="2:13" ht="30" customHeight="1" thickBot="1">
      <c r="B8" s="146"/>
      <c r="C8" s="147"/>
      <c r="D8" s="148"/>
      <c r="E8" s="148"/>
      <c r="F8" s="30"/>
      <c r="G8" s="30"/>
      <c r="H8" s="149"/>
      <c r="I8" s="149"/>
      <c r="J8" s="149"/>
      <c r="K8" s="30"/>
      <c r="L8" s="145"/>
    </row>
    <row r="9" spans="2:13" ht="30" customHeight="1" thickBot="1">
      <c r="B9" s="67" t="s">
        <v>9</v>
      </c>
      <c r="C9" s="190" t="s">
        <v>63</v>
      </c>
      <c r="D9" s="190" t="s">
        <v>64</v>
      </c>
      <c r="E9" s="190" t="s">
        <v>65</v>
      </c>
      <c r="F9" s="190" t="s">
        <v>66</v>
      </c>
      <c r="G9" s="190" t="s">
        <v>67</v>
      </c>
      <c r="H9" s="319" t="s">
        <v>68</v>
      </c>
      <c r="I9" s="319"/>
      <c r="J9" s="319"/>
      <c r="K9" s="319"/>
      <c r="L9" s="191" t="s">
        <v>98</v>
      </c>
    </row>
    <row r="10" spans="2:13" ht="30" customHeight="1">
      <c r="B10" s="404" t="s">
        <v>88</v>
      </c>
      <c r="C10" s="405" t="s">
        <v>89</v>
      </c>
      <c r="D10" s="231" t="s">
        <v>126</v>
      </c>
      <c r="E10" s="218"/>
      <c r="F10" s="219" t="str">
        <f>IF(D10="","","kW")</f>
        <v>kW</v>
      </c>
      <c r="G10" s="220">
        <f>IF(D10="","",IFERROR(INDEX('[4]INFO-Consumo'!$F$9:$F$95,
       MATCH(D10, '[4]INFO-Consumo'!$D$9:$D$95, 0)),""))</f>
        <v>1</v>
      </c>
      <c r="H10" s="401"/>
      <c r="I10" s="402"/>
      <c r="J10" s="402"/>
      <c r="K10" s="403"/>
      <c r="L10" s="400" t="str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/>
      </c>
    </row>
    <row r="11" spans="2:13" ht="30" customHeight="1">
      <c r="B11" s="392"/>
      <c r="C11" s="393"/>
      <c r="D11" s="221" t="str">
        <f>IF(D10="", "Seleccionar Maquinaria ↑", "Carga Promedio de Uso de " &amp; D10)</f>
        <v>Carga Promedio de Uso de LASER GRANDE 50</v>
      </c>
      <c r="E11" s="222"/>
      <c r="F11" s="223" t="str">
        <f>IF(ISERROR(FIND("Seleccionar", D11)), "%", "")</f>
        <v>%</v>
      </c>
      <c r="G11" s="289">
        <f>IF(D10="","",IFERROR(
    INDEX('[4]INFO-Consumo'!I:I,
           MATCH(D10, '[4]INFO-Consumo'!D:D, 0)
    ),
""))</f>
        <v>0.6</v>
      </c>
      <c r="H11" s="384"/>
      <c r="I11" s="384"/>
      <c r="J11" s="384"/>
      <c r="K11" s="384"/>
      <c r="L11" s="399"/>
    </row>
    <row r="12" spans="2:13" ht="30" customHeight="1">
      <c r="B12" s="392"/>
      <c r="C12" s="393"/>
      <c r="D12" s="232"/>
      <c r="E12" s="222"/>
      <c r="F12" s="223" t="str">
        <f>IF(D12="","","kW")</f>
        <v/>
      </c>
      <c r="G12" s="224" t="str">
        <f>IFERROR(INDEX('[4]INFO-Ponderacion'!$S$9:$S$13,
       MATCH(D12,'[4]INFO-Ponderacion'!$C$9:$C$13, 0)),"")</f>
        <v/>
      </c>
      <c r="H12" s="286"/>
      <c r="I12" s="287"/>
      <c r="J12" s="287"/>
      <c r="K12" s="288"/>
      <c r="L12" s="399"/>
    </row>
    <row r="13" spans="2:13" ht="30" customHeight="1">
      <c r="B13" s="392"/>
      <c r="C13" s="393"/>
      <c r="D13" s="221" t="str">
        <f>IF(D12="", "Seleccionar Area ↑", "Tarifa Electrica ")</f>
        <v>Seleccionar Area ↑</v>
      </c>
      <c r="E13" s="222"/>
      <c r="F13" s="223" t="str">
        <f>IF(D12="","","$/kWh")</f>
        <v/>
      </c>
      <c r="G13" s="228" t="str">
        <f>IF(D12="","",'INFO-Direc'!$G$9)</f>
        <v/>
      </c>
      <c r="H13" s="384"/>
      <c r="I13" s="384"/>
      <c r="J13" s="384"/>
      <c r="K13" s="384"/>
      <c r="L13" s="399"/>
    </row>
    <row r="14" spans="2:13" ht="30" customHeight="1">
      <c r="B14" s="392"/>
      <c r="C14" s="393"/>
      <c r="D14" s="229" t="str">
        <f>IF(D12="", "Seleccionar Area ↑", "Costo Electrico Fijo de " &amp; D12)</f>
        <v>Seleccionar Area ↑</v>
      </c>
      <c r="E14" s="222"/>
      <c r="F14" s="223" t="str">
        <f>IF(D12="","","$/h")</f>
        <v/>
      </c>
      <c r="G14" s="290" t="str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/>
      </c>
      <c r="H14" s="385"/>
      <c r="I14" s="386"/>
      <c r="J14" s="386"/>
      <c r="K14" s="387"/>
      <c r="L14" s="399"/>
    </row>
    <row r="15" spans="2:13" ht="30" customHeight="1">
      <c r="B15" s="389"/>
      <c r="C15" s="391"/>
      <c r="D15" s="229" t="s">
        <v>85</v>
      </c>
      <c r="E15" s="230"/>
      <c r="F15" s="223" t="str">
        <f>IF(D12="","","$/h")</f>
        <v/>
      </c>
      <c r="G15" s="233"/>
      <c r="H15" s="385"/>
      <c r="I15" s="386"/>
      <c r="J15" s="386"/>
      <c r="K15" s="387"/>
      <c r="L15" s="398"/>
    </row>
    <row r="16" spans="2:13" ht="30" customHeight="1">
      <c r="B16" s="388" t="s">
        <v>90</v>
      </c>
      <c r="C16" s="394" t="s">
        <v>89</v>
      </c>
      <c r="D16" s="232"/>
      <c r="E16" s="222"/>
      <c r="F16" s="223" t="str">
        <f>IF(D16="","","$/L")</f>
        <v/>
      </c>
      <c r="G16" s="228" t="str">
        <f>IFERROR(INDEX('INFO-Direc'!$G$9:$G$25,
       MATCH(D16, 'INFO-Direc'!$D$9:$D$25, 0)),"")</f>
        <v/>
      </c>
      <c r="H16" s="384"/>
      <c r="I16" s="384"/>
      <c r="J16" s="384"/>
      <c r="K16" s="384"/>
      <c r="L16" s="397" t="str">
        <f>IF(AND(D16="", D18=""), "",
    IFERROR(
        IFERROR(G16*G17,0)
        + IFERROR(G18*G19,0)
        + IFERROR(G20,0),
    "")
)</f>
        <v/>
      </c>
    </row>
    <row r="17" spans="2:12" ht="30" customHeight="1">
      <c r="B17" s="392"/>
      <c r="C17" s="395"/>
      <c r="D17" s="221" t="str">
        <f>IF(D16="", "Seleccionar Lubricante ↑", "Consumo de " &amp; D16)</f>
        <v>Seleccionar Lubricante ↑</v>
      </c>
      <c r="E17" s="222"/>
      <c r="F17" s="223" t="str">
        <f>IF(ISERROR(FIND("Seleccionar", D17)), "L/h", "")</f>
        <v/>
      </c>
      <c r="G17" s="234"/>
      <c r="H17" s="384"/>
      <c r="I17" s="384"/>
      <c r="J17" s="384"/>
      <c r="K17" s="384"/>
      <c r="L17" s="399"/>
    </row>
    <row r="18" spans="2:12" ht="30" customHeight="1">
      <c r="B18" s="392"/>
      <c r="C18" s="395"/>
      <c r="D18" s="232"/>
      <c r="E18" s="222"/>
      <c r="F18" s="223" t="str">
        <f>IF(D18="","","$/L")</f>
        <v/>
      </c>
      <c r="G18" s="228" t="str">
        <f>IFERROR(INDEX('INFO-Direc'!$G$9:$G$25,
       MATCH(D18, 'INFO-Direc'!$D$9:$D$25, 0)),"")</f>
        <v/>
      </c>
      <c r="H18" s="385"/>
      <c r="I18" s="386"/>
      <c r="J18" s="386"/>
      <c r="K18" s="387"/>
      <c r="L18" s="399"/>
    </row>
    <row r="19" spans="2:12" ht="30" customHeight="1">
      <c r="B19" s="392"/>
      <c r="C19" s="395"/>
      <c r="D19" s="221" t="str">
        <f>IF(D18="", "Seleccionar Lubricante ↑", "Consumo de " &amp; D18)</f>
        <v>Seleccionar Lubricante ↑</v>
      </c>
      <c r="E19" s="222"/>
      <c r="F19" s="223" t="str">
        <f>IF(ISERROR(FIND("Seleccionar", D19)), "L/h", "")</f>
        <v/>
      </c>
      <c r="G19" s="234"/>
      <c r="H19" s="385"/>
      <c r="I19" s="386"/>
      <c r="J19" s="386"/>
      <c r="K19" s="387"/>
      <c r="L19" s="399"/>
    </row>
    <row r="20" spans="2:12" ht="30" customHeight="1">
      <c r="B20" s="389"/>
      <c r="C20" s="396"/>
      <c r="D20" s="221" t="s">
        <v>85</v>
      </c>
      <c r="E20" s="222"/>
      <c r="F20" s="223" t="str">
        <f>IF(OR(D16&lt;&gt;"", D18&lt;&gt;""), "$/h", "")</f>
        <v/>
      </c>
      <c r="G20" s="233"/>
      <c r="H20" s="384"/>
      <c r="I20" s="384"/>
      <c r="J20" s="384"/>
      <c r="K20" s="384"/>
      <c r="L20" s="398"/>
    </row>
    <row r="21" spans="2:12" ht="30" customHeight="1">
      <c r="B21" s="388" t="s">
        <v>92</v>
      </c>
      <c r="C21" s="390" t="s">
        <v>89</v>
      </c>
      <c r="D21" s="232"/>
      <c r="E21" s="222"/>
      <c r="F21" s="223" t="str">
        <f>IF(D21="","","kW")</f>
        <v/>
      </c>
      <c r="G21" s="228" t="str">
        <f>IFERROR(INDEX('INFO-Direc'!$G$9:$G$25,
       MATCH(D21, 'INFO-Direc'!$D$9:$D$25, 0)),"")</f>
        <v/>
      </c>
      <c r="H21" s="385"/>
      <c r="I21" s="386"/>
      <c r="J21" s="386"/>
      <c r="K21" s="387"/>
      <c r="L21" s="397" t="str">
        <f>IFERROR(G21*G13*G22+G23+G24,"")</f>
        <v/>
      </c>
    </row>
    <row r="22" spans="2:12" ht="30" customHeight="1">
      <c r="B22" s="392"/>
      <c r="C22" s="393"/>
      <c r="D22" s="221" t="str">
        <f>IF(D21="", "Seleccionar Compresor ↑", "Carga Promedio de Uso de " &amp; D21)</f>
        <v>Seleccionar Compresor ↑</v>
      </c>
      <c r="E22" s="222"/>
      <c r="F22" s="223" t="str">
        <f>IF(ISERROR(FIND("Seleccionar", D22)), "%", "")</f>
        <v/>
      </c>
      <c r="G22" s="289" t="str">
        <f>IF(D21="","",IFERROR(
    INDEX('[4]INFO-Consumo'!I:I,
           MATCH(D21, '[4]INFO-Consumo'!D:D, 0)
    ),
""))</f>
        <v/>
      </c>
      <c r="H22" s="384"/>
      <c r="I22" s="384"/>
      <c r="J22" s="384"/>
      <c r="K22" s="384"/>
      <c r="L22" s="399"/>
    </row>
    <row r="23" spans="2:12" ht="30" customHeight="1">
      <c r="B23" s="392"/>
      <c r="C23" s="393"/>
      <c r="D23" s="235" t="str">
        <f>IF(D21="", "Seleccionar Compresor ↑", "Costo de Repuestos " &amp; D21)</f>
        <v>Seleccionar Compresor ↑</v>
      </c>
      <c r="E23" s="222"/>
      <c r="F23" s="223" t="str">
        <f>IF(ISERROR(FIND("Seleccionar", D23)), "$/h", "")</f>
        <v/>
      </c>
      <c r="G23" s="236" t="str">
        <f>IF(D21="","", SUM(IF(ISNUMBER(FIND("Compresor", 'INFO-Mant'!D9:D26)), 'INFO-Mant'!G9:G26 / 'INFO-Mant'!H9:H26, 0)))</f>
        <v/>
      </c>
      <c r="H23" s="385"/>
      <c r="I23" s="386"/>
      <c r="J23" s="386"/>
      <c r="K23" s="387"/>
      <c r="L23" s="399"/>
    </row>
    <row r="24" spans="2:12" ht="30" customHeight="1">
      <c r="B24" s="389"/>
      <c r="C24" s="391"/>
      <c r="D24" s="221" t="s">
        <v>85</v>
      </c>
      <c r="E24" s="222"/>
      <c r="F24" s="223" t="str">
        <f>IF(D21="","","$/h")</f>
        <v/>
      </c>
      <c r="G24" s="233"/>
      <c r="H24" s="384"/>
      <c r="I24" s="384"/>
      <c r="J24" s="384"/>
      <c r="K24" s="384"/>
      <c r="L24" s="398"/>
    </row>
    <row r="25" spans="2:12" ht="30" customHeight="1">
      <c r="B25" s="388" t="s">
        <v>94</v>
      </c>
      <c r="C25" s="390" t="s">
        <v>89</v>
      </c>
      <c r="D25" s="232"/>
      <c r="E25" s="222"/>
      <c r="F25" s="223" t="str">
        <f>IF(D25="","","$/L")</f>
        <v/>
      </c>
      <c r="G25" s="228" t="str">
        <f>IFERROR(INDEX('INFO-Direc'!$G$9:$G$25,
       MATCH(D25, 'INFO-Direc'!$D$9:$D$25, 0)),"")</f>
        <v/>
      </c>
      <c r="H25" s="384"/>
      <c r="I25" s="384"/>
      <c r="J25" s="384"/>
      <c r="K25" s="384"/>
      <c r="L25" s="381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92"/>
      <c r="C26" s="393"/>
      <c r="D26" s="221" t="str">
        <f>IF(D25="", "Seleccionar Refrigerante ↑", "Consumo de " &amp; D25)</f>
        <v>Seleccionar Refrigerante ↑</v>
      </c>
      <c r="E26" s="222"/>
      <c r="F26" s="223" t="str">
        <f>IF(ISERROR(FIND("Seleccionar", D26)), "L/Año", "")</f>
        <v/>
      </c>
      <c r="G26" s="238"/>
      <c r="H26" s="384"/>
      <c r="I26" s="384"/>
      <c r="J26" s="384"/>
      <c r="K26" s="384"/>
      <c r="L26" s="382"/>
    </row>
    <row r="27" spans="2:12" ht="30" customHeight="1">
      <c r="B27" s="392"/>
      <c r="C27" s="393"/>
      <c r="D27" s="232"/>
      <c r="E27" s="222"/>
      <c r="F27" s="223" t="str">
        <f>IF(D27="","","$/L")</f>
        <v/>
      </c>
      <c r="G27" s="228" t="str">
        <f>IFERROR(INDEX('INFO-Direc'!$G$9:$G$25,
       MATCH(D27, 'INFO-Direc'!$D$9:$D$25, 0)),"")</f>
        <v/>
      </c>
      <c r="H27" s="385"/>
      <c r="I27" s="386"/>
      <c r="J27" s="386"/>
      <c r="K27" s="387"/>
      <c r="L27" s="382"/>
    </row>
    <row r="28" spans="2:12" ht="30" customHeight="1">
      <c r="B28" s="392"/>
      <c r="C28" s="393"/>
      <c r="D28" s="221" t="str">
        <f>IF(D27="", "Seleccionar Refrigerante ↑", "Consumo de " &amp; D27)</f>
        <v>Seleccionar Refrigerante ↑</v>
      </c>
      <c r="E28" s="222"/>
      <c r="F28" s="223" t="str">
        <f>IF(ISERROR(FIND("Seleccionar", D28)), "L/Año", "")</f>
        <v/>
      </c>
      <c r="G28" s="239"/>
      <c r="H28" s="385"/>
      <c r="I28" s="386"/>
      <c r="J28" s="386"/>
      <c r="K28" s="387"/>
      <c r="L28" s="382"/>
    </row>
    <row r="29" spans="2:12" ht="30" customHeight="1">
      <c r="B29" s="389"/>
      <c r="C29" s="391"/>
      <c r="D29" s="221" t="s">
        <v>85</v>
      </c>
      <c r="E29" s="222"/>
      <c r="F29" s="223" t="str">
        <f>IF(OR(D25&lt;&gt;"", D27&lt;&gt;""), "$/h", "")</f>
        <v/>
      </c>
      <c r="G29" s="233"/>
      <c r="H29" s="384"/>
      <c r="I29" s="384"/>
      <c r="J29" s="384"/>
      <c r="K29" s="384"/>
      <c r="L29" s="383"/>
    </row>
    <row r="30" spans="2:12" ht="30" customHeight="1">
      <c r="B30" s="388" t="s">
        <v>167</v>
      </c>
      <c r="C30" s="394" t="s">
        <v>89</v>
      </c>
      <c r="D30" s="232"/>
      <c r="E30" s="222"/>
      <c r="F30" s="223" t="str">
        <f>IF(D30="","","$/L")</f>
        <v/>
      </c>
      <c r="G30" s="228" t="str">
        <f>IFERROR(INDEX('INFO-Direc'!$G$9:$G$25,
       MATCH(D30, 'INFO-Direc'!$D$9:$D$25, 0)),"")</f>
        <v/>
      </c>
      <c r="H30" s="384"/>
      <c r="I30" s="384"/>
      <c r="J30" s="384"/>
      <c r="K30" s="384"/>
      <c r="L30" s="381" t="str">
        <f>IF(
    AND(D30="", D32=""),
    "",
    IFERROR(
        IFERROR(G30 / (INDEX('INFO-OEE'!$E$18:$CA$18,
                               MATCH(C8, 'INFO-OEE'!$E$9:$CA$9, 0)) * 12), 0)
        * G31
        +
        IFERROR(G32 / (INDEX('INFO-OEE'!$E$18:$CA$18,
                               MATCH(C8, 'INFO-OEE'!$E$9:$CA$9, 0)) * 12), 0)
        * G33
        +
        IFERROR(G34, 0),
    "")
)</f>
        <v/>
      </c>
    </row>
    <row r="31" spans="2:12" s="152" customFormat="1" ht="30" customHeight="1">
      <c r="B31" s="392"/>
      <c r="C31" s="395"/>
      <c r="D31" s="221" t="str">
        <f>IF(D30="", "Seleccionar Anticorrosivo ↑", "Consumo de " &amp; D30)</f>
        <v>Seleccionar Anticorrosivo ↑</v>
      </c>
      <c r="E31" s="222"/>
      <c r="F31" s="223" t="str">
        <f>IF(ISERROR(FIND("Seleccionar", D31)), "L/Año", "")</f>
        <v/>
      </c>
      <c r="G31" s="234"/>
      <c r="H31" s="384"/>
      <c r="I31" s="384"/>
      <c r="J31" s="384"/>
      <c r="K31" s="384"/>
      <c r="L31" s="382"/>
    </row>
    <row r="32" spans="2:12" s="152" customFormat="1" ht="30" customHeight="1">
      <c r="B32" s="392"/>
      <c r="C32" s="395"/>
      <c r="D32" s="232"/>
      <c r="E32" s="222"/>
      <c r="F32" s="223" t="str">
        <f>IF(D32="","","$/L")</f>
        <v/>
      </c>
      <c r="G32" s="228" t="str">
        <f>IFERROR(INDEX('INFO-Direc'!$G$9:$G$25,
       MATCH(D32, 'INFO-Direc'!$D$9:$D$25, 0)),"")</f>
        <v/>
      </c>
      <c r="H32" s="385"/>
      <c r="I32" s="386"/>
      <c r="J32" s="386"/>
      <c r="K32" s="387"/>
      <c r="L32" s="382"/>
    </row>
    <row r="33" spans="2:12" s="152" customFormat="1" ht="30" customHeight="1">
      <c r="B33" s="392"/>
      <c r="C33" s="395"/>
      <c r="D33" s="221" t="str">
        <f>IF(D32="", "Seleccionar Anticorrosivo ↑", "Consumo de " &amp; D32)</f>
        <v>Seleccionar Anticorrosivo ↑</v>
      </c>
      <c r="E33" s="222"/>
      <c r="F33" s="223" t="str">
        <f>IF(ISERROR(FIND("Seleccionar", D33)), "L/Año", "")</f>
        <v/>
      </c>
      <c r="G33" s="234"/>
      <c r="H33" s="385"/>
      <c r="I33" s="386"/>
      <c r="J33" s="386"/>
      <c r="K33" s="387"/>
      <c r="L33" s="382"/>
    </row>
    <row r="34" spans="2:12" s="152" customFormat="1" ht="30" customHeight="1">
      <c r="B34" s="389"/>
      <c r="C34" s="396"/>
      <c r="D34" s="221" t="s">
        <v>85</v>
      </c>
      <c r="E34" s="222"/>
      <c r="F34" s="223" t="str">
        <f>IF(OR(D30&lt;&gt;"", D32&lt;&gt;""), "$/h", "")</f>
        <v/>
      </c>
      <c r="G34" s="233"/>
      <c r="H34" s="384"/>
      <c r="I34" s="384"/>
      <c r="J34" s="384"/>
      <c r="K34" s="384"/>
      <c r="L34" s="383"/>
    </row>
    <row r="35" spans="2:12" ht="30" customHeight="1">
      <c r="B35" s="388" t="s">
        <v>100</v>
      </c>
      <c r="C35" s="390" t="s">
        <v>89</v>
      </c>
      <c r="D35" s="221" t="str">
        <f>IF(D12="", "Seleccionar Area ↑", "Costo de Operarios")</f>
        <v>Seleccionar Area ↑</v>
      </c>
      <c r="E35" s="222"/>
      <c r="F35" s="223" t="str">
        <f>IF(D12="","","$/mes")</f>
        <v/>
      </c>
      <c r="G35" s="237" t="str">
        <f>IF(D12="","",IFERROR(
    INDEX('INFO-Personal'!$E$26:$CA$26,
           MATCH($C$3, 'INFO-Personal'!$E$9:$CA$9, 0)
    ),
""))</f>
        <v/>
      </c>
      <c r="H35" s="384"/>
      <c r="I35" s="384"/>
      <c r="J35" s="384"/>
      <c r="K35" s="384"/>
      <c r="L35" s="397" t="str">
        <f>IFERROR(
    (G35 / INDEX('INFO-OEE'!$E$18:$CA$18,
                  MATCH($C$3, 'INFO-OEE'!$E$9:$CA$9, 0)))
    + G36,
"")</f>
        <v/>
      </c>
    </row>
    <row r="36" spans="2:12" ht="30" customHeight="1">
      <c r="B36" s="389"/>
      <c r="C36" s="391"/>
      <c r="D36" s="221" t="s">
        <v>85</v>
      </c>
      <c r="E36" s="222"/>
      <c r="F36" s="223" t="str">
        <f>IF(D12="","","$/h")</f>
        <v/>
      </c>
      <c r="G36" s="240"/>
      <c r="H36" s="384"/>
      <c r="I36" s="384"/>
      <c r="J36" s="384"/>
      <c r="K36" s="384"/>
      <c r="L36" s="398"/>
    </row>
    <row r="37" spans="2:12" ht="30" customHeight="1">
      <c r="B37" s="241"/>
      <c r="C37" s="242"/>
      <c r="D37" s="243"/>
      <c r="E37" s="242"/>
      <c r="F37" s="244"/>
      <c r="G37" s="245"/>
      <c r="H37" s="409"/>
      <c r="I37" s="409"/>
      <c r="J37" s="409"/>
      <c r="K37" s="409"/>
      <c r="L37" s="246"/>
    </row>
    <row r="38" spans="2:12" ht="30" customHeight="1">
      <c r="B38" s="388" t="s">
        <v>16</v>
      </c>
      <c r="C38" s="390" t="s">
        <v>69</v>
      </c>
      <c r="D38" s="221" t="str">
        <f>IF(D12="", "Seleccionar Area ↑", "Costo de Supervisores")</f>
        <v>Seleccionar Area ↑</v>
      </c>
      <c r="E38" s="222"/>
      <c r="F38" s="247" t="str">
        <f>IF(D12="","","$/mes")</f>
        <v/>
      </c>
      <c r="G38" s="237" t="str">
        <f>IF(D12="","",IFERROR(
    INDEX('INFO-Personal'!$E$27:$CA$27,
           MATCH($C$3, 'INFO-Personal'!$E$9:$CA$9, 0)
    ),
""))</f>
        <v/>
      </c>
      <c r="H38" s="385"/>
      <c r="I38" s="386"/>
      <c r="J38" s="386"/>
      <c r="K38" s="387"/>
      <c r="L38" s="397" t="str">
        <f>IFERROR(
    (G38 / INDEX('INFO-OEE'!$E$18:$CA$18,
                  MATCH($C$3, 'INFO-OEE'!$E$9:$CA$9, 0)))
    + G39,
"")</f>
        <v/>
      </c>
    </row>
    <row r="39" spans="2:12" ht="30" customHeight="1">
      <c r="B39" s="392"/>
      <c r="C39" s="393"/>
      <c r="D39" s="221" t="s">
        <v>85</v>
      </c>
      <c r="E39" s="222"/>
      <c r="F39" s="223" t="str">
        <f>IF(D12="","","$/h")</f>
        <v/>
      </c>
      <c r="G39" s="240"/>
      <c r="H39" s="385"/>
      <c r="I39" s="386"/>
      <c r="J39" s="386"/>
      <c r="K39" s="387"/>
      <c r="L39" s="399"/>
    </row>
    <row r="40" spans="2:12" ht="30" customHeight="1">
      <c r="B40" s="388" t="s">
        <v>101</v>
      </c>
      <c r="C40" s="390" t="s">
        <v>69</v>
      </c>
      <c r="D40" s="221" t="str">
        <f>IF(D12="", "Seleccionar Area ↑", "Costo de Mant. Preventivo")</f>
        <v>Seleccionar Area ↑</v>
      </c>
      <c r="E40" s="222"/>
      <c r="F40" s="247" t="str">
        <f>IF(D12="","","$/mes")</f>
        <v/>
      </c>
      <c r="G40" s="237" t="str">
        <f>IF(D12="","",IFERROR(
    INDEX('INFO-Personal'!$E$28:$CA$28,
           MATCH($C$3, 'INFO-Personal'!$E$9:$CA$9, 0)
    ),
""))</f>
        <v/>
      </c>
      <c r="H40" s="385"/>
      <c r="I40" s="386"/>
      <c r="J40" s="386"/>
      <c r="K40" s="387"/>
      <c r="L40" s="397" t="str">
        <f>IF(D12="","",SUM(
    IFERROR((G40+G41) / INDEX('INFO-OEE'!$E$18:$CA$18, MATCH(C3, 'INFO-OEE'!$E$9:$CA$9, 0)), 0),
    IFERROR(G42 / G43, 0),
    IFERROR(G44 / G45, 0),
    IFERROR(G46 / G47, 0),
    IFERROR(G48, 0)
))</f>
        <v/>
      </c>
    </row>
    <row r="41" spans="2:12" ht="30" customHeight="1">
      <c r="B41" s="392"/>
      <c r="C41" s="393"/>
      <c r="D41" s="221" t="str">
        <f>IF(D12="", "Seleccionar Area ↑", "Costo de Mant. Correctivo")</f>
        <v>Seleccionar Area ↑</v>
      </c>
      <c r="E41" s="222"/>
      <c r="F41" s="247" t="str">
        <f>IF(D12="","","$/mes")</f>
        <v/>
      </c>
      <c r="G41" s="237" t="str">
        <f>IF(D12="","",IFERROR(
    INDEX('INFO-Personal'!$E$29:$CA$29,
           MATCH($C$3, 'INFO-Personal'!$E$9:$CA$9, 0)
    ),
""))</f>
        <v/>
      </c>
      <c r="H41" s="385"/>
      <c r="I41" s="386"/>
      <c r="J41" s="386"/>
      <c r="K41" s="387"/>
      <c r="L41" s="399"/>
    </row>
    <row r="42" spans="2:12" ht="30" customHeight="1">
      <c r="B42" s="392"/>
      <c r="C42" s="393"/>
      <c r="D42" s="232"/>
      <c r="E42" s="222"/>
      <c r="F42" s="223" t="str">
        <f>IF(D42="","","$/u")</f>
        <v/>
      </c>
      <c r="G42" s="237" t="str">
        <f>IFERROR(INDEX('INFO-Mant'!$G$9:$G$26,
       MATCH(D42, 'INFO-Mant'!$D$9:$D$26, 0)),"")</f>
        <v/>
      </c>
      <c r="H42" s="385"/>
      <c r="I42" s="386"/>
      <c r="J42" s="386"/>
      <c r="K42" s="387"/>
      <c r="L42" s="399"/>
    </row>
    <row r="43" spans="2:12" ht="30" customHeight="1">
      <c r="B43" s="392"/>
      <c r="C43" s="393"/>
      <c r="D43" s="221" t="str">
        <f>IF(D42="", "Seleccionar Repuesto ↑", "Vida Util de " &amp; D42)</f>
        <v>Seleccionar Repuesto ↑</v>
      </c>
      <c r="E43" s="222"/>
      <c r="F43" s="223" t="str">
        <f>IF(ISERROR(FIND("Seleccionar", D43)), "Horas/u", "")</f>
        <v/>
      </c>
      <c r="G43" s="238"/>
      <c r="H43" s="385"/>
      <c r="I43" s="386"/>
      <c r="J43" s="386"/>
      <c r="K43" s="387"/>
      <c r="L43" s="399"/>
    </row>
    <row r="44" spans="2:12" ht="30" customHeight="1">
      <c r="B44" s="392"/>
      <c r="C44" s="393"/>
      <c r="D44" s="232"/>
      <c r="E44" s="222"/>
      <c r="F44" s="223" t="str">
        <f>IF(D44="","","$/u")</f>
        <v/>
      </c>
      <c r="G44" s="237" t="str">
        <f>IFERROR(INDEX('INFO-Mant'!$G$9:$G$26,
       MATCH(D44, 'INFO-Mant'!$D$9:$D$26, 0)),"")</f>
        <v/>
      </c>
      <c r="H44" s="385"/>
      <c r="I44" s="386"/>
      <c r="J44" s="386"/>
      <c r="K44" s="387"/>
      <c r="L44" s="399"/>
    </row>
    <row r="45" spans="2:12" ht="30" customHeight="1">
      <c r="B45" s="392"/>
      <c r="C45" s="393"/>
      <c r="D45" s="221" t="str">
        <f>IF(D44="", "Seleccionar Repuesto ↑", "Vida Util de " &amp; D44)</f>
        <v>Seleccionar Repuesto ↑</v>
      </c>
      <c r="E45" s="222"/>
      <c r="F45" s="223" t="str">
        <f>IF(ISERROR(FIND("Seleccionar", D45)), "Horas/u", "")</f>
        <v/>
      </c>
      <c r="G45" s="238"/>
      <c r="H45" s="385"/>
      <c r="I45" s="386"/>
      <c r="J45" s="386"/>
      <c r="K45" s="387"/>
      <c r="L45" s="399"/>
    </row>
    <row r="46" spans="2:12" ht="30" customHeight="1">
      <c r="B46" s="392"/>
      <c r="C46" s="393"/>
      <c r="D46" s="232"/>
      <c r="E46" s="222"/>
      <c r="F46" s="223" t="str">
        <f>IF(D46="","","$/u")</f>
        <v/>
      </c>
      <c r="G46" s="237" t="str">
        <f>IFERROR(INDEX('INFO-Mant'!$G$9:$G$26,
       MATCH(D46, 'INFO-Mant'!$D$9:$D$26, 0)),"")</f>
        <v/>
      </c>
      <c r="H46" s="385"/>
      <c r="I46" s="386"/>
      <c r="J46" s="386"/>
      <c r="K46" s="387"/>
      <c r="L46" s="399"/>
    </row>
    <row r="47" spans="2:12" ht="36" customHeight="1">
      <c r="B47" s="392"/>
      <c r="C47" s="393"/>
      <c r="D47" s="221" t="str">
        <f>IF(D46="", "Seleccionar Repuesto ↑", "Vida Util de " &amp; D46)</f>
        <v>Seleccionar Repuesto ↑</v>
      </c>
      <c r="E47" s="222"/>
      <c r="F47" s="223" t="str">
        <f>IF(ISERROR(FIND("Seleccionar", D47)), "Horas/u", "")</f>
        <v/>
      </c>
      <c r="G47" s="240"/>
      <c r="H47" s="385"/>
      <c r="I47" s="386"/>
      <c r="J47" s="386"/>
      <c r="K47" s="387"/>
      <c r="L47" s="399"/>
    </row>
    <row r="48" spans="2:12" ht="30" customHeight="1">
      <c r="B48" s="389"/>
      <c r="C48" s="391"/>
      <c r="D48" s="221" t="s">
        <v>85</v>
      </c>
      <c r="E48" s="222"/>
      <c r="F48" s="223" t="str">
        <f>IF(D12="","","$/h")</f>
        <v/>
      </c>
      <c r="G48" s="240"/>
      <c r="H48" s="385"/>
      <c r="I48" s="386"/>
      <c r="J48" s="386"/>
      <c r="K48" s="387"/>
      <c r="L48" s="398"/>
    </row>
    <row r="49" spans="2:12" ht="30" customHeight="1">
      <c r="B49" s="248"/>
      <c r="C49" s="249"/>
      <c r="D49" s="250"/>
      <c r="E49" s="249"/>
      <c r="F49" s="251"/>
      <c r="G49" s="252"/>
      <c r="H49" s="249"/>
      <c r="I49" s="249"/>
      <c r="J49" s="249"/>
      <c r="K49" s="249"/>
      <c r="L49" s="253"/>
    </row>
    <row r="50" spans="2:12" ht="30" customHeight="1">
      <c r="B50" s="388" t="s">
        <v>102</v>
      </c>
      <c r="C50" s="394" t="s">
        <v>103</v>
      </c>
      <c r="D50" s="232"/>
      <c r="E50" s="222"/>
      <c r="F50" s="223" t="str">
        <f>IF(D50="","","$/h")</f>
        <v/>
      </c>
      <c r="G50" s="23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410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410"/>
      <c r="J50" s="410"/>
      <c r="K50" s="410"/>
      <c r="L50" s="255" t="str">
        <f ca="1">G50</f>
        <v/>
      </c>
    </row>
    <row r="51" spans="2:12" ht="30" customHeight="1">
      <c r="B51" s="392"/>
      <c r="C51" s="395"/>
      <c r="D51" s="232"/>
      <c r="E51" s="254"/>
      <c r="F51" s="223" t="str">
        <f>IF(D51="","","$/h")</f>
        <v/>
      </c>
      <c r="G51" s="23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410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410"/>
      <c r="J51" s="410"/>
      <c r="K51" s="410"/>
      <c r="L51" s="255" t="str">
        <f ca="1">G51</f>
        <v/>
      </c>
    </row>
    <row r="52" spans="2:12" ht="30" customHeight="1">
      <c r="B52" s="392"/>
      <c r="C52" s="395"/>
      <c r="D52" s="232"/>
      <c r="E52" s="222"/>
      <c r="F52" s="223" t="str">
        <f t="shared" ref="F52:F54" si="0">IF(D52="","","$/h")</f>
        <v/>
      </c>
      <c r="G52" s="23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410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410"/>
      <c r="J52" s="410"/>
      <c r="K52" s="410"/>
      <c r="L52" s="255" t="str">
        <f ca="1">G52</f>
        <v/>
      </c>
    </row>
    <row r="53" spans="2:12" ht="30" customHeight="1">
      <c r="B53" s="392"/>
      <c r="C53" s="395"/>
      <c r="D53" s="232"/>
      <c r="E53" s="222"/>
      <c r="F53" s="223" t="str">
        <f t="shared" si="0"/>
        <v/>
      </c>
      <c r="G53" s="23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410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410"/>
      <c r="J53" s="410"/>
      <c r="K53" s="410"/>
      <c r="L53" s="255" t="str">
        <f ca="1">G53</f>
        <v/>
      </c>
    </row>
    <row r="54" spans="2:12" ht="30" customHeight="1">
      <c r="B54" s="389"/>
      <c r="C54" s="396"/>
      <c r="D54" s="232"/>
      <c r="E54" s="222"/>
      <c r="F54" s="223" t="str">
        <f t="shared" si="0"/>
        <v/>
      </c>
      <c r="G54" s="23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410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410"/>
      <c r="J54" s="410"/>
      <c r="K54" s="410"/>
      <c r="L54" s="255" t="str">
        <f ca="1">G54</f>
        <v/>
      </c>
    </row>
    <row r="55" spans="2:12" ht="30" customHeight="1">
      <c r="B55" s="146"/>
      <c r="C55" s="147"/>
      <c r="D55" s="411"/>
      <c r="E55" s="411"/>
      <c r="F55" s="30"/>
      <c r="G55" s="30"/>
      <c r="H55" s="149"/>
      <c r="I55" s="149"/>
      <c r="J55" s="149"/>
      <c r="K55" s="30"/>
      <c r="L55" s="145"/>
    </row>
    <row r="56" spans="2:12" ht="30" customHeight="1" thickBot="1">
      <c r="B56" s="153" t="s">
        <v>39</v>
      </c>
      <c r="C56" s="330" t="s">
        <v>176</v>
      </c>
      <c r="D56" s="330"/>
      <c r="E56" s="154" t="s">
        <v>23</v>
      </c>
      <c r="F56" s="368"/>
      <c r="G56" s="368"/>
      <c r="H56" s="141"/>
      <c r="I56" s="141"/>
      <c r="J56" s="141"/>
      <c r="K56" s="256"/>
      <c r="L56" s="257"/>
    </row>
    <row r="57" spans="2:12" ht="30" customHeight="1" thickBot="1">
      <c r="B57" s="155"/>
      <c r="C57" s="156"/>
      <c r="D57" s="156"/>
      <c r="E57" s="156"/>
      <c r="F57" s="378"/>
      <c r="G57" s="378"/>
      <c r="H57" s="157"/>
      <c r="I57" s="157"/>
      <c r="J57" s="157"/>
      <c r="K57" s="258" t="s">
        <v>106</v>
      </c>
      <c r="L57" s="259">
        <f ca="1">IFERROR(SUM(L19:L54),"")</f>
        <v>0</v>
      </c>
    </row>
    <row r="59" spans="2:12" ht="30" customHeight="1">
      <c r="C59" s="117"/>
    </row>
  </sheetData>
  <sheetProtection algorithmName="SHA-512" hashValue="qIkcsxVFv7sB6xGDqZta0jP0nQXvEvKqEWf8+YAqb6Ln8VGOcJ3ej16IPIGFjnF6WdWJspmjEwVXPBHzLm1wpw==" saltValue="V0tdVbqhVP9BdFaJ96R9gQ==" spinCount="100000" sheet="1" objects="1" scenarios="1" selectLockedCells="1"/>
  <mergeCells count="80">
    <mergeCell ref="F57:G57"/>
    <mergeCell ref="B50:B54"/>
    <mergeCell ref="C50:C54"/>
    <mergeCell ref="H53:K53"/>
    <mergeCell ref="H54:K54"/>
    <mergeCell ref="D55:E55"/>
    <mergeCell ref="C56:D56"/>
    <mergeCell ref="F56:G56"/>
    <mergeCell ref="B38:B39"/>
    <mergeCell ref="C38:C39"/>
    <mergeCell ref="H50:K50"/>
    <mergeCell ref="H51:K51"/>
    <mergeCell ref="H52:K52"/>
    <mergeCell ref="B40:B48"/>
    <mergeCell ref="C40:C48"/>
    <mergeCell ref="H39:K39"/>
    <mergeCell ref="H40:K40"/>
    <mergeCell ref="H41:K41"/>
    <mergeCell ref="H42:K42"/>
    <mergeCell ref="H37:K37"/>
    <mergeCell ref="H38:K38"/>
    <mergeCell ref="L40:L48"/>
    <mergeCell ref="H44:K44"/>
    <mergeCell ref="H45:K45"/>
    <mergeCell ref="H46:K46"/>
    <mergeCell ref="H47:K47"/>
    <mergeCell ref="H48:K48"/>
    <mergeCell ref="H43:K43"/>
    <mergeCell ref="L38:L39"/>
    <mergeCell ref="C3:D3"/>
    <mergeCell ref="F3:G3"/>
    <mergeCell ref="C6:D6"/>
    <mergeCell ref="F6:G6"/>
    <mergeCell ref="C7:D7"/>
    <mergeCell ref="F7:G7"/>
    <mergeCell ref="H9:K9"/>
    <mergeCell ref="H10:K10"/>
    <mergeCell ref="H11:K11"/>
    <mergeCell ref="B10:B15"/>
    <mergeCell ref="C10:C15"/>
    <mergeCell ref="B16:B20"/>
    <mergeCell ref="C16:C20"/>
    <mergeCell ref="L16:L20"/>
    <mergeCell ref="H20:K20"/>
    <mergeCell ref="L10:L15"/>
    <mergeCell ref="H13:K13"/>
    <mergeCell ref="H15:K15"/>
    <mergeCell ref="H16:K16"/>
    <mergeCell ref="H17:K17"/>
    <mergeCell ref="H14:K14"/>
    <mergeCell ref="L21:L24"/>
    <mergeCell ref="H23:K23"/>
    <mergeCell ref="H24:K24"/>
    <mergeCell ref="H18:K18"/>
    <mergeCell ref="H19:K19"/>
    <mergeCell ref="H21:K21"/>
    <mergeCell ref="H22:K22"/>
    <mergeCell ref="L30:L34"/>
    <mergeCell ref="L25:L29"/>
    <mergeCell ref="H29:K29"/>
    <mergeCell ref="H30:K30"/>
    <mergeCell ref="H31:K31"/>
    <mergeCell ref="H32:K32"/>
    <mergeCell ref="H33:K33"/>
    <mergeCell ref="H34:K34"/>
    <mergeCell ref="H28:K28"/>
    <mergeCell ref="H25:K25"/>
    <mergeCell ref="H26:K26"/>
    <mergeCell ref="H27:K27"/>
    <mergeCell ref="B25:B29"/>
    <mergeCell ref="C25:C29"/>
    <mergeCell ref="B21:B24"/>
    <mergeCell ref="C21:C24"/>
    <mergeCell ref="B30:B34"/>
    <mergeCell ref="C30:C34"/>
    <mergeCell ref="H35:K35"/>
    <mergeCell ref="H36:K36"/>
    <mergeCell ref="L35:L36"/>
    <mergeCell ref="B35:B36"/>
    <mergeCell ref="C35:C36"/>
  </mergeCells>
  <dataValidations count="9">
    <dataValidation allowBlank="1" showInputMessage="1" showErrorMessage="1" prompt="Escriba comentarios en las celdas de la derecha." sqref="C59"/>
    <dataValidation type="list" allowBlank="1" showInputMessage="1" showErrorMessage="1" sqref="D51:D54">
      <formula1>Herramientas_Ensamble</formula1>
    </dataValidation>
    <dataValidation type="list" allowBlank="1" showInputMessage="1" showErrorMessage="1" sqref="D12">
      <formula1>Areas_Ensamble</formula1>
    </dataValidation>
    <dataValidation type="list" allowBlank="1" showInputMessage="1" showErrorMessage="1" sqref="D16 D18">
      <formula1>Lubricantes_Ensamble</formula1>
    </dataValidation>
    <dataValidation type="list" allowBlank="1" showInputMessage="1" showErrorMessage="1" sqref="D21">
      <formula1>AireComprimido_Ensamble</formula1>
    </dataValidation>
    <dataValidation type="list" allowBlank="1" showInputMessage="1" showErrorMessage="1" sqref="D25 D27">
      <formula1>Refrigerantes_Ensamble</formula1>
    </dataValidation>
    <dataValidation type="list" allowBlank="1" showInputMessage="1" showErrorMessage="1" sqref="D30 D32">
      <formula1>Anticorrosivo_Ensamble</formula1>
    </dataValidation>
    <dataValidation type="list" allowBlank="1" showInputMessage="1" showErrorMessage="1" sqref="D42 D44 D46">
      <formula1>Repuestos_Ensamble</formula1>
    </dataValidation>
    <dataValidation type="list" allowBlank="1" showInputMessage="1" showErrorMessage="1" sqref="D10 D50">
      <formula1>Maquinaria_Ensamble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54</xdr:row>
                    <xdr:rowOff>333375</xdr:rowOff>
                  </from>
                  <to>
                    <xdr:col>1</xdr:col>
                    <xdr:colOff>1762125</xdr:colOff>
                    <xdr:row>55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6">
    <tabColor rgb="FF0070C0"/>
    <pageSetUpPr autoPageBreaks="0" fitToPage="1"/>
  </sheetPr>
  <dimension ref="B1:M59"/>
  <sheetViews>
    <sheetView showGridLines="0" zoomScale="80" zoomScaleNormal="80" workbookViewId="0">
      <selection activeCell="D21" sqref="D21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3.140625" style="80" bestFit="1" customWidth="1"/>
    <col min="5" max="5" width="20.5703125" style="80" customWidth="1"/>
    <col min="6" max="6" width="16.5703125" style="80" bestFit="1" customWidth="1"/>
    <col min="7" max="7" width="19.7109375" style="80" bestFit="1" customWidth="1"/>
    <col min="8" max="8" width="15.28515625" style="80" customWidth="1"/>
    <col min="9" max="10" width="17" style="80" customWidth="1"/>
    <col min="11" max="11" width="28.42578125" style="80" customWidth="1"/>
    <col min="12" max="12" width="20.7109375" style="80" customWidth="1"/>
    <col min="13" max="13" width="2.7109375" style="80" customWidth="1"/>
    <col min="14" max="16384" width="9.140625" style="80"/>
  </cols>
  <sheetData>
    <row r="1" spans="2:13" ht="12" customHeight="1" thickBot="1"/>
    <row r="2" spans="2:13" ht="30" customHeight="1">
      <c r="B2" s="126" t="s">
        <v>95</v>
      </c>
      <c r="C2" s="127"/>
      <c r="D2" s="128"/>
      <c r="E2" s="128"/>
      <c r="F2" s="128"/>
      <c r="G2" s="128"/>
      <c r="H2" s="128"/>
      <c r="I2" s="128"/>
      <c r="J2" s="128"/>
      <c r="K2" s="128"/>
      <c r="L2" s="129"/>
    </row>
    <row r="3" spans="2:13" ht="30" customHeight="1">
      <c r="B3" s="130" t="s">
        <v>96</v>
      </c>
      <c r="C3" s="406" t="s">
        <v>119</v>
      </c>
      <c r="D3" s="406"/>
      <c r="E3" s="125" t="s">
        <v>3</v>
      </c>
      <c r="F3" s="356">
        <f ca="1">TODAY()</f>
        <v>46020</v>
      </c>
      <c r="G3" s="356"/>
      <c r="H3" s="125" t="s">
        <v>61</v>
      </c>
      <c r="I3" s="162">
        <f>'INFO-Direc'!H3</f>
        <v>1445</v>
      </c>
      <c r="J3" s="131"/>
      <c r="K3" s="132"/>
      <c r="L3" s="133"/>
      <c r="M3" s="134"/>
    </row>
    <row r="4" spans="2:13" ht="30" customHeight="1">
      <c r="B4" s="130" t="s">
        <v>97</v>
      </c>
      <c r="C4" s="160">
        <f>IFERROR(INDEX('INFO-OEE'!E17:CL17,
       MATCH(C3, 'INFO-OEE'!E9:CL9, 0)),"")</f>
        <v>0.8</v>
      </c>
      <c r="D4" s="135"/>
      <c r="E4" s="136"/>
      <c r="F4" s="136"/>
      <c r="G4" s="136"/>
      <c r="H4" s="125"/>
      <c r="I4" s="137"/>
      <c r="J4" s="131"/>
      <c r="K4" s="132"/>
      <c r="L4" s="138"/>
      <c r="M4" s="89"/>
    </row>
    <row r="5" spans="2:13" ht="30" customHeight="1">
      <c r="B5" s="139" t="s">
        <v>4</v>
      </c>
      <c r="C5" s="140"/>
      <c r="D5" s="141"/>
      <c r="E5" s="141"/>
      <c r="F5" s="141"/>
      <c r="G5" s="141"/>
      <c r="H5" s="141"/>
      <c r="I5" s="141"/>
      <c r="J5" s="141"/>
      <c r="K5" s="141"/>
      <c r="L5" s="142"/>
    </row>
    <row r="6" spans="2:13" ht="30" customHeight="1">
      <c r="B6" s="143" t="s">
        <v>5</v>
      </c>
      <c r="C6" s="407" t="s">
        <v>205</v>
      </c>
      <c r="D6" s="407"/>
      <c r="E6" s="144" t="s">
        <v>6</v>
      </c>
      <c r="F6" s="407"/>
      <c r="G6" s="407"/>
      <c r="H6" s="141"/>
      <c r="I6" s="141"/>
      <c r="J6" s="141"/>
      <c r="K6" s="30"/>
      <c r="L6" s="145"/>
    </row>
    <row r="7" spans="2:13" ht="30" customHeight="1">
      <c r="B7" s="143" t="s">
        <v>7</v>
      </c>
      <c r="C7" s="407"/>
      <c r="D7" s="407"/>
      <c r="E7" s="144" t="s">
        <v>62</v>
      </c>
      <c r="F7" s="408"/>
      <c r="G7" s="408"/>
      <c r="H7" s="141"/>
      <c r="I7" s="141"/>
      <c r="J7" s="141"/>
      <c r="K7" s="30"/>
      <c r="L7" s="145"/>
    </row>
    <row r="8" spans="2:13" ht="30" customHeight="1" thickBot="1">
      <c r="B8" s="146"/>
      <c r="C8" s="147"/>
      <c r="D8" s="148"/>
      <c r="E8" s="148"/>
      <c r="F8" s="30"/>
      <c r="G8" s="30"/>
      <c r="H8" s="149"/>
      <c r="I8" s="149"/>
      <c r="J8" s="149"/>
      <c r="K8" s="30"/>
      <c r="L8" s="145"/>
    </row>
    <row r="9" spans="2:13" ht="30" customHeight="1" thickBot="1">
      <c r="B9" s="67" t="s">
        <v>9</v>
      </c>
      <c r="C9" s="190" t="s">
        <v>63</v>
      </c>
      <c r="D9" s="190" t="s">
        <v>64</v>
      </c>
      <c r="E9" s="190" t="s">
        <v>65</v>
      </c>
      <c r="F9" s="190" t="s">
        <v>66</v>
      </c>
      <c r="G9" s="190" t="s">
        <v>67</v>
      </c>
      <c r="H9" s="319" t="s">
        <v>68</v>
      </c>
      <c r="I9" s="319"/>
      <c r="J9" s="319"/>
      <c r="K9" s="319"/>
      <c r="L9" s="191" t="s">
        <v>98</v>
      </c>
    </row>
    <row r="10" spans="2:13" ht="30" customHeight="1">
      <c r="B10" s="404" t="s">
        <v>88</v>
      </c>
      <c r="C10" s="405" t="s">
        <v>89</v>
      </c>
      <c r="D10" s="231" t="s">
        <v>119</v>
      </c>
      <c r="E10" s="218"/>
      <c r="F10" s="219" t="str">
        <f>IF(D10="","","kW")</f>
        <v>kW</v>
      </c>
      <c r="G10" s="220">
        <f>IF(D10="","",IFERROR(INDEX('[4]INFO-Consumo'!$F$9:$F$95,
       MATCH(D10, '[4]INFO-Consumo'!$D$9:$D$95, 0)),""))</f>
        <v>2.2000000000000002</v>
      </c>
      <c r="H10" s="401"/>
      <c r="I10" s="402"/>
      <c r="J10" s="402"/>
      <c r="K10" s="403"/>
      <c r="L10" s="400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0.37569614505508631</v>
      </c>
    </row>
    <row r="11" spans="2:13" ht="30" customHeight="1">
      <c r="B11" s="392"/>
      <c r="C11" s="393"/>
      <c r="D11" s="221" t="str">
        <f>IF(D10="", "Seleccionar Maquinaria ↑", "Carga Promedio de Uso de " &amp; D10)</f>
        <v>Carga Promedio de Uso de PRENSA QY-16</v>
      </c>
      <c r="E11" s="222"/>
      <c r="F11" s="223" t="str">
        <f>IF(ISERROR(FIND("Seleccionar", D11)), "%", "")</f>
        <v>%</v>
      </c>
      <c r="G11" s="289">
        <f>IF(D10="","",IFERROR(
    INDEX('[4]INFO-Consumo'!I:I,
           MATCH(D10, '[4]INFO-Consumo'!D:D, 0)
    ),
""))</f>
        <v>0.6</v>
      </c>
      <c r="H11" s="384"/>
      <c r="I11" s="384"/>
      <c r="J11" s="384"/>
      <c r="K11" s="384"/>
      <c r="L11" s="399"/>
    </row>
    <row r="12" spans="2:13" ht="30" customHeight="1">
      <c r="B12" s="392"/>
      <c r="C12" s="393"/>
      <c r="D12" s="232" t="s">
        <v>173</v>
      </c>
      <c r="E12" s="222"/>
      <c r="F12" s="223" t="str">
        <f>IF(D12="","","kW")</f>
        <v>kW</v>
      </c>
      <c r="G12" s="224">
        <f>IFERROR(INDEX('[4]INFO-Ponderacion'!$S$9:$S$13,
       MATCH(D12,'[4]INFO-Ponderacion'!$C$9:$C$13, 0)),"")</f>
        <v>2.4095999999999997</v>
      </c>
      <c r="H12" s="286"/>
      <c r="I12" s="287"/>
      <c r="J12" s="287"/>
      <c r="K12" s="288"/>
      <c r="L12" s="399"/>
    </row>
    <row r="13" spans="2:13" ht="30" customHeight="1">
      <c r="B13" s="392"/>
      <c r="C13" s="393"/>
      <c r="D13" s="221" t="str">
        <f>IF(D12="", "Seleccionar Area ↑", "Tarifa Electrica ")</f>
        <v xml:space="preserve">Tarifa Electrica </v>
      </c>
      <c r="E13" s="222"/>
      <c r="F13" s="223" t="str">
        <f>IF(D12="","","$/kWh")</f>
        <v>$/kWh</v>
      </c>
      <c r="G13" s="228">
        <f>IF(D12="","",'INFO-Direc'!$G$9)</f>
        <v>5.2613958629577628E-2</v>
      </c>
      <c r="H13" s="384"/>
      <c r="I13" s="384"/>
      <c r="J13" s="384"/>
      <c r="K13" s="384"/>
      <c r="L13" s="399"/>
    </row>
    <row r="14" spans="2:13" ht="30" customHeight="1">
      <c r="B14" s="392"/>
      <c r="C14" s="393"/>
      <c r="D14" s="229" t="str">
        <f>IF(D12="", "Seleccionar Area ↑", "Costo Electrico Fijo de " &amp; D12)</f>
        <v>Costo Electrico Fijo de Ensamble</v>
      </c>
      <c r="E14" s="222"/>
      <c r="F14" s="223" t="str">
        <f>IF(D12="","","$/h")</f>
        <v>$/h</v>
      </c>
      <c r="G14" s="290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0.17946712495021358</v>
      </c>
      <c r="H14" s="385"/>
      <c r="I14" s="386"/>
      <c r="J14" s="386"/>
      <c r="K14" s="387"/>
      <c r="L14" s="399"/>
    </row>
    <row r="15" spans="2:13" ht="30" customHeight="1">
      <c r="B15" s="389"/>
      <c r="C15" s="391"/>
      <c r="D15" s="229" t="s">
        <v>85</v>
      </c>
      <c r="E15" s="230"/>
      <c r="F15" s="223" t="str">
        <f>IF(D12="","","$/h")</f>
        <v>$/h</v>
      </c>
      <c r="G15" s="233"/>
      <c r="H15" s="385"/>
      <c r="I15" s="386"/>
      <c r="J15" s="386"/>
      <c r="K15" s="387"/>
      <c r="L15" s="398"/>
    </row>
    <row r="16" spans="2:13" ht="30" customHeight="1">
      <c r="B16" s="388" t="s">
        <v>90</v>
      </c>
      <c r="C16" s="394" t="s">
        <v>89</v>
      </c>
      <c r="D16" s="232"/>
      <c r="E16" s="222"/>
      <c r="F16" s="223" t="str">
        <f>IF(D16="","","$/L")</f>
        <v/>
      </c>
      <c r="G16" s="228" t="str">
        <f>IFERROR(INDEX('INFO-Direc'!$G$9:$G$25,
       MATCH(D16, 'INFO-Direc'!$D$9:$D$25, 0)),"")</f>
        <v/>
      </c>
      <c r="H16" s="384"/>
      <c r="I16" s="384"/>
      <c r="J16" s="384"/>
      <c r="K16" s="384"/>
      <c r="L16" s="397" t="str">
        <f>IF(AND(D16="", D18=""), "",
    IFERROR(
        IFERROR(G16*G17,0)
        + IFERROR(G18*G19,0)
        + IFERROR(G20,0),
    "")
)</f>
        <v/>
      </c>
    </row>
    <row r="17" spans="2:12" ht="30" customHeight="1">
      <c r="B17" s="392"/>
      <c r="C17" s="395"/>
      <c r="D17" s="221" t="str">
        <f>IF(D16="", "Seleccionar Lubricante ↑", "Consumo de " &amp; D16)</f>
        <v>Seleccionar Lubricante ↑</v>
      </c>
      <c r="E17" s="222"/>
      <c r="F17" s="223" t="str">
        <f>IF(ISERROR(FIND("Seleccionar", D17)), "L/h", "")</f>
        <v/>
      </c>
      <c r="G17" s="234"/>
      <c r="H17" s="384"/>
      <c r="I17" s="384"/>
      <c r="J17" s="384"/>
      <c r="K17" s="384"/>
      <c r="L17" s="399"/>
    </row>
    <row r="18" spans="2:12" ht="30" customHeight="1">
      <c r="B18" s="392"/>
      <c r="C18" s="395"/>
      <c r="D18" s="232"/>
      <c r="E18" s="222"/>
      <c r="F18" s="223" t="str">
        <f>IF(D18="","","$/L")</f>
        <v/>
      </c>
      <c r="G18" s="228" t="str">
        <f>IFERROR(INDEX('INFO-Direc'!$G$9:$G$25,
       MATCH(D18, 'INFO-Direc'!$D$9:$D$25, 0)),"")</f>
        <v/>
      </c>
      <c r="H18" s="385"/>
      <c r="I18" s="386"/>
      <c r="J18" s="386"/>
      <c r="K18" s="387"/>
      <c r="L18" s="399"/>
    </row>
    <row r="19" spans="2:12" ht="30" customHeight="1">
      <c r="B19" s="392"/>
      <c r="C19" s="395"/>
      <c r="D19" s="221" t="str">
        <f>IF(D18="", "Seleccionar Lubricante ↑", "Consumo de " &amp; D18)</f>
        <v>Seleccionar Lubricante ↑</v>
      </c>
      <c r="E19" s="222"/>
      <c r="F19" s="223" t="str">
        <f>IF(ISERROR(FIND("Seleccionar", D19)), "L/h", "")</f>
        <v/>
      </c>
      <c r="G19" s="234"/>
      <c r="H19" s="385"/>
      <c r="I19" s="386"/>
      <c r="J19" s="386"/>
      <c r="K19" s="387"/>
      <c r="L19" s="399"/>
    </row>
    <row r="20" spans="2:12" ht="30" customHeight="1">
      <c r="B20" s="389"/>
      <c r="C20" s="396"/>
      <c r="D20" s="221" t="s">
        <v>85</v>
      </c>
      <c r="E20" s="222"/>
      <c r="F20" s="223" t="str">
        <f>IF(OR(D16&lt;&gt;"", D18&lt;&gt;""), "$/h", "")</f>
        <v/>
      </c>
      <c r="G20" s="233"/>
      <c r="H20" s="384"/>
      <c r="I20" s="384"/>
      <c r="J20" s="384"/>
      <c r="K20" s="384"/>
      <c r="L20" s="398"/>
    </row>
    <row r="21" spans="2:12" ht="30" customHeight="1">
      <c r="B21" s="388" t="s">
        <v>92</v>
      </c>
      <c r="C21" s="390" t="s">
        <v>89</v>
      </c>
      <c r="D21" s="232" t="s">
        <v>138</v>
      </c>
      <c r="E21" s="222"/>
      <c r="F21" s="223" t="str">
        <f>IF(D21="","","kW")</f>
        <v>kW</v>
      </c>
      <c r="G21" s="228">
        <f>IFERROR(INDEX('INFO-Direc'!$G$9:$G$25,
       MATCH(D21, 'INFO-Direc'!$D$9:$D$25, 0)),"")</f>
        <v>56</v>
      </c>
      <c r="H21" s="385"/>
      <c r="I21" s="386"/>
      <c r="J21" s="386"/>
      <c r="K21" s="387"/>
      <c r="L21" s="397">
        <f>IFERROR(G21*G13*G22+G23+G24,"")</f>
        <v>1.8303340099538083</v>
      </c>
    </row>
    <row r="22" spans="2:12" ht="30" customHeight="1">
      <c r="B22" s="392"/>
      <c r="C22" s="393"/>
      <c r="D22" s="221" t="str">
        <f>IF(D21="", "Seleccionar Compresor ↑", "Carga Promedio de Uso de " &amp; D21)</f>
        <v>Carga Promedio de Uso de Compresor</v>
      </c>
      <c r="E22" s="222"/>
      <c r="F22" s="223" t="str">
        <f>IF(ISERROR(FIND("Seleccionar", D22)), "%", "")</f>
        <v>%</v>
      </c>
      <c r="G22" s="289">
        <f>IF(D21="","",IFERROR(
    INDEX('[4]INFO-Consumo'!I:I,
           MATCH(D21, '[4]INFO-Consumo'!D:D, 0)
    ),
""))</f>
        <v>0.6</v>
      </c>
      <c r="H22" s="384"/>
      <c r="I22" s="384"/>
      <c r="J22" s="384"/>
      <c r="K22" s="384"/>
      <c r="L22" s="399"/>
    </row>
    <row r="23" spans="2:12" ht="30" customHeight="1">
      <c r="B23" s="392"/>
      <c r="C23" s="393"/>
      <c r="D23" s="235" t="str">
        <f>IF(D21="", "Seleccionar Compresor ↑", "Costo de Repuestos " &amp; D21)</f>
        <v>Costo de Repuestos Compresor</v>
      </c>
      <c r="E23" s="222"/>
      <c r="F23" s="223" t="str">
        <f>IF(ISERROR(FIND("Seleccionar", D23)), "$/h", "")</f>
        <v>$/h</v>
      </c>
      <c r="G23" s="236">
        <f>IF(D21="","", SUM(IF(ISNUMBER(FIND("Compresor", 'INFO-Mant'!D9:D26)), 'INFO-Mant'!G9:G26 / 'INFO-Mant'!H9:H26, 0)))</f>
        <v>6.2505000000000005E-2</v>
      </c>
      <c r="H23" s="385"/>
      <c r="I23" s="386"/>
      <c r="J23" s="386"/>
      <c r="K23" s="387"/>
      <c r="L23" s="399"/>
    </row>
    <row r="24" spans="2:12" ht="30" customHeight="1">
      <c r="B24" s="389"/>
      <c r="C24" s="391"/>
      <c r="D24" s="221" t="s">
        <v>85</v>
      </c>
      <c r="E24" s="222"/>
      <c r="F24" s="223" t="str">
        <f>IF(D21="","","$/h")</f>
        <v>$/h</v>
      </c>
      <c r="G24" s="233"/>
      <c r="H24" s="384"/>
      <c r="I24" s="384"/>
      <c r="J24" s="384"/>
      <c r="K24" s="384"/>
      <c r="L24" s="398"/>
    </row>
    <row r="25" spans="2:12" ht="30" customHeight="1">
      <c r="B25" s="388" t="s">
        <v>94</v>
      </c>
      <c r="C25" s="390" t="s">
        <v>89</v>
      </c>
      <c r="D25" s="232"/>
      <c r="E25" s="222"/>
      <c r="F25" s="223" t="str">
        <f>IF(D25="","","$/L")</f>
        <v/>
      </c>
      <c r="G25" s="228" t="str">
        <f>IFERROR(INDEX('INFO-Direc'!$G$9:$G$25,
       MATCH(D25, 'INFO-Direc'!$D$9:$D$25, 0)),"")</f>
        <v/>
      </c>
      <c r="H25" s="384"/>
      <c r="I25" s="384"/>
      <c r="J25" s="384"/>
      <c r="K25" s="384"/>
      <c r="L25" s="381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92"/>
      <c r="C26" s="393"/>
      <c r="D26" s="221" t="str">
        <f>IF(D25="", "Seleccionar Refrigerante ↑", "Consumo de " &amp; D25)</f>
        <v>Seleccionar Refrigerante ↑</v>
      </c>
      <c r="E26" s="222"/>
      <c r="F26" s="223" t="str">
        <f>IF(ISERROR(FIND("Seleccionar", D26)), "L/Año", "")</f>
        <v/>
      </c>
      <c r="G26" s="238"/>
      <c r="H26" s="384"/>
      <c r="I26" s="384"/>
      <c r="J26" s="384"/>
      <c r="K26" s="384"/>
      <c r="L26" s="382"/>
    </row>
    <row r="27" spans="2:12" ht="30" customHeight="1">
      <c r="B27" s="392"/>
      <c r="C27" s="393"/>
      <c r="D27" s="232"/>
      <c r="E27" s="222"/>
      <c r="F27" s="223" t="str">
        <f>IF(D27="","","$/L")</f>
        <v/>
      </c>
      <c r="G27" s="228" t="str">
        <f>IFERROR(INDEX('INFO-Direc'!$G$9:$G$25,
       MATCH(D27, 'INFO-Direc'!$D$9:$D$25, 0)),"")</f>
        <v/>
      </c>
      <c r="H27" s="385"/>
      <c r="I27" s="386"/>
      <c r="J27" s="386"/>
      <c r="K27" s="387"/>
      <c r="L27" s="382"/>
    </row>
    <row r="28" spans="2:12" ht="30" customHeight="1">
      <c r="B28" s="392"/>
      <c r="C28" s="393"/>
      <c r="D28" s="221" t="str">
        <f>IF(D27="", "Seleccionar Refrigerante ↑", "Consumo de " &amp; D27)</f>
        <v>Seleccionar Refrigerante ↑</v>
      </c>
      <c r="E28" s="222"/>
      <c r="F28" s="223" t="str">
        <f>IF(ISERROR(FIND("Seleccionar", D28)), "L/Año", "")</f>
        <v/>
      </c>
      <c r="G28" s="239"/>
      <c r="H28" s="385"/>
      <c r="I28" s="386"/>
      <c r="J28" s="386"/>
      <c r="K28" s="387"/>
      <c r="L28" s="382"/>
    </row>
    <row r="29" spans="2:12" ht="30" customHeight="1">
      <c r="B29" s="389"/>
      <c r="C29" s="391"/>
      <c r="D29" s="221" t="s">
        <v>85</v>
      </c>
      <c r="E29" s="222"/>
      <c r="F29" s="223" t="str">
        <f>IF(OR(D25&lt;&gt;"", D27&lt;&gt;""), "$/h", "")</f>
        <v/>
      </c>
      <c r="G29" s="233"/>
      <c r="H29" s="384"/>
      <c r="I29" s="384"/>
      <c r="J29" s="384"/>
      <c r="K29" s="384"/>
      <c r="L29" s="383"/>
    </row>
    <row r="30" spans="2:12" s="152" customFormat="1" ht="30" customHeight="1">
      <c r="B30" s="388" t="s">
        <v>168</v>
      </c>
      <c r="C30" s="394" t="s">
        <v>89</v>
      </c>
      <c r="D30" s="232"/>
      <c r="E30" s="222"/>
      <c r="F30" s="223" t="str">
        <f>IF(D30="","","$/L")</f>
        <v/>
      </c>
      <c r="G30" s="228" t="str">
        <f>IFERROR(INDEX('INFO-Direc'!$G$9:$G$25,
       MATCH(D30, 'INFO-Direc'!$D$9:$D$25, 0)),"")</f>
        <v/>
      </c>
      <c r="H30" s="384"/>
      <c r="I30" s="384"/>
      <c r="J30" s="384"/>
      <c r="K30" s="384"/>
      <c r="L30" s="381" t="str">
        <f>IF(
    AND(D30="", D32=""),
    "",
    IFERROR(
        IFERROR(G30 / (INDEX('INFO-OEE'!$E$18:$CA$18,
                               MATCH(#REF!, 'INFO-OEE'!$E$9:$CA$9, 0)) * 12), 0)
        * G31
        +
        IFERROR(G32 / (INDEX('INFO-OEE'!$E$18:$CA$18,
                               MATCH(#REF!, 'INFO-OEE'!$E$9:$CA$9, 0)) * 12), 0)
        * G33
        +
        IFERROR(G34, 0),
    "")
)</f>
        <v/>
      </c>
    </row>
    <row r="31" spans="2:12" s="152" customFormat="1" ht="30" customHeight="1">
      <c r="B31" s="392"/>
      <c r="C31" s="395"/>
      <c r="D31" s="221" t="str">
        <f>IF(D30="", "Seleccionar Solvente ↑", "Consumo de " &amp; D30)</f>
        <v>Seleccionar Solvente ↑</v>
      </c>
      <c r="E31" s="222"/>
      <c r="F31" s="223" t="str">
        <f>IF(ISERROR(FIND("Seleccionar", D31)), "L/Año", "")</f>
        <v/>
      </c>
      <c r="G31" s="234"/>
      <c r="H31" s="384"/>
      <c r="I31" s="384"/>
      <c r="J31" s="384"/>
      <c r="K31" s="384"/>
      <c r="L31" s="382"/>
    </row>
    <row r="32" spans="2:12" s="152" customFormat="1" ht="30" customHeight="1">
      <c r="B32" s="392"/>
      <c r="C32" s="395"/>
      <c r="D32" s="232"/>
      <c r="E32" s="222"/>
      <c r="F32" s="223" t="str">
        <f>IF(D32="","","$/L")</f>
        <v/>
      </c>
      <c r="G32" s="228" t="str">
        <f>IFERROR(INDEX('INFO-Direc'!$G$9:$G$25,
       MATCH(D32, 'INFO-Direc'!$D$9:$D$25, 0)),"")</f>
        <v/>
      </c>
      <c r="H32" s="385"/>
      <c r="I32" s="386"/>
      <c r="J32" s="386"/>
      <c r="K32" s="387"/>
      <c r="L32" s="382"/>
    </row>
    <row r="33" spans="2:12" s="152" customFormat="1" ht="30" customHeight="1">
      <c r="B33" s="392"/>
      <c r="C33" s="395"/>
      <c r="D33" s="221" t="str">
        <f>IF(D32="", "Seleccionar Solvente ↑", "Consumo de " &amp; D32)</f>
        <v>Seleccionar Solvente ↑</v>
      </c>
      <c r="E33" s="222"/>
      <c r="F33" s="223" t="str">
        <f>IF(ISERROR(FIND("Seleccionar", D33)), "L/Año", "")</f>
        <v/>
      </c>
      <c r="G33" s="234"/>
      <c r="H33" s="385"/>
      <c r="I33" s="386"/>
      <c r="J33" s="386"/>
      <c r="K33" s="387"/>
      <c r="L33" s="382"/>
    </row>
    <row r="34" spans="2:12" s="152" customFormat="1" ht="30" customHeight="1">
      <c r="B34" s="389"/>
      <c r="C34" s="396"/>
      <c r="D34" s="221" t="s">
        <v>85</v>
      </c>
      <c r="E34" s="222"/>
      <c r="F34" s="223" t="str">
        <f>IF(OR(D30&lt;&gt;"", D32&lt;&gt;""), "$/h", "")</f>
        <v/>
      </c>
      <c r="G34" s="233"/>
      <c r="H34" s="384"/>
      <c r="I34" s="384"/>
      <c r="J34" s="384"/>
      <c r="K34" s="384"/>
      <c r="L34" s="383"/>
    </row>
    <row r="35" spans="2:12" ht="30" customHeight="1">
      <c r="B35" s="388" t="s">
        <v>100</v>
      </c>
      <c r="C35" s="390" t="s">
        <v>89</v>
      </c>
      <c r="D35" s="221" t="str">
        <f>IF(D12="", "Seleccionar Area ↑", "Costo de Operarios")</f>
        <v>Costo de Operarios</v>
      </c>
      <c r="E35" s="222"/>
      <c r="F35" s="223" t="str">
        <f>IF(D12="","","$/mes")</f>
        <v>$/mes</v>
      </c>
      <c r="G35" s="237">
        <f>IF(D12="","",IFERROR(
    INDEX('INFO-Personal'!$E$26:$CA$26,
           MATCH($C$3, 'INFO-Personal'!$E$9:$CA$9, 0)
    ),
""))</f>
        <v>647.14907205574923</v>
      </c>
      <c r="H35" s="384"/>
      <c r="I35" s="384"/>
      <c r="J35" s="384"/>
      <c r="K35" s="384"/>
      <c r="L35" s="397">
        <f>IFERROR(
    (G35 / INDEX('INFO-OEE'!$E$18:$CA$18,
                  MATCH($C$3, 'INFO-OEE'!$E$9:$CA$9, 0)))
    + G36,
"")</f>
        <v>4.5962292049414</v>
      </c>
    </row>
    <row r="36" spans="2:12" ht="30" customHeight="1">
      <c r="B36" s="389"/>
      <c r="C36" s="391"/>
      <c r="D36" s="221" t="s">
        <v>85</v>
      </c>
      <c r="E36" s="222"/>
      <c r="F36" s="223" t="str">
        <f>IF(D12="","","$/h")</f>
        <v>$/h</v>
      </c>
      <c r="G36" s="240"/>
      <c r="H36" s="384"/>
      <c r="I36" s="384"/>
      <c r="J36" s="384"/>
      <c r="K36" s="384"/>
      <c r="L36" s="398"/>
    </row>
    <row r="37" spans="2:12" ht="30" customHeight="1">
      <c r="B37" s="241"/>
      <c r="C37" s="242"/>
      <c r="D37" s="243"/>
      <c r="E37" s="242"/>
      <c r="F37" s="244"/>
      <c r="G37" s="245"/>
      <c r="H37" s="409"/>
      <c r="I37" s="409"/>
      <c r="J37" s="409"/>
      <c r="K37" s="409"/>
      <c r="L37" s="246"/>
    </row>
    <row r="38" spans="2:12" ht="30" customHeight="1">
      <c r="B38" s="388" t="s">
        <v>16</v>
      </c>
      <c r="C38" s="390" t="s">
        <v>69</v>
      </c>
      <c r="D38" s="221" t="str">
        <f>IF(D12="", "Seleccionar Area ↑", "Costo de Supervisores")</f>
        <v>Costo de Supervisores</v>
      </c>
      <c r="E38" s="222"/>
      <c r="F38" s="247" t="str">
        <f>IF(D12="","","$/mes")</f>
        <v>$/mes</v>
      </c>
      <c r="G38" s="237">
        <f>IF(D12="","",IFERROR(
    INDEX('INFO-Personal'!$E$27:$CA$27,
           MATCH($C$3, 'INFO-Personal'!$E$9:$CA$9, 0)
    ),
""))</f>
        <v>89.232053492110026</v>
      </c>
      <c r="H38" s="385"/>
      <c r="I38" s="386"/>
      <c r="J38" s="386"/>
      <c r="K38" s="387"/>
      <c r="L38" s="397">
        <f>IFERROR(
    (G38 / INDEX('INFO-OEE'!$E$18:$CA$18,
                  MATCH($C$3, 'INFO-OEE'!$E$9:$CA$9, 0)))
    + G39,
"")</f>
        <v>0.63375037991555416</v>
      </c>
    </row>
    <row r="39" spans="2:12" ht="30" customHeight="1">
      <c r="B39" s="392"/>
      <c r="C39" s="393"/>
      <c r="D39" s="221" t="s">
        <v>85</v>
      </c>
      <c r="E39" s="222"/>
      <c r="F39" s="223" t="str">
        <f>IF(D12="","","$/h")</f>
        <v>$/h</v>
      </c>
      <c r="G39" s="240"/>
      <c r="H39" s="385"/>
      <c r="I39" s="386"/>
      <c r="J39" s="386"/>
      <c r="K39" s="387"/>
      <c r="L39" s="399"/>
    </row>
    <row r="40" spans="2:12" ht="30" customHeight="1">
      <c r="B40" s="388" t="s">
        <v>101</v>
      </c>
      <c r="C40" s="390" t="s">
        <v>69</v>
      </c>
      <c r="D40" s="221" t="str">
        <f>IF(D12="", "Seleccionar Area ↑", "Costo de Mant. Preventivo")</f>
        <v>Costo de Mant. Preventivo</v>
      </c>
      <c r="E40" s="222"/>
      <c r="F40" s="247" t="str">
        <f>IF(D12="","","$/mes")</f>
        <v>$/mes</v>
      </c>
      <c r="G40" s="237">
        <f>IF(D12="","",IFERROR(
    INDEX('INFO-Personal'!$E$28:$CA$28,
           MATCH($C$3, 'INFO-Personal'!$E$9:$CA$9, 0)
    ),
""))</f>
        <v>3.4161288796569287</v>
      </c>
      <c r="H40" s="385"/>
      <c r="I40" s="386"/>
      <c r="J40" s="386"/>
      <c r="K40" s="387"/>
      <c r="L40" s="397">
        <f>IF(D12="","",SUM(
    IFERROR((G40+G41) / INDEX('INFO-OEE'!$E$18:$CA$18, MATCH(C3, 'INFO-OEE'!$E$9:$CA$9, 0)), 0),
    IFERROR(G42 / G43, 0),
    IFERROR(G44 / G45, 0),
    IFERROR(G46 / G47, 0),
    IFERROR(G48, 0)
))</f>
        <v>0.27449741271484929</v>
      </c>
    </row>
    <row r="41" spans="2:12" ht="30" customHeight="1">
      <c r="B41" s="392"/>
      <c r="C41" s="393"/>
      <c r="D41" s="221" t="str">
        <f>IF(D12="", "Seleccionar Area ↑", "Costo de Mant. Correctivo")</f>
        <v>Costo de Mant. Correctivo</v>
      </c>
      <c r="E41" s="222"/>
      <c r="F41" s="247" t="str">
        <f>IF(D12="","","$/mes")</f>
        <v>$/mes</v>
      </c>
      <c r="G41" s="237">
        <f>IF(D12="","",IFERROR(
    INDEX('INFO-Personal'!$E$29:$CA$29,
           MATCH($C$3, 'INFO-Personal'!$E$9:$CA$9, 0)
    ),
""))</f>
        <v>35.233106830593854</v>
      </c>
      <c r="H41" s="385"/>
      <c r="I41" s="386"/>
      <c r="J41" s="386"/>
      <c r="K41" s="387"/>
      <c r="L41" s="399"/>
    </row>
    <row r="42" spans="2:12" ht="30" customHeight="1">
      <c r="B42" s="392"/>
      <c r="C42" s="393"/>
      <c r="D42" s="232"/>
      <c r="E42" s="222"/>
      <c r="F42" s="223" t="str">
        <f>IF(D42="","","$/u")</f>
        <v/>
      </c>
      <c r="G42" s="237" t="str">
        <f>IFERROR(INDEX('INFO-Mant'!$G$9:$G$26,
       MATCH(D42, 'INFO-Mant'!$D$9:$D$26, 0)),"")</f>
        <v/>
      </c>
      <c r="H42" s="385"/>
      <c r="I42" s="386"/>
      <c r="J42" s="386"/>
      <c r="K42" s="387"/>
      <c r="L42" s="399"/>
    </row>
    <row r="43" spans="2:12" ht="30" customHeight="1">
      <c r="B43" s="392"/>
      <c r="C43" s="393"/>
      <c r="D43" s="221" t="str">
        <f>IF(D42="", "Seleccionar Repuesto ↑", "Vida Util de " &amp; D42)</f>
        <v>Seleccionar Repuesto ↑</v>
      </c>
      <c r="E43" s="222"/>
      <c r="F43" s="223" t="str">
        <f>IF(ISERROR(FIND("Seleccionar", D43)), "Horas/u", "")</f>
        <v/>
      </c>
      <c r="G43" s="238"/>
      <c r="H43" s="385"/>
      <c r="I43" s="386"/>
      <c r="J43" s="386"/>
      <c r="K43" s="387"/>
      <c r="L43" s="399"/>
    </row>
    <row r="44" spans="2:12" ht="30" customHeight="1">
      <c r="B44" s="392"/>
      <c r="C44" s="393"/>
      <c r="D44" s="232"/>
      <c r="E44" s="222"/>
      <c r="F44" s="223" t="str">
        <f>IF(D44="","","$/u")</f>
        <v/>
      </c>
      <c r="G44" s="237" t="str">
        <f>IFERROR(INDEX('INFO-Mant'!$G$9:$G$26,
       MATCH(D44, 'INFO-Mant'!$D$9:$D$26, 0)),"")</f>
        <v/>
      </c>
      <c r="H44" s="385"/>
      <c r="I44" s="386"/>
      <c r="J44" s="386"/>
      <c r="K44" s="387"/>
      <c r="L44" s="399"/>
    </row>
    <row r="45" spans="2:12" ht="30" customHeight="1">
      <c r="B45" s="392"/>
      <c r="C45" s="393"/>
      <c r="D45" s="221" t="str">
        <f>IF(D44="", "Seleccionar Repuesto ↑", "Vida Util de " &amp; D44)</f>
        <v>Seleccionar Repuesto ↑</v>
      </c>
      <c r="E45" s="222"/>
      <c r="F45" s="223" t="str">
        <f>IF(ISERROR(FIND("Seleccionar", D45)), "Horas/u", "")</f>
        <v/>
      </c>
      <c r="G45" s="238"/>
      <c r="H45" s="385"/>
      <c r="I45" s="386"/>
      <c r="J45" s="386"/>
      <c r="K45" s="387"/>
      <c r="L45" s="399"/>
    </row>
    <row r="46" spans="2:12" ht="30" customHeight="1">
      <c r="B46" s="392"/>
      <c r="C46" s="393"/>
      <c r="D46" s="232"/>
      <c r="E46" s="222"/>
      <c r="F46" s="223" t="str">
        <f>IF(D46="","","$/u")</f>
        <v/>
      </c>
      <c r="G46" s="237" t="str">
        <f>IFERROR(INDEX('INFO-Mant'!$G$9:$G$26,
       MATCH(D46, 'INFO-Mant'!$D$9:$D$26, 0)),"")</f>
        <v/>
      </c>
      <c r="H46" s="385"/>
      <c r="I46" s="386"/>
      <c r="J46" s="386"/>
      <c r="K46" s="387"/>
      <c r="L46" s="399"/>
    </row>
    <row r="47" spans="2:12" ht="33" customHeight="1">
      <c r="B47" s="392"/>
      <c r="C47" s="393"/>
      <c r="D47" s="221" t="str">
        <f>IF(D46="", "Seleccionar Repuesto ↑", "Vida Util de " &amp; D46)</f>
        <v>Seleccionar Repuesto ↑</v>
      </c>
      <c r="E47" s="222"/>
      <c r="F47" s="223" t="str">
        <f>IF(ISERROR(FIND("Seleccionar", D47)), "Horas/u", "")</f>
        <v/>
      </c>
      <c r="G47" s="240"/>
      <c r="H47" s="385"/>
      <c r="I47" s="386"/>
      <c r="J47" s="386"/>
      <c r="K47" s="387"/>
      <c r="L47" s="399"/>
    </row>
    <row r="48" spans="2:12" ht="30" customHeight="1">
      <c r="B48" s="389"/>
      <c r="C48" s="391"/>
      <c r="D48" s="221" t="s">
        <v>85</v>
      </c>
      <c r="E48" s="222"/>
      <c r="F48" s="223" t="str">
        <f>IF(D12="","","$/h")</f>
        <v>$/h</v>
      </c>
      <c r="G48" s="240"/>
      <c r="H48" s="385"/>
      <c r="I48" s="386"/>
      <c r="J48" s="386"/>
      <c r="K48" s="387"/>
      <c r="L48" s="398"/>
    </row>
    <row r="49" spans="2:12" ht="30" customHeight="1">
      <c r="B49" s="248"/>
      <c r="C49" s="249"/>
      <c r="D49" s="250"/>
      <c r="E49" s="249"/>
      <c r="F49" s="251"/>
      <c r="G49" s="252"/>
      <c r="H49" s="249"/>
      <c r="I49" s="249"/>
      <c r="J49" s="249"/>
      <c r="K49" s="249"/>
      <c r="L49" s="253"/>
    </row>
    <row r="50" spans="2:12" ht="30" customHeight="1">
      <c r="B50" s="388" t="s">
        <v>102</v>
      </c>
      <c r="C50" s="394" t="s">
        <v>103</v>
      </c>
      <c r="D50" s="232"/>
      <c r="E50" s="222"/>
      <c r="F50" s="223" t="str">
        <f>IF(D50="","","$/h")</f>
        <v/>
      </c>
      <c r="G50" s="23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410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410"/>
      <c r="J50" s="410"/>
      <c r="K50" s="410"/>
      <c r="L50" s="255" t="str">
        <f ca="1">G50</f>
        <v/>
      </c>
    </row>
    <row r="51" spans="2:12" ht="30" customHeight="1">
      <c r="B51" s="392"/>
      <c r="C51" s="395"/>
      <c r="D51" s="232"/>
      <c r="E51" s="254"/>
      <c r="F51" s="223" t="str">
        <f>IF(D51="","","$/h")</f>
        <v/>
      </c>
      <c r="G51" s="23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410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410"/>
      <c r="J51" s="410"/>
      <c r="K51" s="410"/>
      <c r="L51" s="255" t="str">
        <f ca="1">G51</f>
        <v/>
      </c>
    </row>
    <row r="52" spans="2:12" ht="30" customHeight="1">
      <c r="B52" s="392"/>
      <c r="C52" s="395"/>
      <c r="D52" s="232"/>
      <c r="E52" s="222"/>
      <c r="F52" s="223" t="str">
        <f t="shared" ref="F52:F54" si="0">IF(D52="","","$/h")</f>
        <v/>
      </c>
      <c r="G52" s="23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410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410"/>
      <c r="J52" s="410"/>
      <c r="K52" s="410"/>
      <c r="L52" s="255" t="str">
        <f ca="1">G52</f>
        <v/>
      </c>
    </row>
    <row r="53" spans="2:12" ht="30" customHeight="1">
      <c r="B53" s="392"/>
      <c r="C53" s="395"/>
      <c r="D53" s="232"/>
      <c r="E53" s="222"/>
      <c r="F53" s="223" t="str">
        <f t="shared" si="0"/>
        <v/>
      </c>
      <c r="G53" s="23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410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410"/>
      <c r="J53" s="410"/>
      <c r="K53" s="410"/>
      <c r="L53" s="255" t="str">
        <f ca="1">G53</f>
        <v/>
      </c>
    </row>
    <row r="54" spans="2:12" ht="30" customHeight="1">
      <c r="B54" s="389"/>
      <c r="C54" s="396"/>
      <c r="D54" s="232"/>
      <c r="E54" s="222"/>
      <c r="F54" s="223" t="str">
        <f t="shared" si="0"/>
        <v/>
      </c>
      <c r="G54" s="23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410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410"/>
      <c r="J54" s="410"/>
      <c r="K54" s="410"/>
      <c r="L54" s="255" t="str">
        <f ca="1">G54</f>
        <v/>
      </c>
    </row>
    <row r="55" spans="2:12" ht="30" customHeight="1">
      <c r="B55" s="146"/>
      <c r="C55" s="147"/>
      <c r="D55" s="411"/>
      <c r="E55" s="411"/>
      <c r="F55" s="30"/>
      <c r="G55" s="30"/>
      <c r="H55" s="149"/>
      <c r="I55" s="149"/>
      <c r="J55" s="149"/>
      <c r="K55" s="30"/>
      <c r="L55" s="145"/>
    </row>
    <row r="56" spans="2:12" ht="30" customHeight="1" thickBot="1">
      <c r="B56" s="153" t="s">
        <v>39</v>
      </c>
      <c r="C56" s="330"/>
      <c r="D56" s="330"/>
      <c r="E56" s="154" t="s">
        <v>23</v>
      </c>
      <c r="F56" s="368"/>
      <c r="G56" s="368"/>
      <c r="H56" s="141"/>
      <c r="I56" s="141"/>
      <c r="J56" s="141"/>
      <c r="K56" s="256"/>
      <c r="L56" s="257"/>
    </row>
    <row r="57" spans="2:12" ht="30" customHeight="1" thickBot="1">
      <c r="B57" s="155"/>
      <c r="C57" s="156"/>
      <c r="D57" s="156"/>
      <c r="E57" s="156"/>
      <c r="F57" s="378"/>
      <c r="G57" s="378"/>
      <c r="H57" s="157"/>
      <c r="I57" s="157"/>
      <c r="J57" s="157"/>
      <c r="K57" s="258" t="s">
        <v>106</v>
      </c>
      <c r="L57" s="259">
        <f ca="1">IFERROR(SUM(L19:L54),"")</f>
        <v>7.3348110075256114</v>
      </c>
    </row>
    <row r="59" spans="2:12" ht="30" customHeight="1">
      <c r="C59" s="117"/>
    </row>
  </sheetData>
  <sheetProtection algorithmName="SHA-512" hashValue="dzjbGVxMb1gsECg4JsdPO2oH9MpIS13HSFPKLUaeNvmthSAQVnnHEhOXAiFCpkFWm6+jBISy12zDvcb/d9zfbA==" saltValue="yTAErtvUEho1kmqWmVDa2A==" spinCount="100000" sheet="1" objects="1" scenarios="1" selectLockedCells="1"/>
  <mergeCells count="80">
    <mergeCell ref="D55:E55"/>
    <mergeCell ref="C56:D56"/>
    <mergeCell ref="F56:G56"/>
    <mergeCell ref="F57:G57"/>
    <mergeCell ref="B50:B54"/>
    <mergeCell ref="C50:C54"/>
    <mergeCell ref="H50:K50"/>
    <mergeCell ref="H51:K51"/>
    <mergeCell ref="H52:K52"/>
    <mergeCell ref="H53:K53"/>
    <mergeCell ref="H54:K54"/>
    <mergeCell ref="L38:L39"/>
    <mergeCell ref="B40:B48"/>
    <mergeCell ref="C40:C48"/>
    <mergeCell ref="L40:L48"/>
    <mergeCell ref="H44:K44"/>
    <mergeCell ref="H45:K45"/>
    <mergeCell ref="H46:K46"/>
    <mergeCell ref="H47:K47"/>
    <mergeCell ref="H48:K48"/>
    <mergeCell ref="H39:K39"/>
    <mergeCell ref="H40:K40"/>
    <mergeCell ref="H41:K41"/>
    <mergeCell ref="H42:K42"/>
    <mergeCell ref="H43:K43"/>
    <mergeCell ref="B38:B39"/>
    <mergeCell ref="C38:C39"/>
    <mergeCell ref="B10:B15"/>
    <mergeCell ref="C10:C15"/>
    <mergeCell ref="B16:B20"/>
    <mergeCell ref="C16:C20"/>
    <mergeCell ref="B21:B24"/>
    <mergeCell ref="C21:C24"/>
    <mergeCell ref="H38:K38"/>
    <mergeCell ref="H34:K34"/>
    <mergeCell ref="H35:K35"/>
    <mergeCell ref="H36:K36"/>
    <mergeCell ref="H37:K37"/>
    <mergeCell ref="B35:B36"/>
    <mergeCell ref="C35:C36"/>
    <mergeCell ref="L35:L36"/>
    <mergeCell ref="H30:K30"/>
    <mergeCell ref="H31:K31"/>
    <mergeCell ref="H32:K32"/>
    <mergeCell ref="H33:K33"/>
    <mergeCell ref="B30:B34"/>
    <mergeCell ref="C30:C34"/>
    <mergeCell ref="L30:L34"/>
    <mergeCell ref="B25:B29"/>
    <mergeCell ref="C25:C29"/>
    <mergeCell ref="L25:L29"/>
    <mergeCell ref="H23:K23"/>
    <mergeCell ref="H24:K24"/>
    <mergeCell ref="H25:K25"/>
    <mergeCell ref="L21:L24"/>
    <mergeCell ref="H29:K29"/>
    <mergeCell ref="H26:K26"/>
    <mergeCell ref="H27:K27"/>
    <mergeCell ref="H28:K28"/>
    <mergeCell ref="H20:K20"/>
    <mergeCell ref="H21:K21"/>
    <mergeCell ref="H22:K22"/>
    <mergeCell ref="L16:L20"/>
    <mergeCell ref="H16:K16"/>
    <mergeCell ref="H17:K17"/>
    <mergeCell ref="H18:K18"/>
    <mergeCell ref="H19:K19"/>
    <mergeCell ref="H13:K13"/>
    <mergeCell ref="H15:K15"/>
    <mergeCell ref="L10:L15"/>
    <mergeCell ref="H9:K9"/>
    <mergeCell ref="H10:K10"/>
    <mergeCell ref="H11:K11"/>
    <mergeCell ref="H14:K14"/>
    <mergeCell ref="C3:D3"/>
    <mergeCell ref="F3:G3"/>
    <mergeCell ref="C6:D6"/>
    <mergeCell ref="F6:G6"/>
    <mergeCell ref="C7:D7"/>
    <mergeCell ref="F7:G7"/>
  </mergeCells>
  <dataValidations count="9">
    <dataValidation type="list" allowBlank="1" showInputMessage="1" showErrorMessage="1" sqref="D51:D54">
      <formula1>Herramientas_Ensamble</formula1>
    </dataValidation>
    <dataValidation allowBlank="1" showInputMessage="1" showErrorMessage="1" prompt="Escriba comentarios en las celdas de la derecha." sqref="C59"/>
    <dataValidation type="list" allowBlank="1" showInputMessage="1" showErrorMessage="1" sqref="D10 D50">
      <formula1>Maquinaria_Ensamble</formula1>
    </dataValidation>
    <dataValidation type="list" allowBlank="1" showInputMessage="1" showErrorMessage="1" sqref="D42 D44 D46">
      <formula1>Repuestos_Ensamble</formula1>
    </dataValidation>
    <dataValidation type="list" allowBlank="1" showInputMessage="1" showErrorMessage="1" sqref="D30 D32">
      <formula1>Solvente_Ensamble</formula1>
    </dataValidation>
    <dataValidation type="list" allowBlank="1" showInputMessage="1" showErrorMessage="1" sqref="D25 D27">
      <formula1>Refrigerantes_Ensamble</formula1>
    </dataValidation>
    <dataValidation type="list" allowBlank="1" showInputMessage="1" showErrorMessage="1" sqref="D21">
      <formula1>AireComprimido_Ensamble</formula1>
    </dataValidation>
    <dataValidation type="list" allowBlank="1" showInputMessage="1" showErrorMessage="1" sqref="D16 D18">
      <formula1>Lubricantes_Ensamble</formula1>
    </dataValidation>
    <dataValidation type="list" allowBlank="1" showInputMessage="1" showErrorMessage="1" sqref="D12">
      <formula1>Areas_Ensamble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54</xdr:row>
                    <xdr:rowOff>333375</xdr:rowOff>
                  </from>
                  <to>
                    <xdr:col>1</xdr:col>
                    <xdr:colOff>1762125</xdr:colOff>
                    <xdr:row>55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7">
    <tabColor rgb="FF0070C0"/>
    <pageSetUpPr autoPageBreaks="0" fitToPage="1"/>
  </sheetPr>
  <dimension ref="B1:M59"/>
  <sheetViews>
    <sheetView showGridLines="0" topLeftCell="A13" zoomScale="80" zoomScaleNormal="80" workbookViewId="0">
      <selection activeCell="D30" sqref="D30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3.140625" style="80" bestFit="1" customWidth="1"/>
    <col min="5" max="5" width="20.5703125" style="80" customWidth="1"/>
    <col min="6" max="6" width="16.5703125" style="80" bestFit="1" customWidth="1"/>
    <col min="7" max="7" width="19.7109375" style="80" bestFit="1" customWidth="1"/>
    <col min="8" max="8" width="15.28515625" style="80" customWidth="1"/>
    <col min="9" max="10" width="17" style="80" customWidth="1"/>
    <col min="11" max="11" width="28.42578125" style="80" customWidth="1"/>
    <col min="12" max="12" width="20.7109375" style="80" customWidth="1"/>
    <col min="13" max="13" width="2.7109375" style="80" customWidth="1"/>
    <col min="14" max="16384" width="9.140625" style="80"/>
  </cols>
  <sheetData>
    <row r="1" spans="2:13" ht="12" customHeight="1" thickBot="1"/>
    <row r="2" spans="2:13" ht="30" customHeight="1">
      <c r="B2" s="126" t="s">
        <v>95</v>
      </c>
      <c r="C2" s="127"/>
      <c r="D2" s="128"/>
      <c r="E2" s="128"/>
      <c r="F2" s="128"/>
      <c r="G2" s="128"/>
      <c r="H2" s="128"/>
      <c r="I2" s="128"/>
      <c r="J2" s="128"/>
      <c r="K2" s="128"/>
      <c r="L2" s="129"/>
    </row>
    <row r="3" spans="2:13" ht="30" customHeight="1">
      <c r="B3" s="130" t="s">
        <v>96</v>
      </c>
      <c r="C3" s="406" t="s">
        <v>120</v>
      </c>
      <c r="D3" s="406"/>
      <c r="E3" s="125" t="s">
        <v>3</v>
      </c>
      <c r="F3" s="356">
        <f ca="1">TODAY()</f>
        <v>46020</v>
      </c>
      <c r="G3" s="356"/>
      <c r="H3" s="125" t="s">
        <v>61</v>
      </c>
      <c r="I3" s="162">
        <f>'INFO-Direc'!H3</f>
        <v>1445</v>
      </c>
      <c r="J3" s="131"/>
      <c r="K3" s="132"/>
      <c r="L3" s="133"/>
      <c r="M3" s="134"/>
    </row>
    <row r="4" spans="2:13" ht="30" customHeight="1">
      <c r="B4" s="130" t="s">
        <v>97</v>
      </c>
      <c r="C4" s="160">
        <f>IFERROR(INDEX('INFO-OEE'!E17:CL17,
       MATCH(C3, 'INFO-OEE'!E9:CL9, 0)),"")</f>
        <v>0.8</v>
      </c>
      <c r="D4" s="135"/>
      <c r="E4" s="136"/>
      <c r="F4" s="136"/>
      <c r="G4" s="136"/>
      <c r="H4" s="125"/>
      <c r="I4" s="137"/>
      <c r="J4" s="131"/>
      <c r="K4" s="132"/>
      <c r="L4" s="138"/>
      <c r="M4" s="89"/>
    </row>
    <row r="5" spans="2:13" ht="30" customHeight="1">
      <c r="B5" s="139" t="s">
        <v>4</v>
      </c>
      <c r="C5" s="140"/>
      <c r="D5" s="141"/>
      <c r="E5" s="141"/>
      <c r="F5" s="141"/>
      <c r="G5" s="141"/>
      <c r="H5" s="141"/>
      <c r="I5" s="141"/>
      <c r="J5" s="141"/>
      <c r="K5" s="141"/>
      <c r="L5" s="142"/>
    </row>
    <row r="6" spans="2:13" ht="30" customHeight="1">
      <c r="B6" s="143" t="s">
        <v>5</v>
      </c>
      <c r="C6" s="407" t="s">
        <v>205</v>
      </c>
      <c r="D6" s="407"/>
      <c r="E6" s="144" t="s">
        <v>6</v>
      </c>
      <c r="F6" s="407"/>
      <c r="G6" s="407"/>
      <c r="H6" s="141"/>
      <c r="I6" s="141"/>
      <c r="J6" s="141"/>
      <c r="K6" s="30"/>
      <c r="L6" s="145"/>
    </row>
    <row r="7" spans="2:13" ht="30" customHeight="1">
      <c r="B7" s="143" t="s">
        <v>7</v>
      </c>
      <c r="C7" s="407"/>
      <c r="D7" s="407"/>
      <c r="E7" s="144" t="s">
        <v>62</v>
      </c>
      <c r="F7" s="408"/>
      <c r="G7" s="408"/>
      <c r="H7" s="141"/>
      <c r="I7" s="141"/>
      <c r="J7" s="141"/>
      <c r="K7" s="30"/>
      <c r="L7" s="145"/>
    </row>
    <row r="8" spans="2:13" ht="30" customHeight="1" thickBot="1">
      <c r="B8" s="146"/>
      <c r="C8" s="147"/>
      <c r="D8" s="148"/>
      <c r="E8" s="148"/>
      <c r="F8" s="30"/>
      <c r="G8" s="30"/>
      <c r="H8" s="149"/>
      <c r="I8" s="149"/>
      <c r="J8" s="149"/>
      <c r="K8" s="30"/>
      <c r="L8" s="145"/>
    </row>
    <row r="9" spans="2:13" ht="30" customHeight="1" thickBot="1">
      <c r="B9" s="67" t="s">
        <v>9</v>
      </c>
      <c r="C9" s="190" t="s">
        <v>63</v>
      </c>
      <c r="D9" s="190" t="s">
        <v>64</v>
      </c>
      <c r="E9" s="190" t="s">
        <v>65</v>
      </c>
      <c r="F9" s="190" t="s">
        <v>66</v>
      </c>
      <c r="G9" s="190" t="s">
        <v>67</v>
      </c>
      <c r="H9" s="319" t="s">
        <v>68</v>
      </c>
      <c r="I9" s="319"/>
      <c r="J9" s="319"/>
      <c r="K9" s="319"/>
      <c r="L9" s="191" t="s">
        <v>98</v>
      </c>
    </row>
    <row r="10" spans="2:13" ht="30" customHeight="1">
      <c r="B10" s="404" t="s">
        <v>88</v>
      </c>
      <c r="C10" s="405" t="s">
        <v>89</v>
      </c>
      <c r="D10" s="231" t="s">
        <v>120</v>
      </c>
      <c r="E10" s="218"/>
      <c r="F10" s="219" t="str">
        <f>IF(D10="","","kW")</f>
        <v>kW</v>
      </c>
      <c r="G10" s="220">
        <f>IF(D10="","",IFERROR(INDEX('[4]INFO-Consumo'!$F$9:$F$95,
       MATCH(D10, '[4]INFO-Consumo'!$D$9:$D$95, 0)),""))</f>
        <v>10</v>
      </c>
      <c r="H10" s="401"/>
      <c r="I10" s="402"/>
      <c r="J10" s="402"/>
      <c r="K10" s="403"/>
      <c r="L10" s="400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0.84712953170722161</v>
      </c>
    </row>
    <row r="11" spans="2:13" ht="30" customHeight="1">
      <c r="B11" s="392"/>
      <c r="C11" s="393"/>
      <c r="D11" s="221" t="str">
        <f>IF(D10="", "Seleccionar Maquinaria ↑", "Carga Promedio de Uso de " &amp; D10)</f>
        <v>Carga Promedio de Uso de LAVADORA QXC-1-2 MS03</v>
      </c>
      <c r="E11" s="222"/>
      <c r="F11" s="223" t="str">
        <f>IF(ISERROR(FIND("Seleccionar", D11)), "%", "")</f>
        <v>%</v>
      </c>
      <c r="G11" s="289">
        <f>IF(D10="","",IFERROR(
    INDEX('[4]INFO-Consumo'!I:I,
           MATCH(D10, '[4]INFO-Consumo'!D:D, 0)
    ),
""))</f>
        <v>0.6</v>
      </c>
      <c r="H11" s="384"/>
      <c r="I11" s="384"/>
      <c r="J11" s="384"/>
      <c r="K11" s="384"/>
      <c r="L11" s="399"/>
    </row>
    <row r="12" spans="2:13" ht="30" customHeight="1">
      <c r="B12" s="392"/>
      <c r="C12" s="393"/>
      <c r="D12" s="232" t="s">
        <v>173</v>
      </c>
      <c r="E12" s="222"/>
      <c r="F12" s="223" t="str">
        <f>IF(D12="","","kW")</f>
        <v>kW</v>
      </c>
      <c r="G12" s="224">
        <f>IFERROR(INDEX('[4]INFO-Ponderacion'!$S$9:$S$13,
       MATCH(D12,'[4]INFO-Ponderacion'!$C$9:$C$13, 0)),"")</f>
        <v>2.4095999999999997</v>
      </c>
      <c r="H12" s="286"/>
      <c r="I12" s="287"/>
      <c r="J12" s="287"/>
      <c r="K12" s="288"/>
      <c r="L12" s="399"/>
    </row>
    <row r="13" spans="2:13" ht="30" customHeight="1">
      <c r="B13" s="392"/>
      <c r="C13" s="393"/>
      <c r="D13" s="221" t="str">
        <f>IF(D12="", "Seleccionar Area ↑", "Tarifa Electrica ")</f>
        <v xml:space="preserve">Tarifa Electrica </v>
      </c>
      <c r="E13" s="222"/>
      <c r="F13" s="223" t="str">
        <f>IF(D12="","","$/kWh")</f>
        <v>$/kWh</v>
      </c>
      <c r="G13" s="228">
        <f>IF(D12="","",'INFO-Direc'!$G$9)</f>
        <v>5.2613958629577628E-2</v>
      </c>
      <c r="H13" s="384"/>
      <c r="I13" s="384"/>
      <c r="J13" s="384"/>
      <c r="K13" s="384"/>
      <c r="L13" s="399"/>
    </row>
    <row r="14" spans="2:13" ht="30" customHeight="1">
      <c r="B14" s="392"/>
      <c r="C14" s="393"/>
      <c r="D14" s="229" t="str">
        <f>IF(D12="", "Seleccionar Area ↑", "Costo Electrico Fijo de " &amp; D12)</f>
        <v>Costo Electrico Fijo de Ensamble</v>
      </c>
      <c r="E14" s="222"/>
      <c r="F14" s="223" t="str">
        <f>IF(D12="","","$/h")</f>
        <v>$/h</v>
      </c>
      <c r="G14" s="290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0.4046671852159256</v>
      </c>
      <c r="H14" s="385"/>
      <c r="I14" s="386"/>
      <c r="J14" s="386"/>
      <c r="K14" s="387"/>
      <c r="L14" s="399"/>
    </row>
    <row r="15" spans="2:13" ht="30" customHeight="1">
      <c r="B15" s="389"/>
      <c r="C15" s="391"/>
      <c r="D15" s="229" t="s">
        <v>85</v>
      </c>
      <c r="E15" s="230"/>
      <c r="F15" s="223" t="str">
        <f>IF(D12="","","$/h")</f>
        <v>$/h</v>
      </c>
      <c r="G15" s="233"/>
      <c r="H15" s="385"/>
      <c r="I15" s="386"/>
      <c r="J15" s="386"/>
      <c r="K15" s="387"/>
      <c r="L15" s="398"/>
    </row>
    <row r="16" spans="2:13" ht="30" customHeight="1">
      <c r="B16" s="388" t="s">
        <v>90</v>
      </c>
      <c r="C16" s="394" t="s">
        <v>89</v>
      </c>
      <c r="D16" s="232"/>
      <c r="E16" s="222"/>
      <c r="F16" s="223" t="str">
        <f>IF(D16="","","$/L")</f>
        <v/>
      </c>
      <c r="G16" s="228" t="str">
        <f>IFERROR(INDEX('INFO-Direc'!$G$9:$G$25,
       MATCH(D16, 'INFO-Direc'!$D$9:$D$25, 0)),"")</f>
        <v/>
      </c>
      <c r="H16" s="384"/>
      <c r="I16" s="384"/>
      <c r="J16" s="384"/>
      <c r="K16" s="384"/>
      <c r="L16" s="397" t="str">
        <f>IF(AND(D16="", D18=""), "",
    IFERROR(
        IFERROR(G16*G17,0)
        + IFERROR(G18*G19,0)
        + IFERROR(G20,0),
    "")
)</f>
        <v/>
      </c>
    </row>
    <row r="17" spans="2:12" ht="30" customHeight="1">
      <c r="B17" s="392"/>
      <c r="C17" s="395"/>
      <c r="D17" s="221" t="str">
        <f>IF(D16="", "Seleccionar Lubricante ↑", "Consumo de " &amp; D16)</f>
        <v>Seleccionar Lubricante ↑</v>
      </c>
      <c r="E17" s="222"/>
      <c r="F17" s="223" t="str">
        <f>IF(ISERROR(FIND("Seleccionar", D17)), "L/h", "")</f>
        <v/>
      </c>
      <c r="G17" s="234"/>
      <c r="H17" s="384"/>
      <c r="I17" s="384"/>
      <c r="J17" s="384"/>
      <c r="K17" s="384"/>
      <c r="L17" s="399"/>
    </row>
    <row r="18" spans="2:12" ht="30" customHeight="1">
      <c r="B18" s="392"/>
      <c r="C18" s="395"/>
      <c r="D18" s="232"/>
      <c r="E18" s="222"/>
      <c r="F18" s="223" t="str">
        <f>IF(D18="","","$/L")</f>
        <v/>
      </c>
      <c r="G18" s="228" t="str">
        <f>IFERROR(INDEX('INFO-Direc'!$G$9:$G$25,
       MATCH(D18, 'INFO-Direc'!$D$9:$D$25, 0)),"")</f>
        <v/>
      </c>
      <c r="H18" s="385"/>
      <c r="I18" s="386"/>
      <c r="J18" s="386"/>
      <c r="K18" s="387"/>
      <c r="L18" s="399"/>
    </row>
    <row r="19" spans="2:12" ht="30" customHeight="1">
      <c r="B19" s="392"/>
      <c r="C19" s="395"/>
      <c r="D19" s="221" t="str">
        <f>IF(D18="", "Seleccionar Lubricante ↑", "Consumo de " &amp; D18)</f>
        <v>Seleccionar Lubricante ↑</v>
      </c>
      <c r="E19" s="222"/>
      <c r="F19" s="223" t="str">
        <f>IF(ISERROR(FIND("Seleccionar", D19)), "L/h", "")</f>
        <v/>
      </c>
      <c r="G19" s="234"/>
      <c r="H19" s="385"/>
      <c r="I19" s="386"/>
      <c r="J19" s="386"/>
      <c r="K19" s="387"/>
      <c r="L19" s="399"/>
    </row>
    <row r="20" spans="2:12" ht="30" customHeight="1">
      <c r="B20" s="389"/>
      <c r="C20" s="396"/>
      <c r="D20" s="221" t="s">
        <v>85</v>
      </c>
      <c r="E20" s="222"/>
      <c r="F20" s="223" t="str">
        <f>IF(OR(D16&lt;&gt;"", D18&lt;&gt;""), "$/h", "")</f>
        <v/>
      </c>
      <c r="G20" s="233"/>
      <c r="H20" s="384"/>
      <c r="I20" s="384"/>
      <c r="J20" s="384"/>
      <c r="K20" s="384"/>
      <c r="L20" s="398"/>
    </row>
    <row r="21" spans="2:12" ht="30" customHeight="1">
      <c r="B21" s="388" t="s">
        <v>92</v>
      </c>
      <c r="C21" s="390" t="s">
        <v>89</v>
      </c>
      <c r="D21" s="232"/>
      <c r="E21" s="222"/>
      <c r="F21" s="223" t="str">
        <f>IF(D21="","","kW")</f>
        <v/>
      </c>
      <c r="G21" s="228" t="str">
        <f>IFERROR(INDEX('INFO-Direc'!$G$9:$G$25,
       MATCH(D21, 'INFO-Direc'!$D$9:$D$25, 0)),"")</f>
        <v/>
      </c>
      <c r="H21" s="385"/>
      <c r="I21" s="386"/>
      <c r="J21" s="386"/>
      <c r="K21" s="387"/>
      <c r="L21" s="397" t="str">
        <f>IFERROR(G21*G13*G22+G23+G24,"")</f>
        <v/>
      </c>
    </row>
    <row r="22" spans="2:12" ht="30" customHeight="1">
      <c r="B22" s="392"/>
      <c r="C22" s="393"/>
      <c r="D22" s="221" t="str">
        <f>IF(D21="", "Seleccionar Compresor ↑", "Carga Promedio de Uso de " &amp; D21)</f>
        <v>Seleccionar Compresor ↑</v>
      </c>
      <c r="E22" s="222"/>
      <c r="F22" s="223" t="str">
        <f>IF(ISERROR(FIND("Seleccionar", D22)), "%", "")</f>
        <v/>
      </c>
      <c r="G22" s="289" t="str">
        <f>IF(D21="","",IFERROR(
    INDEX('[4]INFO-Consumo'!I:I,
           MATCH(D21, '[4]INFO-Consumo'!D:D, 0)
    ),
""))</f>
        <v/>
      </c>
      <c r="H22" s="384"/>
      <c r="I22" s="384"/>
      <c r="J22" s="384"/>
      <c r="K22" s="384"/>
      <c r="L22" s="399"/>
    </row>
    <row r="23" spans="2:12" ht="30" customHeight="1">
      <c r="B23" s="392"/>
      <c r="C23" s="393"/>
      <c r="D23" s="235" t="str">
        <f>IF(D21="", "Seleccionar Compresor ↑", "Costo de Repuestos " &amp; D21)</f>
        <v>Seleccionar Compresor ↑</v>
      </c>
      <c r="E23" s="222"/>
      <c r="F23" s="223" t="str">
        <f>IF(ISERROR(FIND("Seleccionar", D23)), "$/h", "")</f>
        <v/>
      </c>
      <c r="G23" s="236" t="str">
        <f>IF(D21="","", SUM(IF(ISNUMBER(FIND("Compresor", 'INFO-Mant'!D9:D26)), 'INFO-Mant'!G9:G26 / 'INFO-Mant'!H9:H26, 0)))</f>
        <v/>
      </c>
      <c r="H23" s="385"/>
      <c r="I23" s="386"/>
      <c r="J23" s="386"/>
      <c r="K23" s="387"/>
      <c r="L23" s="399"/>
    </row>
    <row r="24" spans="2:12" ht="30" customHeight="1">
      <c r="B24" s="389"/>
      <c r="C24" s="391"/>
      <c r="D24" s="221" t="s">
        <v>85</v>
      </c>
      <c r="E24" s="222"/>
      <c r="F24" s="223" t="str">
        <f>IF(D21="","","$/h")</f>
        <v/>
      </c>
      <c r="G24" s="233"/>
      <c r="H24" s="384"/>
      <c r="I24" s="384"/>
      <c r="J24" s="384"/>
      <c r="K24" s="384"/>
      <c r="L24" s="398"/>
    </row>
    <row r="25" spans="2:12" ht="30" customHeight="1">
      <c r="B25" s="388" t="s">
        <v>94</v>
      </c>
      <c r="C25" s="390" t="s">
        <v>89</v>
      </c>
      <c r="D25" s="232"/>
      <c r="E25" s="222"/>
      <c r="F25" s="223" t="str">
        <f>IF(D25="","","$/L")</f>
        <v/>
      </c>
      <c r="G25" s="228" t="str">
        <f>IFERROR(INDEX('INFO-Direc'!$G$9:$G$25,
       MATCH(D25, 'INFO-Direc'!$D$9:$D$25, 0)),"")</f>
        <v/>
      </c>
      <c r="H25" s="384"/>
      <c r="I25" s="384"/>
      <c r="J25" s="384"/>
      <c r="K25" s="384"/>
      <c r="L25" s="381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92"/>
      <c r="C26" s="393"/>
      <c r="D26" s="221" t="str">
        <f>IF(D25="", "Seleccionar Refrigerante ↑", "Consumo de " &amp; D25)</f>
        <v>Seleccionar Refrigerante ↑</v>
      </c>
      <c r="E26" s="222"/>
      <c r="F26" s="223" t="str">
        <f>IF(ISERROR(FIND("Seleccionar", D26)), "L/Año", "")</f>
        <v/>
      </c>
      <c r="G26" s="238"/>
      <c r="H26" s="384"/>
      <c r="I26" s="384"/>
      <c r="J26" s="384"/>
      <c r="K26" s="384"/>
      <c r="L26" s="382"/>
    </row>
    <row r="27" spans="2:12" ht="30" customHeight="1">
      <c r="B27" s="392"/>
      <c r="C27" s="393"/>
      <c r="D27" s="232"/>
      <c r="E27" s="222"/>
      <c r="F27" s="223" t="str">
        <f>IF(D27="","","$/L")</f>
        <v/>
      </c>
      <c r="G27" s="228" t="str">
        <f>IFERROR(INDEX('INFO-Direc'!$G$9:$G$25,
       MATCH(D27, 'INFO-Direc'!$D$9:$D$25, 0)),"")</f>
        <v/>
      </c>
      <c r="H27" s="385"/>
      <c r="I27" s="386"/>
      <c r="J27" s="386"/>
      <c r="K27" s="387"/>
      <c r="L27" s="382"/>
    </row>
    <row r="28" spans="2:12" ht="30" customHeight="1">
      <c r="B28" s="392"/>
      <c r="C28" s="393"/>
      <c r="D28" s="221" t="str">
        <f>IF(D27="", "Seleccionar Refrigerante ↑", "Consumo de " &amp; D27)</f>
        <v>Seleccionar Refrigerante ↑</v>
      </c>
      <c r="E28" s="222"/>
      <c r="F28" s="223" t="str">
        <f>IF(ISERROR(FIND("Seleccionar", D28)), "L/Año", "")</f>
        <v/>
      </c>
      <c r="G28" s="239"/>
      <c r="H28" s="385"/>
      <c r="I28" s="386"/>
      <c r="J28" s="386"/>
      <c r="K28" s="387"/>
      <c r="L28" s="382"/>
    </row>
    <row r="29" spans="2:12" ht="30" customHeight="1">
      <c r="B29" s="389"/>
      <c r="C29" s="391"/>
      <c r="D29" s="221" t="s">
        <v>85</v>
      </c>
      <c r="E29" s="222"/>
      <c r="F29" s="223" t="str">
        <f>IF(OR(D25&lt;&gt;"", D27&lt;&gt;""), "$/h", "")</f>
        <v/>
      </c>
      <c r="G29" s="233"/>
      <c r="H29" s="384"/>
      <c r="I29" s="384"/>
      <c r="J29" s="384"/>
      <c r="K29" s="384"/>
      <c r="L29" s="383"/>
    </row>
    <row r="30" spans="2:12" s="152" customFormat="1" ht="30" customHeight="1">
      <c r="B30" s="388" t="s">
        <v>168</v>
      </c>
      <c r="C30" s="394" t="s">
        <v>89</v>
      </c>
      <c r="D30" s="232" t="s">
        <v>155</v>
      </c>
      <c r="E30" s="222"/>
      <c r="F30" s="223" t="str">
        <f>IF(D30="","","$/L")</f>
        <v>$/L</v>
      </c>
      <c r="G30" s="228">
        <f>IFERROR(INDEX('INFO-Direc'!$G$9:$G$25,
       MATCH(D30, 'INFO-Direc'!$D$9:$D$25, 0)),"")</f>
        <v>1.2463157894736843</v>
      </c>
      <c r="H30" s="384"/>
      <c r="I30" s="384"/>
      <c r="J30" s="384"/>
      <c r="K30" s="384"/>
      <c r="L30" s="381">
        <f>IF(
    AND(D30="", D32=""),
    "",
    IFERROR(
        IFERROR(G30 / (INDEX('INFO-OEE'!$E$18:$CA$18,
                               MATCH(#REF!, 'INFO-OEE'!$E$9:$CA$9, 0)) * 12), 0)
        * G31
        +
        IFERROR(G32 / (INDEX('INFO-OEE'!$E$18:$CA$18,
                               MATCH(#REF!, 'INFO-OEE'!$E$9:$CA$9, 0)) * 12), 0)
        * G33
        +
        IFERROR(G34, 0),
    "")
)</f>
        <v>0</v>
      </c>
    </row>
    <row r="31" spans="2:12" s="152" customFormat="1" ht="30" customHeight="1">
      <c r="B31" s="392"/>
      <c r="C31" s="395"/>
      <c r="D31" s="221" t="str">
        <f>IF(D30="", "Seleccionar Solvente ↑", "Consumo de " &amp; D30)</f>
        <v>Consumo de Solvente 261</v>
      </c>
      <c r="E31" s="222"/>
      <c r="F31" s="223" t="str">
        <f>IF(ISERROR(FIND("Seleccionar", D31)), "L/Año", "")</f>
        <v>L/Año</v>
      </c>
      <c r="G31" s="234"/>
      <c r="H31" s="384"/>
      <c r="I31" s="384"/>
      <c r="J31" s="384"/>
      <c r="K31" s="384"/>
      <c r="L31" s="382"/>
    </row>
    <row r="32" spans="2:12" s="152" customFormat="1" ht="30" customHeight="1">
      <c r="B32" s="392"/>
      <c r="C32" s="395"/>
      <c r="D32" s="232"/>
      <c r="E32" s="222"/>
      <c r="F32" s="223" t="str">
        <f>IF(D32="","","$/L")</f>
        <v/>
      </c>
      <c r="G32" s="228" t="str">
        <f>IFERROR(INDEX('INFO-Direc'!$G$9:$G$25,
       MATCH(D32, 'INFO-Direc'!$D$9:$D$25, 0)),"")</f>
        <v/>
      </c>
      <c r="H32" s="385"/>
      <c r="I32" s="386"/>
      <c r="J32" s="386"/>
      <c r="K32" s="387"/>
      <c r="L32" s="382"/>
    </row>
    <row r="33" spans="2:12" s="152" customFormat="1" ht="30" customHeight="1">
      <c r="B33" s="392"/>
      <c r="C33" s="395"/>
      <c r="D33" s="221" t="str">
        <f>IF(D32="", "Seleccionar Solvente ↑", "Consumo de " &amp; D32)</f>
        <v>Seleccionar Solvente ↑</v>
      </c>
      <c r="E33" s="222"/>
      <c r="F33" s="223" t="str">
        <f>IF(ISERROR(FIND("Seleccionar", D33)), "L/Año", "")</f>
        <v/>
      </c>
      <c r="G33" s="234"/>
      <c r="H33" s="385"/>
      <c r="I33" s="386"/>
      <c r="J33" s="386"/>
      <c r="K33" s="387"/>
      <c r="L33" s="382"/>
    </row>
    <row r="34" spans="2:12" s="152" customFormat="1" ht="30" customHeight="1">
      <c r="B34" s="389"/>
      <c r="C34" s="396"/>
      <c r="D34" s="221" t="s">
        <v>85</v>
      </c>
      <c r="E34" s="222"/>
      <c r="F34" s="223" t="str">
        <f>IF(OR(D30&lt;&gt;"", D32&lt;&gt;""), "$/h", "")</f>
        <v>$/h</v>
      </c>
      <c r="G34" s="233"/>
      <c r="H34" s="384"/>
      <c r="I34" s="384"/>
      <c r="J34" s="384"/>
      <c r="K34" s="384"/>
      <c r="L34" s="383"/>
    </row>
    <row r="35" spans="2:12" ht="30" customHeight="1">
      <c r="B35" s="388" t="s">
        <v>100</v>
      </c>
      <c r="C35" s="390" t="s">
        <v>89</v>
      </c>
      <c r="D35" s="221" t="str">
        <f>IF(D12="", "Seleccionar Area ↑", "Costo de Operarios")</f>
        <v>Costo de Operarios</v>
      </c>
      <c r="E35" s="222"/>
      <c r="F35" s="223" t="str">
        <f>IF(D12="","","$/mes")</f>
        <v>$/mes</v>
      </c>
      <c r="G35" s="237">
        <f>IF(D12="","",IFERROR(
    INDEX('INFO-Personal'!$E$26:$CA$26,
           MATCH($C$3, 'INFO-Personal'!$E$9:$CA$9, 0)
    ),
""))</f>
        <v>0</v>
      </c>
      <c r="H35" s="384"/>
      <c r="I35" s="384"/>
      <c r="J35" s="384"/>
      <c r="K35" s="384"/>
      <c r="L35" s="397">
        <f>IFERROR(
    (G35 / INDEX('INFO-OEE'!$E$18:$CA$18,
                  MATCH($C$3, 'INFO-OEE'!$E$9:$CA$9, 0)))
    + G36,
"")</f>
        <v>0</v>
      </c>
    </row>
    <row r="36" spans="2:12" ht="30" customHeight="1">
      <c r="B36" s="389"/>
      <c r="C36" s="391"/>
      <c r="D36" s="221" t="s">
        <v>85</v>
      </c>
      <c r="E36" s="222"/>
      <c r="F36" s="223" t="str">
        <f>IF(D12="","","$/h")</f>
        <v>$/h</v>
      </c>
      <c r="G36" s="240"/>
      <c r="H36" s="384"/>
      <c r="I36" s="384"/>
      <c r="J36" s="384"/>
      <c r="K36" s="384"/>
      <c r="L36" s="398"/>
    </row>
    <row r="37" spans="2:12" ht="30" customHeight="1">
      <c r="B37" s="241"/>
      <c r="C37" s="242"/>
      <c r="D37" s="243"/>
      <c r="E37" s="242"/>
      <c r="F37" s="244"/>
      <c r="G37" s="245"/>
      <c r="H37" s="409"/>
      <c r="I37" s="409"/>
      <c r="J37" s="409"/>
      <c r="K37" s="409"/>
      <c r="L37" s="246"/>
    </row>
    <row r="38" spans="2:12" ht="30" customHeight="1">
      <c r="B38" s="388" t="s">
        <v>16</v>
      </c>
      <c r="C38" s="390" t="s">
        <v>69</v>
      </c>
      <c r="D38" s="221" t="str">
        <f>IF(D12="", "Seleccionar Area ↑", "Costo de Supervisores")</f>
        <v>Costo de Supervisores</v>
      </c>
      <c r="E38" s="222"/>
      <c r="F38" s="247" t="str">
        <f>IF(D12="","","$/mes")</f>
        <v>$/mes</v>
      </c>
      <c r="G38" s="237">
        <f>IF(D12="","",IFERROR(
    INDEX('INFO-Personal'!$E$27:$CA$27,
           MATCH($C$3, 'INFO-Personal'!$E$9:$CA$9, 0)
    ),
""))</f>
        <v>0</v>
      </c>
      <c r="H38" s="385"/>
      <c r="I38" s="386"/>
      <c r="J38" s="386"/>
      <c r="K38" s="387"/>
      <c r="L38" s="397">
        <f>IFERROR(
    (G38 / INDEX('INFO-OEE'!$E$18:$CA$18,
                  MATCH($C$3, 'INFO-OEE'!$E$9:$CA$9, 0)))
    + G39,
"")</f>
        <v>0</v>
      </c>
    </row>
    <row r="39" spans="2:12" ht="30" customHeight="1">
      <c r="B39" s="392"/>
      <c r="C39" s="393"/>
      <c r="D39" s="221" t="s">
        <v>85</v>
      </c>
      <c r="E39" s="222"/>
      <c r="F39" s="223" t="str">
        <f>IF(D12="","","$/h")</f>
        <v>$/h</v>
      </c>
      <c r="G39" s="240"/>
      <c r="H39" s="385"/>
      <c r="I39" s="386"/>
      <c r="J39" s="386"/>
      <c r="K39" s="387"/>
      <c r="L39" s="399"/>
    </row>
    <row r="40" spans="2:12" ht="30" customHeight="1">
      <c r="B40" s="388" t="s">
        <v>101</v>
      </c>
      <c r="C40" s="390" t="s">
        <v>69</v>
      </c>
      <c r="D40" s="221" t="str">
        <f>IF(D12="", "Seleccionar Area ↑", "Costo de Mant. Preventivo")</f>
        <v>Costo de Mant. Preventivo</v>
      </c>
      <c r="E40" s="222"/>
      <c r="F40" s="247" t="str">
        <f>IF(D12="","","$/mes")</f>
        <v>$/mes</v>
      </c>
      <c r="G40" s="237">
        <f>IF(D12="","",IFERROR(
    INDEX('INFO-Personal'!$E$28:$CA$28,
           MATCH($C$3, 'INFO-Personal'!$E$9:$CA$9, 0)
    ),
""))</f>
        <v>0</v>
      </c>
      <c r="H40" s="385"/>
      <c r="I40" s="386"/>
      <c r="J40" s="386"/>
      <c r="K40" s="387"/>
      <c r="L40" s="397">
        <f>IF(D12="","",SUM(
    IFERROR((G40+G41) / INDEX('INFO-OEE'!$E$18:$CA$18, MATCH(C3, 'INFO-OEE'!$E$9:$CA$9, 0)), 0),
    IFERROR(G42 / G43, 0),
    IFERROR(G44 / G45, 0),
    IFERROR(G46 / G47, 0),
    IFERROR(G48, 0)
))</f>
        <v>0</v>
      </c>
    </row>
    <row r="41" spans="2:12" ht="30" customHeight="1">
      <c r="B41" s="392"/>
      <c r="C41" s="393"/>
      <c r="D41" s="221" t="str">
        <f>IF(D12="", "Seleccionar Area ↑", "Costo de Mant. Correctivo")</f>
        <v>Costo de Mant. Correctivo</v>
      </c>
      <c r="E41" s="222"/>
      <c r="F41" s="247" t="str">
        <f>IF(D12="","","$/mes")</f>
        <v>$/mes</v>
      </c>
      <c r="G41" s="237">
        <f>IF(D12="","",IFERROR(
    INDEX('INFO-Personal'!$E$29:$CA$29,
           MATCH($C$3, 'INFO-Personal'!$E$9:$CA$9, 0)
    ),
""))</f>
        <v>0</v>
      </c>
      <c r="H41" s="385"/>
      <c r="I41" s="386"/>
      <c r="J41" s="386"/>
      <c r="K41" s="387"/>
      <c r="L41" s="399"/>
    </row>
    <row r="42" spans="2:12" ht="30" customHeight="1">
      <c r="B42" s="392"/>
      <c r="C42" s="393"/>
      <c r="D42" s="232"/>
      <c r="E42" s="222"/>
      <c r="F42" s="223" t="str">
        <f>IF(D42="","","$/u")</f>
        <v/>
      </c>
      <c r="G42" s="237" t="str">
        <f>IFERROR(INDEX('INFO-Mant'!$G$9:$G$26,
       MATCH(D42, 'INFO-Mant'!$D$9:$D$26, 0)),"")</f>
        <v/>
      </c>
      <c r="H42" s="385"/>
      <c r="I42" s="386"/>
      <c r="J42" s="386"/>
      <c r="K42" s="387"/>
      <c r="L42" s="399"/>
    </row>
    <row r="43" spans="2:12" ht="30" customHeight="1">
      <c r="B43" s="392"/>
      <c r="C43" s="393"/>
      <c r="D43" s="221" t="str">
        <f>IF(D42="", "Seleccionar Repuesto ↑", "Vida Util de " &amp; D42)</f>
        <v>Seleccionar Repuesto ↑</v>
      </c>
      <c r="E43" s="222"/>
      <c r="F43" s="223" t="str">
        <f>IF(ISERROR(FIND("Seleccionar", D43)), "Horas/u", "")</f>
        <v/>
      </c>
      <c r="G43" s="238"/>
      <c r="H43" s="385"/>
      <c r="I43" s="386"/>
      <c r="J43" s="386"/>
      <c r="K43" s="387"/>
      <c r="L43" s="399"/>
    </row>
    <row r="44" spans="2:12" ht="30" customHeight="1">
      <c r="B44" s="392"/>
      <c r="C44" s="393"/>
      <c r="D44" s="232"/>
      <c r="E44" s="222"/>
      <c r="F44" s="223" t="str">
        <f>IF(D44="","","$/u")</f>
        <v/>
      </c>
      <c r="G44" s="237" t="str">
        <f>IFERROR(INDEX('INFO-Mant'!$G$9:$G$26,
       MATCH(D44, 'INFO-Mant'!$D$9:$D$26, 0)),"")</f>
        <v/>
      </c>
      <c r="H44" s="385"/>
      <c r="I44" s="386"/>
      <c r="J44" s="386"/>
      <c r="K44" s="387"/>
      <c r="L44" s="399"/>
    </row>
    <row r="45" spans="2:12" ht="30" customHeight="1">
      <c r="B45" s="392"/>
      <c r="C45" s="393"/>
      <c r="D45" s="221" t="str">
        <f>IF(D44="", "Seleccionar Repuesto ↑", "Vida Util de " &amp; D44)</f>
        <v>Seleccionar Repuesto ↑</v>
      </c>
      <c r="E45" s="222"/>
      <c r="F45" s="223" t="str">
        <f>IF(ISERROR(FIND("Seleccionar", D45)), "Horas/u", "")</f>
        <v/>
      </c>
      <c r="G45" s="238"/>
      <c r="H45" s="385"/>
      <c r="I45" s="386"/>
      <c r="J45" s="386"/>
      <c r="K45" s="387"/>
      <c r="L45" s="399"/>
    </row>
    <row r="46" spans="2:12" ht="30" customHeight="1">
      <c r="B46" s="392"/>
      <c r="C46" s="393"/>
      <c r="D46" s="232"/>
      <c r="E46" s="222"/>
      <c r="F46" s="223" t="str">
        <f>IF(D46="","","$/u")</f>
        <v/>
      </c>
      <c r="G46" s="237" t="str">
        <f>IFERROR(INDEX('INFO-Mant'!$G$9:$G$26,
       MATCH(D46, 'INFO-Mant'!$D$9:$D$26, 0)),"")</f>
        <v/>
      </c>
      <c r="H46" s="385"/>
      <c r="I46" s="386"/>
      <c r="J46" s="386"/>
      <c r="K46" s="387"/>
      <c r="L46" s="399"/>
    </row>
    <row r="47" spans="2:12" ht="27" customHeight="1">
      <c r="B47" s="392"/>
      <c r="C47" s="393"/>
      <c r="D47" s="221" t="str">
        <f>IF(D46="", "Seleccionar Repuesto ↑", "Vida Util de " &amp; D46)</f>
        <v>Seleccionar Repuesto ↑</v>
      </c>
      <c r="E47" s="222"/>
      <c r="F47" s="223" t="str">
        <f>IF(ISERROR(FIND("Seleccionar", D47)), "Horas/u", "")</f>
        <v/>
      </c>
      <c r="G47" s="240"/>
      <c r="H47" s="385"/>
      <c r="I47" s="386"/>
      <c r="J47" s="386"/>
      <c r="K47" s="387"/>
      <c r="L47" s="399"/>
    </row>
    <row r="48" spans="2:12" ht="30" customHeight="1">
      <c r="B48" s="389"/>
      <c r="C48" s="391"/>
      <c r="D48" s="221" t="s">
        <v>85</v>
      </c>
      <c r="E48" s="222"/>
      <c r="F48" s="223" t="str">
        <f>IF(D12="","","$/h")</f>
        <v>$/h</v>
      </c>
      <c r="G48" s="240"/>
      <c r="H48" s="385"/>
      <c r="I48" s="386"/>
      <c r="J48" s="386"/>
      <c r="K48" s="387"/>
      <c r="L48" s="398"/>
    </row>
    <row r="49" spans="2:12" ht="30" customHeight="1">
      <c r="B49" s="248"/>
      <c r="C49" s="249"/>
      <c r="D49" s="250"/>
      <c r="E49" s="249"/>
      <c r="F49" s="251"/>
      <c r="G49" s="252"/>
      <c r="H49" s="249"/>
      <c r="I49" s="249"/>
      <c r="J49" s="249"/>
      <c r="K49" s="249"/>
      <c r="L49" s="253"/>
    </row>
    <row r="50" spans="2:12" ht="30" customHeight="1">
      <c r="B50" s="388" t="s">
        <v>102</v>
      </c>
      <c r="C50" s="394" t="s">
        <v>103</v>
      </c>
      <c r="D50" s="232"/>
      <c r="E50" s="222"/>
      <c r="F50" s="223" t="str">
        <f>IF(D50="","","$/h")</f>
        <v/>
      </c>
      <c r="G50" s="23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410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410"/>
      <c r="J50" s="410"/>
      <c r="K50" s="410"/>
      <c r="L50" s="255" t="str">
        <f ca="1">G50</f>
        <v/>
      </c>
    </row>
    <row r="51" spans="2:12" ht="30" customHeight="1">
      <c r="B51" s="392"/>
      <c r="C51" s="395"/>
      <c r="D51" s="232"/>
      <c r="E51" s="254"/>
      <c r="F51" s="223" t="str">
        <f>IF(D51="","","$/h")</f>
        <v/>
      </c>
      <c r="G51" s="23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410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410"/>
      <c r="J51" s="410"/>
      <c r="K51" s="410"/>
      <c r="L51" s="255" t="str">
        <f ca="1">G51</f>
        <v/>
      </c>
    </row>
    <row r="52" spans="2:12" ht="30" customHeight="1">
      <c r="B52" s="392"/>
      <c r="C52" s="395"/>
      <c r="D52" s="232"/>
      <c r="E52" s="222"/>
      <c r="F52" s="223" t="str">
        <f t="shared" ref="F52:F54" si="0">IF(D52="","","$/h")</f>
        <v/>
      </c>
      <c r="G52" s="23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410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410"/>
      <c r="J52" s="410"/>
      <c r="K52" s="410"/>
      <c r="L52" s="255" t="str">
        <f ca="1">G52</f>
        <v/>
      </c>
    </row>
    <row r="53" spans="2:12" ht="30" customHeight="1">
      <c r="B53" s="392"/>
      <c r="C53" s="395"/>
      <c r="D53" s="232"/>
      <c r="E53" s="222"/>
      <c r="F53" s="223" t="str">
        <f t="shared" si="0"/>
        <v/>
      </c>
      <c r="G53" s="23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410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410"/>
      <c r="J53" s="410"/>
      <c r="K53" s="410"/>
      <c r="L53" s="255" t="str">
        <f ca="1">G53</f>
        <v/>
      </c>
    </row>
    <row r="54" spans="2:12" ht="30" customHeight="1">
      <c r="B54" s="389"/>
      <c r="C54" s="396"/>
      <c r="D54" s="232"/>
      <c r="E54" s="222"/>
      <c r="F54" s="223" t="str">
        <f t="shared" si="0"/>
        <v/>
      </c>
      <c r="G54" s="23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410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410"/>
      <c r="J54" s="410"/>
      <c r="K54" s="410"/>
      <c r="L54" s="255" t="str">
        <f ca="1">G54</f>
        <v/>
      </c>
    </row>
    <row r="55" spans="2:12" ht="30" customHeight="1">
      <c r="B55" s="146"/>
      <c r="C55" s="147"/>
      <c r="D55" s="411"/>
      <c r="E55" s="411"/>
      <c r="F55" s="30"/>
      <c r="G55" s="30"/>
      <c r="H55" s="149"/>
      <c r="I55" s="149"/>
      <c r="J55" s="149"/>
      <c r="K55" s="30"/>
      <c r="L55" s="145"/>
    </row>
    <row r="56" spans="2:12" ht="30" customHeight="1" thickBot="1">
      <c r="B56" s="153" t="s">
        <v>39</v>
      </c>
      <c r="C56" s="330"/>
      <c r="D56" s="330"/>
      <c r="E56" s="154" t="s">
        <v>23</v>
      </c>
      <c r="F56" s="368"/>
      <c r="G56" s="368"/>
      <c r="H56" s="141"/>
      <c r="I56" s="141"/>
      <c r="J56" s="141"/>
      <c r="K56" s="256"/>
      <c r="L56" s="257"/>
    </row>
    <row r="57" spans="2:12" ht="30" customHeight="1" thickBot="1">
      <c r="B57" s="155"/>
      <c r="C57" s="156"/>
      <c r="D57" s="156"/>
      <c r="E57" s="156"/>
      <c r="F57" s="378"/>
      <c r="G57" s="378"/>
      <c r="H57" s="157"/>
      <c r="I57" s="157"/>
      <c r="J57" s="157"/>
      <c r="K57" s="258" t="s">
        <v>106</v>
      </c>
      <c r="L57" s="259">
        <f ca="1">IFERROR(SUM(L19:L54),"")</f>
        <v>0</v>
      </c>
    </row>
    <row r="59" spans="2:12" ht="30" customHeight="1">
      <c r="C59" s="117"/>
    </row>
  </sheetData>
  <sheetProtection algorithmName="SHA-512" hashValue="R1joaCvSphoI4h/kd/qS18XkWfcefCKjrlW1w7WNx3tBEEveHNHH7FK68nNP9cUWRWNDLH25YLRzSAc28mHs/w==" saltValue="BKNLw0tLSyCzzLaLDMI4jw==" spinCount="100000" sheet="1" objects="1" scenarios="1" selectLockedCells="1"/>
  <mergeCells count="80">
    <mergeCell ref="D55:E55"/>
    <mergeCell ref="C56:D56"/>
    <mergeCell ref="F56:G56"/>
    <mergeCell ref="F57:G57"/>
    <mergeCell ref="B50:B54"/>
    <mergeCell ref="C50:C54"/>
    <mergeCell ref="H50:K50"/>
    <mergeCell ref="H51:K51"/>
    <mergeCell ref="H52:K52"/>
    <mergeCell ref="H53:K53"/>
    <mergeCell ref="H54:K54"/>
    <mergeCell ref="L38:L39"/>
    <mergeCell ref="B40:B48"/>
    <mergeCell ref="C40:C48"/>
    <mergeCell ref="L40:L48"/>
    <mergeCell ref="H44:K44"/>
    <mergeCell ref="H45:K45"/>
    <mergeCell ref="H46:K46"/>
    <mergeCell ref="H47:K47"/>
    <mergeCell ref="H48:K48"/>
    <mergeCell ref="H39:K39"/>
    <mergeCell ref="H40:K40"/>
    <mergeCell ref="H41:K41"/>
    <mergeCell ref="H42:K42"/>
    <mergeCell ref="H43:K43"/>
    <mergeCell ref="B38:B39"/>
    <mergeCell ref="C38:C39"/>
    <mergeCell ref="B10:B15"/>
    <mergeCell ref="C10:C15"/>
    <mergeCell ref="B16:B20"/>
    <mergeCell ref="C16:C20"/>
    <mergeCell ref="B21:B24"/>
    <mergeCell ref="C21:C24"/>
    <mergeCell ref="H38:K38"/>
    <mergeCell ref="H34:K34"/>
    <mergeCell ref="H35:K35"/>
    <mergeCell ref="H36:K36"/>
    <mergeCell ref="H37:K37"/>
    <mergeCell ref="B35:B36"/>
    <mergeCell ref="C35:C36"/>
    <mergeCell ref="L35:L36"/>
    <mergeCell ref="H30:K30"/>
    <mergeCell ref="H31:K31"/>
    <mergeCell ref="H32:K32"/>
    <mergeCell ref="H33:K33"/>
    <mergeCell ref="B30:B34"/>
    <mergeCell ref="C30:C34"/>
    <mergeCell ref="L30:L34"/>
    <mergeCell ref="B25:B29"/>
    <mergeCell ref="C25:C29"/>
    <mergeCell ref="L25:L29"/>
    <mergeCell ref="H23:K23"/>
    <mergeCell ref="H24:K24"/>
    <mergeCell ref="H25:K25"/>
    <mergeCell ref="L21:L24"/>
    <mergeCell ref="H29:K29"/>
    <mergeCell ref="H26:K26"/>
    <mergeCell ref="H27:K27"/>
    <mergeCell ref="H28:K28"/>
    <mergeCell ref="H20:K20"/>
    <mergeCell ref="H21:K21"/>
    <mergeCell ref="H22:K22"/>
    <mergeCell ref="L16:L20"/>
    <mergeCell ref="H16:K16"/>
    <mergeCell ref="H17:K17"/>
    <mergeCell ref="H18:K18"/>
    <mergeCell ref="H19:K19"/>
    <mergeCell ref="H13:K13"/>
    <mergeCell ref="H15:K15"/>
    <mergeCell ref="L10:L15"/>
    <mergeCell ref="H9:K9"/>
    <mergeCell ref="H10:K10"/>
    <mergeCell ref="H11:K11"/>
    <mergeCell ref="H14:K14"/>
    <mergeCell ref="C3:D3"/>
    <mergeCell ref="F3:G3"/>
    <mergeCell ref="C6:D6"/>
    <mergeCell ref="F6:G6"/>
    <mergeCell ref="C7:D7"/>
    <mergeCell ref="F7:G7"/>
  </mergeCells>
  <dataValidations count="9">
    <dataValidation allowBlank="1" showInputMessage="1" showErrorMessage="1" prompt="Escriba comentarios en las celdas de la derecha." sqref="C59"/>
    <dataValidation type="list" allowBlank="1" showInputMessage="1" showErrorMessage="1" sqref="D51:D54">
      <formula1>Herramientas_Ensamble</formula1>
    </dataValidation>
    <dataValidation type="list" allowBlank="1" showInputMessage="1" showErrorMessage="1" sqref="D12">
      <formula1>Areas_Ensamble</formula1>
    </dataValidation>
    <dataValidation type="list" allowBlank="1" showInputMessage="1" showErrorMessage="1" sqref="D16 D18">
      <formula1>Lubricantes_Ensamble</formula1>
    </dataValidation>
    <dataValidation type="list" allowBlank="1" showInputMessage="1" showErrorMessage="1" sqref="D21">
      <formula1>AireComprimido_Ensamble</formula1>
    </dataValidation>
    <dataValidation type="list" allowBlank="1" showInputMessage="1" showErrorMessage="1" sqref="D25 D27">
      <formula1>Refrigerantes_Ensamble</formula1>
    </dataValidation>
    <dataValidation type="list" allowBlank="1" showInputMessage="1" showErrorMessage="1" sqref="D30 D32">
      <formula1>Solvente_Ensamble</formula1>
    </dataValidation>
    <dataValidation type="list" allowBlank="1" showInputMessage="1" showErrorMessage="1" sqref="D42 D44 D46">
      <formula1>Repuestos_Ensamble</formula1>
    </dataValidation>
    <dataValidation type="list" allowBlank="1" showInputMessage="1" showErrorMessage="1" sqref="D10 D50">
      <formula1>Maquinaria_Ensamble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54</xdr:row>
                    <xdr:rowOff>333375</xdr:rowOff>
                  </from>
                  <to>
                    <xdr:col>1</xdr:col>
                    <xdr:colOff>1762125</xdr:colOff>
                    <xdr:row>55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8">
    <tabColor rgb="FF0070C0"/>
    <pageSetUpPr autoPageBreaks="0" fitToPage="1"/>
  </sheetPr>
  <dimension ref="B1:M59"/>
  <sheetViews>
    <sheetView showGridLines="0" topLeftCell="A13" zoomScale="80" zoomScaleNormal="80" workbookViewId="0">
      <selection activeCell="D30" sqref="D30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3.140625" style="80" bestFit="1" customWidth="1"/>
    <col min="5" max="5" width="20.5703125" style="80" customWidth="1"/>
    <col min="6" max="6" width="16.5703125" style="80" bestFit="1" customWidth="1"/>
    <col min="7" max="7" width="19.7109375" style="80" bestFit="1" customWidth="1"/>
    <col min="8" max="8" width="15.28515625" style="80" customWidth="1"/>
    <col min="9" max="10" width="17" style="80" customWidth="1"/>
    <col min="11" max="11" width="28.42578125" style="80" customWidth="1"/>
    <col min="12" max="12" width="20.7109375" style="80" customWidth="1"/>
    <col min="13" max="13" width="2.7109375" style="80" customWidth="1"/>
    <col min="14" max="16384" width="9.140625" style="80"/>
  </cols>
  <sheetData>
    <row r="1" spans="2:13" ht="12" customHeight="1" thickBot="1"/>
    <row r="2" spans="2:13" ht="30" customHeight="1">
      <c r="B2" s="126" t="s">
        <v>95</v>
      </c>
      <c r="C2" s="127"/>
      <c r="D2" s="128"/>
      <c r="E2" s="128"/>
      <c r="F2" s="128"/>
      <c r="G2" s="128"/>
      <c r="H2" s="128"/>
      <c r="I2" s="128"/>
      <c r="J2" s="128"/>
      <c r="K2" s="128"/>
      <c r="L2" s="129"/>
    </row>
    <row r="3" spans="2:13" ht="30" customHeight="1">
      <c r="B3" s="130" t="s">
        <v>96</v>
      </c>
      <c r="C3" s="406" t="s">
        <v>121</v>
      </c>
      <c r="D3" s="406"/>
      <c r="E3" s="125" t="s">
        <v>3</v>
      </c>
      <c r="F3" s="356">
        <f ca="1">TODAY()</f>
        <v>46020</v>
      </c>
      <c r="G3" s="356"/>
      <c r="H3" s="125" t="s">
        <v>61</v>
      </c>
      <c r="I3" s="162">
        <f>'INFO-Direc'!H3</f>
        <v>1445</v>
      </c>
      <c r="J3" s="131"/>
      <c r="K3" s="132"/>
      <c r="L3" s="133"/>
      <c r="M3" s="134"/>
    </row>
    <row r="4" spans="2:13" ht="30" customHeight="1">
      <c r="B4" s="130" t="s">
        <v>97</v>
      </c>
      <c r="C4" s="160">
        <f>IFERROR(INDEX('INFO-OEE'!E17:CL17,
       MATCH(C3, 'INFO-OEE'!E9:CL9, 0)),"")</f>
        <v>0.8</v>
      </c>
      <c r="D4" s="135"/>
      <c r="E4" s="136"/>
      <c r="F4" s="136"/>
      <c r="G4" s="136"/>
      <c r="H4" s="125"/>
      <c r="I4" s="137"/>
      <c r="J4" s="131"/>
      <c r="K4" s="132"/>
      <c r="L4" s="138"/>
      <c r="M4" s="89"/>
    </row>
    <row r="5" spans="2:13" ht="30" customHeight="1">
      <c r="B5" s="139" t="s">
        <v>4</v>
      </c>
      <c r="C5" s="140"/>
      <c r="D5" s="141"/>
      <c r="E5" s="141"/>
      <c r="F5" s="141"/>
      <c r="G5" s="141"/>
      <c r="H5" s="141"/>
      <c r="I5" s="141"/>
      <c r="J5" s="141"/>
      <c r="K5" s="141"/>
      <c r="L5" s="142"/>
    </row>
    <row r="6" spans="2:13" ht="30" customHeight="1">
      <c r="B6" s="143" t="s">
        <v>5</v>
      </c>
      <c r="C6" s="407" t="s">
        <v>205</v>
      </c>
      <c r="D6" s="407"/>
      <c r="E6" s="144" t="s">
        <v>6</v>
      </c>
      <c r="F6" s="407"/>
      <c r="G6" s="407"/>
      <c r="H6" s="141"/>
      <c r="I6" s="141"/>
      <c r="J6" s="141"/>
      <c r="K6" s="30"/>
      <c r="L6" s="145"/>
    </row>
    <row r="7" spans="2:13" ht="30" customHeight="1">
      <c r="B7" s="143" t="s">
        <v>7</v>
      </c>
      <c r="C7" s="407"/>
      <c r="D7" s="407"/>
      <c r="E7" s="144" t="s">
        <v>62</v>
      </c>
      <c r="F7" s="408"/>
      <c r="G7" s="408"/>
      <c r="H7" s="141"/>
      <c r="I7" s="141"/>
      <c r="J7" s="141"/>
      <c r="K7" s="30"/>
      <c r="L7" s="145"/>
    </row>
    <row r="8" spans="2:13" ht="30" customHeight="1" thickBot="1">
      <c r="B8" s="146"/>
      <c r="C8" s="147"/>
      <c r="D8" s="148"/>
      <c r="E8" s="148"/>
      <c r="F8" s="30"/>
      <c r="G8" s="30"/>
      <c r="H8" s="149"/>
      <c r="I8" s="149"/>
      <c r="J8" s="149"/>
      <c r="K8" s="30"/>
      <c r="L8" s="145"/>
    </row>
    <row r="9" spans="2:13" ht="30" customHeight="1" thickBot="1">
      <c r="B9" s="67" t="s">
        <v>9</v>
      </c>
      <c r="C9" s="190" t="s">
        <v>63</v>
      </c>
      <c r="D9" s="190" t="s">
        <v>64</v>
      </c>
      <c r="E9" s="190" t="s">
        <v>65</v>
      </c>
      <c r="F9" s="190" t="s">
        <v>66</v>
      </c>
      <c r="G9" s="190" t="s">
        <v>67</v>
      </c>
      <c r="H9" s="319" t="s">
        <v>68</v>
      </c>
      <c r="I9" s="319"/>
      <c r="J9" s="319"/>
      <c r="K9" s="319"/>
      <c r="L9" s="191" t="s">
        <v>98</v>
      </c>
    </row>
    <row r="10" spans="2:13" ht="30" customHeight="1">
      <c r="B10" s="404" t="s">
        <v>88</v>
      </c>
      <c r="C10" s="405" t="s">
        <v>89</v>
      </c>
      <c r="D10" s="231" t="s">
        <v>121</v>
      </c>
      <c r="E10" s="218"/>
      <c r="F10" s="219" t="str">
        <f>IF(D10="","","kW")</f>
        <v>kW</v>
      </c>
      <c r="G10" s="220">
        <f>IF(D10="","",IFERROR(INDEX('[4]INFO-Consumo'!$F$9:$F$95,
       MATCH(D10, '[4]INFO-Consumo'!$D$9:$D$95, 0)),""))</f>
        <v>10</v>
      </c>
      <c r="H10" s="401"/>
      <c r="I10" s="402"/>
      <c r="J10" s="402"/>
      <c r="K10" s="403"/>
      <c r="L10" s="400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0.84712953170722161</v>
      </c>
    </row>
    <row r="11" spans="2:13" ht="30" customHeight="1">
      <c r="B11" s="392"/>
      <c r="C11" s="393"/>
      <c r="D11" s="221" t="str">
        <f>IF(D10="", "Seleccionar Maquinaria ↑", "Carga Promedio de Uso de " &amp; D10)</f>
        <v>Carga Promedio de Uso de LAVADORA QXC-1 MS04</v>
      </c>
      <c r="E11" s="222"/>
      <c r="F11" s="223" t="str">
        <f>IF(ISERROR(FIND("Seleccionar", D11)), "%", "")</f>
        <v>%</v>
      </c>
      <c r="G11" s="289">
        <f>IF(D10="","",IFERROR(
    INDEX('[4]INFO-Consumo'!I:I,
           MATCH(D10, '[4]INFO-Consumo'!D:D, 0)
    ),
""))</f>
        <v>0.6</v>
      </c>
      <c r="H11" s="384"/>
      <c r="I11" s="384"/>
      <c r="J11" s="384"/>
      <c r="K11" s="384"/>
      <c r="L11" s="399"/>
    </row>
    <row r="12" spans="2:13" ht="30" customHeight="1">
      <c r="B12" s="392"/>
      <c r="C12" s="393"/>
      <c r="D12" s="232" t="s">
        <v>173</v>
      </c>
      <c r="E12" s="222"/>
      <c r="F12" s="223" t="str">
        <f>IF(D12="","","kW")</f>
        <v>kW</v>
      </c>
      <c r="G12" s="224">
        <f>IFERROR(INDEX('[4]INFO-Ponderacion'!$S$9:$S$13,
       MATCH(D12,'[4]INFO-Ponderacion'!$C$9:$C$13, 0)),"")</f>
        <v>2.4095999999999997</v>
      </c>
      <c r="H12" s="286"/>
      <c r="I12" s="287"/>
      <c r="J12" s="287"/>
      <c r="K12" s="288"/>
      <c r="L12" s="399"/>
    </row>
    <row r="13" spans="2:13" ht="30" customHeight="1">
      <c r="B13" s="392"/>
      <c r="C13" s="393"/>
      <c r="D13" s="221" t="str">
        <f>IF(D12="", "Seleccionar Area ↑", "Tarifa Electrica ")</f>
        <v xml:space="preserve">Tarifa Electrica </v>
      </c>
      <c r="E13" s="222"/>
      <c r="F13" s="223" t="str">
        <f>IF(D12="","","$/kWh")</f>
        <v>$/kWh</v>
      </c>
      <c r="G13" s="228">
        <f>IF(D12="","",'INFO-Direc'!$G$9)</f>
        <v>5.2613958629577628E-2</v>
      </c>
      <c r="H13" s="384"/>
      <c r="I13" s="384"/>
      <c r="J13" s="384"/>
      <c r="K13" s="384"/>
      <c r="L13" s="399"/>
    </row>
    <row r="14" spans="2:13" ht="30" customHeight="1">
      <c r="B14" s="392"/>
      <c r="C14" s="393"/>
      <c r="D14" s="229" t="str">
        <f>IF(D12="", "Seleccionar Area ↑", "Costo Electrico Fijo de " &amp; D12)</f>
        <v>Costo Electrico Fijo de Ensamble</v>
      </c>
      <c r="E14" s="222"/>
      <c r="F14" s="223" t="str">
        <f>IF(D12="","","$/h")</f>
        <v>$/h</v>
      </c>
      <c r="G14" s="290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0.4046671852159256</v>
      </c>
      <c r="H14" s="385"/>
      <c r="I14" s="386"/>
      <c r="J14" s="386"/>
      <c r="K14" s="387"/>
      <c r="L14" s="399"/>
    </row>
    <row r="15" spans="2:13" ht="30" customHeight="1">
      <c r="B15" s="389"/>
      <c r="C15" s="391"/>
      <c r="D15" s="229" t="s">
        <v>85</v>
      </c>
      <c r="E15" s="230"/>
      <c r="F15" s="223" t="str">
        <f>IF(D12="","","$/h")</f>
        <v>$/h</v>
      </c>
      <c r="G15" s="233"/>
      <c r="H15" s="385"/>
      <c r="I15" s="386"/>
      <c r="J15" s="386"/>
      <c r="K15" s="387"/>
      <c r="L15" s="398"/>
    </row>
    <row r="16" spans="2:13" ht="30" customHeight="1">
      <c r="B16" s="388" t="s">
        <v>90</v>
      </c>
      <c r="C16" s="394" t="s">
        <v>89</v>
      </c>
      <c r="D16" s="232"/>
      <c r="E16" s="222"/>
      <c r="F16" s="223" t="str">
        <f>IF(D16="","","$/L")</f>
        <v/>
      </c>
      <c r="G16" s="228" t="str">
        <f>IFERROR(INDEX('INFO-Direc'!$G$9:$G$25,
       MATCH(D16, 'INFO-Direc'!$D$9:$D$25, 0)),"")</f>
        <v/>
      </c>
      <c r="H16" s="384"/>
      <c r="I16" s="384"/>
      <c r="J16" s="384"/>
      <c r="K16" s="384"/>
      <c r="L16" s="397" t="str">
        <f>IF(AND(D16="", D18=""), "",
    IFERROR(
        IFERROR(G16*G17,0)
        + IFERROR(G18*G19,0)
        + IFERROR(G20,0),
    "")
)</f>
        <v/>
      </c>
    </row>
    <row r="17" spans="2:12" ht="30" customHeight="1">
      <c r="B17" s="392"/>
      <c r="C17" s="395"/>
      <c r="D17" s="221" t="str">
        <f>IF(D16="", "Seleccionar Lubricante ↑", "Consumo de " &amp; D16)</f>
        <v>Seleccionar Lubricante ↑</v>
      </c>
      <c r="E17" s="222"/>
      <c r="F17" s="223" t="str">
        <f>IF(ISERROR(FIND("Seleccionar", D17)), "L/h", "")</f>
        <v/>
      </c>
      <c r="G17" s="234"/>
      <c r="H17" s="384"/>
      <c r="I17" s="384"/>
      <c r="J17" s="384"/>
      <c r="K17" s="384"/>
      <c r="L17" s="399"/>
    </row>
    <row r="18" spans="2:12" ht="30" customHeight="1">
      <c r="B18" s="392"/>
      <c r="C18" s="395"/>
      <c r="D18" s="232"/>
      <c r="E18" s="222"/>
      <c r="F18" s="223" t="str">
        <f>IF(D18="","","$/L")</f>
        <v/>
      </c>
      <c r="G18" s="228" t="str">
        <f>IFERROR(INDEX('INFO-Direc'!$G$9:$G$25,
       MATCH(D18, 'INFO-Direc'!$D$9:$D$25, 0)),"")</f>
        <v/>
      </c>
      <c r="H18" s="385"/>
      <c r="I18" s="386"/>
      <c r="J18" s="386"/>
      <c r="K18" s="387"/>
      <c r="L18" s="399"/>
    </row>
    <row r="19" spans="2:12" ht="30" customHeight="1">
      <c r="B19" s="392"/>
      <c r="C19" s="395"/>
      <c r="D19" s="221" t="str">
        <f>IF(D18="", "Seleccionar Lubricante ↑", "Consumo de " &amp; D18)</f>
        <v>Seleccionar Lubricante ↑</v>
      </c>
      <c r="E19" s="222"/>
      <c r="F19" s="223" t="str">
        <f>IF(ISERROR(FIND("Seleccionar", D19)), "L/h", "")</f>
        <v/>
      </c>
      <c r="G19" s="234"/>
      <c r="H19" s="385"/>
      <c r="I19" s="386"/>
      <c r="J19" s="386"/>
      <c r="K19" s="387"/>
      <c r="L19" s="399"/>
    </row>
    <row r="20" spans="2:12" ht="30" customHeight="1">
      <c r="B20" s="389"/>
      <c r="C20" s="396"/>
      <c r="D20" s="221" t="s">
        <v>85</v>
      </c>
      <c r="E20" s="222"/>
      <c r="F20" s="223" t="str">
        <f>IF(OR(D16&lt;&gt;"", D18&lt;&gt;""), "$/h", "")</f>
        <v/>
      </c>
      <c r="G20" s="233"/>
      <c r="H20" s="384"/>
      <c r="I20" s="384"/>
      <c r="J20" s="384"/>
      <c r="K20" s="384"/>
      <c r="L20" s="398"/>
    </row>
    <row r="21" spans="2:12" ht="30" customHeight="1">
      <c r="B21" s="388" t="s">
        <v>92</v>
      </c>
      <c r="C21" s="390" t="s">
        <v>89</v>
      </c>
      <c r="D21" s="232"/>
      <c r="E21" s="222"/>
      <c r="F21" s="223" t="str">
        <f>IF(D21="","","kW")</f>
        <v/>
      </c>
      <c r="G21" s="228" t="str">
        <f>IFERROR(INDEX('INFO-Direc'!$G$9:$G$25,
       MATCH(D21, 'INFO-Direc'!$D$9:$D$25, 0)),"")</f>
        <v/>
      </c>
      <c r="H21" s="385"/>
      <c r="I21" s="386"/>
      <c r="J21" s="386"/>
      <c r="K21" s="387"/>
      <c r="L21" s="397" t="str">
        <f>IFERROR(G21*G13*G22+G23+G24,"")</f>
        <v/>
      </c>
    </row>
    <row r="22" spans="2:12" ht="30" customHeight="1">
      <c r="B22" s="392"/>
      <c r="C22" s="393"/>
      <c r="D22" s="221" t="str">
        <f>IF(D21="", "Seleccionar Compresor ↑", "Carga Promedio de Uso de " &amp; D21)</f>
        <v>Seleccionar Compresor ↑</v>
      </c>
      <c r="E22" s="222"/>
      <c r="F22" s="223" t="str">
        <f>IF(ISERROR(FIND("Seleccionar", D22)), "%", "")</f>
        <v/>
      </c>
      <c r="G22" s="289" t="str">
        <f>IF(D21="","",IFERROR(
    INDEX('[4]INFO-Consumo'!I:I,
           MATCH(D21, '[4]INFO-Consumo'!D:D, 0)
    ),
""))</f>
        <v/>
      </c>
      <c r="H22" s="384"/>
      <c r="I22" s="384"/>
      <c r="J22" s="384"/>
      <c r="K22" s="384"/>
      <c r="L22" s="399"/>
    </row>
    <row r="23" spans="2:12" ht="30" customHeight="1">
      <c r="B23" s="392"/>
      <c r="C23" s="393"/>
      <c r="D23" s="235" t="str">
        <f>IF(D21="", "Seleccionar Compresor ↑", "Costo de Repuestos " &amp; D21)</f>
        <v>Seleccionar Compresor ↑</v>
      </c>
      <c r="E23" s="222"/>
      <c r="F23" s="223" t="str">
        <f>IF(ISERROR(FIND("Seleccionar", D23)), "$/h", "")</f>
        <v/>
      </c>
      <c r="G23" s="236" t="str">
        <f>IF(D21="","", SUM(IF(ISNUMBER(FIND("Compresor", 'INFO-Mant'!D9:D26)), 'INFO-Mant'!G9:G26 / 'INFO-Mant'!H9:H26, 0)))</f>
        <v/>
      </c>
      <c r="H23" s="385"/>
      <c r="I23" s="386"/>
      <c r="J23" s="386"/>
      <c r="K23" s="387"/>
      <c r="L23" s="399"/>
    </row>
    <row r="24" spans="2:12" ht="30" customHeight="1">
      <c r="B24" s="389"/>
      <c r="C24" s="391"/>
      <c r="D24" s="221" t="s">
        <v>85</v>
      </c>
      <c r="E24" s="222"/>
      <c r="F24" s="223" t="str">
        <f>IF(D21="","","$/h")</f>
        <v/>
      </c>
      <c r="G24" s="233"/>
      <c r="H24" s="384"/>
      <c r="I24" s="384"/>
      <c r="J24" s="384"/>
      <c r="K24" s="384"/>
      <c r="L24" s="398"/>
    </row>
    <row r="25" spans="2:12" ht="30" customHeight="1">
      <c r="B25" s="388" t="s">
        <v>94</v>
      </c>
      <c r="C25" s="390" t="s">
        <v>89</v>
      </c>
      <c r="D25" s="232"/>
      <c r="E25" s="222"/>
      <c r="F25" s="223" t="str">
        <f>IF(D25="","","$/L")</f>
        <v/>
      </c>
      <c r="G25" s="228" t="str">
        <f>IFERROR(INDEX('INFO-Direc'!$G$9:$G$25,
       MATCH(D25, 'INFO-Direc'!$D$9:$D$25, 0)),"")</f>
        <v/>
      </c>
      <c r="H25" s="384"/>
      <c r="I25" s="384"/>
      <c r="J25" s="384"/>
      <c r="K25" s="384"/>
      <c r="L25" s="381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92"/>
      <c r="C26" s="393"/>
      <c r="D26" s="221" t="str">
        <f>IF(D25="", "Seleccionar Refrigerante ↑", "Consumo de " &amp; D25)</f>
        <v>Seleccionar Refrigerante ↑</v>
      </c>
      <c r="E26" s="222"/>
      <c r="F26" s="223" t="str">
        <f>IF(ISERROR(FIND("Seleccionar", D26)), "L/Año", "")</f>
        <v/>
      </c>
      <c r="G26" s="238"/>
      <c r="H26" s="384"/>
      <c r="I26" s="384"/>
      <c r="J26" s="384"/>
      <c r="K26" s="384"/>
      <c r="L26" s="382"/>
    </row>
    <row r="27" spans="2:12" ht="30" customHeight="1">
      <c r="B27" s="392"/>
      <c r="C27" s="393"/>
      <c r="D27" s="232"/>
      <c r="E27" s="222"/>
      <c r="F27" s="223" t="str">
        <f>IF(D27="","","$/L")</f>
        <v/>
      </c>
      <c r="G27" s="228" t="str">
        <f>IFERROR(INDEX('INFO-Direc'!$G$9:$G$25,
       MATCH(D27, 'INFO-Direc'!$D$9:$D$25, 0)),"")</f>
        <v/>
      </c>
      <c r="H27" s="385"/>
      <c r="I27" s="386"/>
      <c r="J27" s="386"/>
      <c r="K27" s="387"/>
      <c r="L27" s="382"/>
    </row>
    <row r="28" spans="2:12" ht="30" customHeight="1">
      <c r="B28" s="392"/>
      <c r="C28" s="393"/>
      <c r="D28" s="221" t="str">
        <f>IF(D27="", "Seleccionar Refrigerante ↑", "Consumo de " &amp; D27)</f>
        <v>Seleccionar Refrigerante ↑</v>
      </c>
      <c r="E28" s="222"/>
      <c r="F28" s="223" t="str">
        <f>IF(ISERROR(FIND("Seleccionar", D28)), "L/Año", "")</f>
        <v/>
      </c>
      <c r="G28" s="239"/>
      <c r="H28" s="385"/>
      <c r="I28" s="386"/>
      <c r="J28" s="386"/>
      <c r="K28" s="387"/>
      <c r="L28" s="382"/>
    </row>
    <row r="29" spans="2:12" ht="30" customHeight="1">
      <c r="B29" s="389"/>
      <c r="C29" s="391"/>
      <c r="D29" s="221" t="s">
        <v>85</v>
      </c>
      <c r="E29" s="222"/>
      <c r="F29" s="223" t="str">
        <f>IF(OR(D25&lt;&gt;"", D27&lt;&gt;""), "$/h", "")</f>
        <v/>
      </c>
      <c r="G29" s="233"/>
      <c r="H29" s="384"/>
      <c r="I29" s="384"/>
      <c r="J29" s="384"/>
      <c r="K29" s="384"/>
      <c r="L29" s="383"/>
    </row>
    <row r="30" spans="2:12" s="152" customFormat="1" ht="30" customHeight="1">
      <c r="B30" s="388" t="s">
        <v>168</v>
      </c>
      <c r="C30" s="394" t="s">
        <v>89</v>
      </c>
      <c r="D30" s="232" t="s">
        <v>155</v>
      </c>
      <c r="E30" s="222"/>
      <c r="F30" s="223" t="str">
        <f>IF(D30="","","$/L")</f>
        <v>$/L</v>
      </c>
      <c r="G30" s="228">
        <f>IFERROR(INDEX('INFO-Direc'!$G$9:$G$25,
       MATCH(D30, 'INFO-Direc'!$D$9:$D$25, 0)),"")</f>
        <v>1.2463157894736843</v>
      </c>
      <c r="H30" s="384"/>
      <c r="I30" s="384"/>
      <c r="J30" s="384"/>
      <c r="K30" s="384"/>
      <c r="L30" s="381">
        <f>IF(
    AND(D30="", D32=""),
    "",
    IFERROR(
        IFERROR(G30 / (INDEX('INFO-OEE'!$E$18:$CA$18,
                               MATCH(#REF!, 'INFO-OEE'!$E$9:$CA$9, 0)) * 12), 0)
        * G31
        +
        IFERROR(G32 / (INDEX('INFO-OEE'!$E$18:$CA$18,
                               MATCH(#REF!, 'INFO-OEE'!$E$9:$CA$9, 0)) * 12), 0)
        * G33
        +
        IFERROR(G34, 0),
    "")
)</f>
        <v>0</v>
      </c>
    </row>
    <row r="31" spans="2:12" s="152" customFormat="1" ht="30" customHeight="1">
      <c r="B31" s="392"/>
      <c r="C31" s="395"/>
      <c r="D31" s="221" t="str">
        <f>IF(D30="", "Seleccionar Solvente ↑", "Consumo de " &amp; D30)</f>
        <v>Consumo de Solvente 261</v>
      </c>
      <c r="E31" s="222"/>
      <c r="F31" s="223" t="str">
        <f>IF(ISERROR(FIND("Seleccionar", D31)), "L/Año", "")</f>
        <v>L/Año</v>
      </c>
      <c r="G31" s="234"/>
      <c r="H31" s="384"/>
      <c r="I31" s="384"/>
      <c r="J31" s="384"/>
      <c r="K31" s="384"/>
      <c r="L31" s="382"/>
    </row>
    <row r="32" spans="2:12" s="152" customFormat="1" ht="30" customHeight="1">
      <c r="B32" s="392"/>
      <c r="C32" s="395"/>
      <c r="D32" s="232"/>
      <c r="E32" s="222"/>
      <c r="F32" s="223" t="str">
        <f>IF(D32="","","$/L")</f>
        <v/>
      </c>
      <c r="G32" s="228" t="str">
        <f>IFERROR(INDEX('INFO-Direc'!$G$9:$G$25,
       MATCH(D32, 'INFO-Direc'!$D$9:$D$25, 0)),"")</f>
        <v/>
      </c>
      <c r="H32" s="385"/>
      <c r="I32" s="386"/>
      <c r="J32" s="386"/>
      <c r="K32" s="387"/>
      <c r="L32" s="382"/>
    </row>
    <row r="33" spans="2:12" s="152" customFormat="1" ht="30" customHeight="1">
      <c r="B33" s="392"/>
      <c r="C33" s="395"/>
      <c r="D33" s="221" t="str">
        <f>IF(D32="", "Seleccionar Solvente ↑", "Consumo de " &amp; D32)</f>
        <v>Seleccionar Solvente ↑</v>
      </c>
      <c r="E33" s="222"/>
      <c r="F33" s="223" t="str">
        <f>IF(ISERROR(FIND("Seleccionar", D33)), "L/Año", "")</f>
        <v/>
      </c>
      <c r="G33" s="234"/>
      <c r="H33" s="385"/>
      <c r="I33" s="386"/>
      <c r="J33" s="386"/>
      <c r="K33" s="387"/>
      <c r="L33" s="382"/>
    </row>
    <row r="34" spans="2:12" s="152" customFormat="1" ht="30" customHeight="1">
      <c r="B34" s="389"/>
      <c r="C34" s="396"/>
      <c r="D34" s="221" t="s">
        <v>85</v>
      </c>
      <c r="E34" s="222"/>
      <c r="F34" s="223" t="str">
        <f>IF(OR(D30&lt;&gt;"", D32&lt;&gt;""), "$/h", "")</f>
        <v>$/h</v>
      </c>
      <c r="G34" s="233"/>
      <c r="H34" s="384"/>
      <c r="I34" s="384"/>
      <c r="J34" s="384"/>
      <c r="K34" s="384"/>
      <c r="L34" s="383"/>
    </row>
    <row r="35" spans="2:12" ht="30" customHeight="1">
      <c r="B35" s="388" t="s">
        <v>100</v>
      </c>
      <c r="C35" s="390" t="s">
        <v>89</v>
      </c>
      <c r="D35" s="221" t="str">
        <f>IF(D12="", "Seleccionar Area ↑", "Costo de Operarios")</f>
        <v>Costo de Operarios</v>
      </c>
      <c r="E35" s="222"/>
      <c r="F35" s="223" t="str">
        <f>IF(D12="","","$/mes")</f>
        <v>$/mes</v>
      </c>
      <c r="G35" s="237">
        <f>IF(D12="","",IFERROR(
    INDEX('INFO-Personal'!$E$26:$CA$26,
           MATCH($C$3, 'INFO-Personal'!$E$9:$CA$9, 0)
    ),
""))</f>
        <v>0</v>
      </c>
      <c r="H35" s="384"/>
      <c r="I35" s="384"/>
      <c r="J35" s="384"/>
      <c r="K35" s="384"/>
      <c r="L35" s="397">
        <f>IFERROR(
    (G35 / INDEX('INFO-OEE'!$E$18:$CA$18,
                  MATCH($C$3, 'INFO-OEE'!$E$9:$CA$9, 0)))
    + G36,
"")</f>
        <v>0</v>
      </c>
    </row>
    <row r="36" spans="2:12" ht="30" customHeight="1">
      <c r="B36" s="389"/>
      <c r="C36" s="391"/>
      <c r="D36" s="221" t="s">
        <v>85</v>
      </c>
      <c r="E36" s="222"/>
      <c r="F36" s="223" t="str">
        <f>IF(D12="","","$/h")</f>
        <v>$/h</v>
      </c>
      <c r="G36" s="240"/>
      <c r="H36" s="384"/>
      <c r="I36" s="384"/>
      <c r="J36" s="384"/>
      <c r="K36" s="384"/>
      <c r="L36" s="398"/>
    </row>
    <row r="37" spans="2:12" ht="30" customHeight="1">
      <c r="B37" s="241"/>
      <c r="C37" s="242"/>
      <c r="D37" s="243"/>
      <c r="E37" s="242"/>
      <c r="F37" s="244"/>
      <c r="G37" s="245"/>
      <c r="H37" s="409"/>
      <c r="I37" s="409"/>
      <c r="J37" s="409"/>
      <c r="K37" s="409"/>
      <c r="L37" s="246"/>
    </row>
    <row r="38" spans="2:12" ht="30" customHeight="1">
      <c r="B38" s="388" t="s">
        <v>16</v>
      </c>
      <c r="C38" s="390" t="s">
        <v>69</v>
      </c>
      <c r="D38" s="221" t="str">
        <f>IF(D12="", "Seleccionar Area ↑", "Costo de Supervisores")</f>
        <v>Costo de Supervisores</v>
      </c>
      <c r="E38" s="222"/>
      <c r="F38" s="247" t="str">
        <f>IF(D12="","","$/mes")</f>
        <v>$/mes</v>
      </c>
      <c r="G38" s="237">
        <f>IF(D12="","",IFERROR(
    INDEX('INFO-Personal'!$E$27:$CA$27,
           MATCH($C$3, 'INFO-Personal'!$E$9:$CA$9, 0)
    ),
""))</f>
        <v>0</v>
      </c>
      <c r="H38" s="385"/>
      <c r="I38" s="386"/>
      <c r="J38" s="386"/>
      <c r="K38" s="387"/>
      <c r="L38" s="397">
        <f>IFERROR(
    (G38 / INDEX('INFO-OEE'!$E$18:$CA$18,
                  MATCH($C$3, 'INFO-OEE'!$E$9:$CA$9, 0)))
    + G39,
"")</f>
        <v>0</v>
      </c>
    </row>
    <row r="39" spans="2:12" ht="30" customHeight="1">
      <c r="B39" s="392"/>
      <c r="C39" s="393"/>
      <c r="D39" s="221" t="s">
        <v>85</v>
      </c>
      <c r="E39" s="222"/>
      <c r="F39" s="223" t="str">
        <f>IF(D12="","","$/h")</f>
        <v>$/h</v>
      </c>
      <c r="G39" s="240"/>
      <c r="H39" s="385"/>
      <c r="I39" s="386"/>
      <c r="J39" s="386"/>
      <c r="K39" s="387"/>
      <c r="L39" s="399"/>
    </row>
    <row r="40" spans="2:12" ht="30" customHeight="1">
      <c r="B40" s="388" t="s">
        <v>101</v>
      </c>
      <c r="C40" s="390" t="s">
        <v>69</v>
      </c>
      <c r="D40" s="221" t="str">
        <f>IF(D12="", "Seleccionar Area ↑", "Costo de Mant. Preventivo")</f>
        <v>Costo de Mant. Preventivo</v>
      </c>
      <c r="E40" s="222"/>
      <c r="F40" s="247" t="str">
        <f>IF(D12="","","$/mes")</f>
        <v>$/mes</v>
      </c>
      <c r="G40" s="237">
        <f>IF(D12="","",IFERROR(
    INDEX('INFO-Personal'!$E$28:$CA$28,
           MATCH($C$3, 'INFO-Personal'!$E$9:$CA$9, 0)
    ),
""))</f>
        <v>0</v>
      </c>
      <c r="H40" s="385"/>
      <c r="I40" s="386"/>
      <c r="J40" s="386"/>
      <c r="K40" s="387"/>
      <c r="L40" s="397">
        <f>IF(D12="","",SUM(
    IFERROR((G40+G41) / INDEX('INFO-OEE'!$E$18:$CA$18, MATCH(C3, 'INFO-OEE'!$E$9:$CA$9, 0)), 0),
    IFERROR(G42 / G43, 0),
    IFERROR(G44 / G45, 0),
    IFERROR(G46 / G47, 0),
    IFERROR(G48, 0)
))</f>
        <v>0</v>
      </c>
    </row>
    <row r="41" spans="2:12" ht="30" customHeight="1">
      <c r="B41" s="392"/>
      <c r="C41" s="393"/>
      <c r="D41" s="221" t="str">
        <f>IF(D12="", "Seleccionar Area ↑", "Costo de Mant. Correctivo")</f>
        <v>Costo de Mant. Correctivo</v>
      </c>
      <c r="E41" s="222"/>
      <c r="F41" s="247" t="str">
        <f>IF(D12="","","$/mes")</f>
        <v>$/mes</v>
      </c>
      <c r="G41" s="237">
        <f>IF(D12="","",IFERROR(
    INDEX('INFO-Personal'!$E$29:$CA$29,
           MATCH($C$3, 'INFO-Personal'!$E$9:$CA$9, 0)
    ),
""))</f>
        <v>0</v>
      </c>
      <c r="H41" s="385"/>
      <c r="I41" s="386"/>
      <c r="J41" s="386"/>
      <c r="K41" s="387"/>
      <c r="L41" s="399"/>
    </row>
    <row r="42" spans="2:12" ht="30" customHeight="1">
      <c r="B42" s="392"/>
      <c r="C42" s="393"/>
      <c r="D42" s="232"/>
      <c r="E42" s="222"/>
      <c r="F42" s="223" t="str">
        <f>IF(D42="","","$/u")</f>
        <v/>
      </c>
      <c r="G42" s="237" t="str">
        <f>IFERROR(INDEX('INFO-Mant'!$G$9:$G$26,
       MATCH(D42, 'INFO-Mant'!$D$9:$D$26, 0)),"")</f>
        <v/>
      </c>
      <c r="H42" s="385"/>
      <c r="I42" s="386"/>
      <c r="J42" s="386"/>
      <c r="K42" s="387"/>
      <c r="L42" s="399"/>
    </row>
    <row r="43" spans="2:12" ht="30" customHeight="1">
      <c r="B43" s="392"/>
      <c r="C43" s="393"/>
      <c r="D43" s="221" t="str">
        <f>IF(D42="", "Seleccionar Repuesto ↑", "Vida Util de " &amp; D42)</f>
        <v>Seleccionar Repuesto ↑</v>
      </c>
      <c r="E43" s="222"/>
      <c r="F43" s="223" t="str">
        <f>IF(ISERROR(FIND("Seleccionar", D43)), "Horas/u", "")</f>
        <v/>
      </c>
      <c r="G43" s="238"/>
      <c r="H43" s="385"/>
      <c r="I43" s="386"/>
      <c r="J43" s="386"/>
      <c r="K43" s="387"/>
      <c r="L43" s="399"/>
    </row>
    <row r="44" spans="2:12" ht="30" customHeight="1">
      <c r="B44" s="392"/>
      <c r="C44" s="393"/>
      <c r="D44" s="232"/>
      <c r="E44" s="222"/>
      <c r="F44" s="223" t="str">
        <f>IF(D44="","","$/u")</f>
        <v/>
      </c>
      <c r="G44" s="237" t="str">
        <f>IFERROR(INDEX('INFO-Mant'!$G$9:$G$26,
       MATCH(D44, 'INFO-Mant'!$D$9:$D$26, 0)),"")</f>
        <v/>
      </c>
      <c r="H44" s="385"/>
      <c r="I44" s="386"/>
      <c r="J44" s="386"/>
      <c r="K44" s="387"/>
      <c r="L44" s="399"/>
    </row>
    <row r="45" spans="2:12" ht="30" customHeight="1">
      <c r="B45" s="392"/>
      <c r="C45" s="393"/>
      <c r="D45" s="221" t="str">
        <f>IF(D44="", "Seleccionar Repuesto ↑", "Vida Util de " &amp; D44)</f>
        <v>Seleccionar Repuesto ↑</v>
      </c>
      <c r="E45" s="222"/>
      <c r="F45" s="223" t="str">
        <f>IF(ISERROR(FIND("Seleccionar", D45)), "Horas/u", "")</f>
        <v/>
      </c>
      <c r="G45" s="238"/>
      <c r="H45" s="385"/>
      <c r="I45" s="386"/>
      <c r="J45" s="386"/>
      <c r="K45" s="387"/>
      <c r="L45" s="399"/>
    </row>
    <row r="46" spans="2:12" ht="30" customHeight="1">
      <c r="B46" s="392"/>
      <c r="C46" s="393"/>
      <c r="D46" s="232"/>
      <c r="E46" s="222"/>
      <c r="F46" s="223" t="str">
        <f>IF(D46="","","$/u")</f>
        <v/>
      </c>
      <c r="G46" s="237" t="str">
        <f>IFERROR(INDEX('INFO-Mant'!$G$9:$G$26,
       MATCH(D46, 'INFO-Mant'!$D$9:$D$26, 0)),"")</f>
        <v/>
      </c>
      <c r="H46" s="385"/>
      <c r="I46" s="386"/>
      <c r="J46" s="386"/>
      <c r="K46" s="387"/>
      <c r="L46" s="399"/>
    </row>
    <row r="47" spans="2:12" ht="32.25" customHeight="1">
      <c r="B47" s="392"/>
      <c r="C47" s="393"/>
      <c r="D47" s="221" t="str">
        <f>IF(D46="", "Seleccionar Repuesto ↑", "Vida Util de " &amp; D46)</f>
        <v>Seleccionar Repuesto ↑</v>
      </c>
      <c r="E47" s="222"/>
      <c r="F47" s="223" t="str">
        <f>IF(ISERROR(FIND("Seleccionar", D47)), "Horas/u", "")</f>
        <v/>
      </c>
      <c r="G47" s="240"/>
      <c r="H47" s="385"/>
      <c r="I47" s="386"/>
      <c r="J47" s="386"/>
      <c r="K47" s="387"/>
      <c r="L47" s="399"/>
    </row>
    <row r="48" spans="2:12" ht="30" customHeight="1">
      <c r="B48" s="389"/>
      <c r="C48" s="391"/>
      <c r="D48" s="221" t="s">
        <v>85</v>
      </c>
      <c r="E48" s="222"/>
      <c r="F48" s="223" t="str">
        <f>IF(D12="","","$/h")</f>
        <v>$/h</v>
      </c>
      <c r="G48" s="240"/>
      <c r="H48" s="385"/>
      <c r="I48" s="386"/>
      <c r="J48" s="386"/>
      <c r="K48" s="387"/>
      <c r="L48" s="398"/>
    </row>
    <row r="49" spans="2:12" ht="30" customHeight="1">
      <c r="B49" s="248"/>
      <c r="C49" s="249"/>
      <c r="D49" s="250"/>
      <c r="E49" s="249"/>
      <c r="F49" s="251"/>
      <c r="G49" s="252"/>
      <c r="H49" s="249"/>
      <c r="I49" s="249"/>
      <c r="J49" s="249"/>
      <c r="K49" s="249"/>
      <c r="L49" s="253"/>
    </row>
    <row r="50" spans="2:12" ht="30" customHeight="1">
      <c r="B50" s="388" t="s">
        <v>102</v>
      </c>
      <c r="C50" s="394" t="s">
        <v>103</v>
      </c>
      <c r="D50" s="232"/>
      <c r="E50" s="222"/>
      <c r="F50" s="223" t="str">
        <f>IF(D50="","","$/h")</f>
        <v/>
      </c>
      <c r="G50" s="23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410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410"/>
      <c r="J50" s="410"/>
      <c r="K50" s="410"/>
      <c r="L50" s="255" t="str">
        <f ca="1">G50</f>
        <v/>
      </c>
    </row>
    <row r="51" spans="2:12" ht="30" customHeight="1">
      <c r="B51" s="392"/>
      <c r="C51" s="395"/>
      <c r="D51" s="232"/>
      <c r="E51" s="254"/>
      <c r="F51" s="223" t="str">
        <f>IF(D51="","","$/h")</f>
        <v/>
      </c>
      <c r="G51" s="23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410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410"/>
      <c r="J51" s="410"/>
      <c r="K51" s="410"/>
      <c r="L51" s="255" t="str">
        <f ca="1">G51</f>
        <v/>
      </c>
    </row>
    <row r="52" spans="2:12" ht="30" customHeight="1">
      <c r="B52" s="392"/>
      <c r="C52" s="395"/>
      <c r="D52" s="232"/>
      <c r="E52" s="222"/>
      <c r="F52" s="223" t="str">
        <f t="shared" ref="F52:F54" si="0">IF(D52="","","$/h")</f>
        <v/>
      </c>
      <c r="G52" s="23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410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410"/>
      <c r="J52" s="410"/>
      <c r="K52" s="410"/>
      <c r="L52" s="255" t="str">
        <f ca="1">G52</f>
        <v/>
      </c>
    </row>
    <row r="53" spans="2:12" ht="30" customHeight="1">
      <c r="B53" s="392"/>
      <c r="C53" s="395"/>
      <c r="D53" s="232"/>
      <c r="E53" s="222"/>
      <c r="F53" s="223" t="str">
        <f t="shared" si="0"/>
        <v/>
      </c>
      <c r="G53" s="23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410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410"/>
      <c r="J53" s="410"/>
      <c r="K53" s="410"/>
      <c r="L53" s="255" t="str">
        <f ca="1">G53</f>
        <v/>
      </c>
    </row>
    <row r="54" spans="2:12" ht="30" customHeight="1">
      <c r="B54" s="389"/>
      <c r="C54" s="396"/>
      <c r="D54" s="232"/>
      <c r="E54" s="222"/>
      <c r="F54" s="223" t="str">
        <f t="shared" si="0"/>
        <v/>
      </c>
      <c r="G54" s="23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410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410"/>
      <c r="J54" s="410"/>
      <c r="K54" s="410"/>
      <c r="L54" s="255" t="str">
        <f ca="1">G54</f>
        <v/>
      </c>
    </row>
    <row r="55" spans="2:12" ht="30" customHeight="1">
      <c r="B55" s="146"/>
      <c r="C55" s="147"/>
      <c r="D55" s="411"/>
      <c r="E55" s="411"/>
      <c r="F55" s="30"/>
      <c r="G55" s="30"/>
      <c r="H55" s="149"/>
      <c r="I55" s="149"/>
      <c r="J55" s="149"/>
      <c r="K55" s="30"/>
      <c r="L55" s="145"/>
    </row>
    <row r="56" spans="2:12" ht="30" customHeight="1" thickBot="1">
      <c r="B56" s="153" t="s">
        <v>39</v>
      </c>
      <c r="C56" s="330"/>
      <c r="D56" s="330"/>
      <c r="E56" s="154" t="s">
        <v>23</v>
      </c>
      <c r="F56" s="368"/>
      <c r="G56" s="368"/>
      <c r="H56" s="141"/>
      <c r="I56" s="141"/>
      <c r="J56" s="141"/>
      <c r="K56" s="256"/>
      <c r="L56" s="257"/>
    </row>
    <row r="57" spans="2:12" ht="30" customHeight="1" thickBot="1">
      <c r="B57" s="155"/>
      <c r="C57" s="156"/>
      <c r="D57" s="156"/>
      <c r="E57" s="156"/>
      <c r="F57" s="378"/>
      <c r="G57" s="378"/>
      <c r="H57" s="157"/>
      <c r="I57" s="157"/>
      <c r="J57" s="157"/>
      <c r="K57" s="258" t="s">
        <v>106</v>
      </c>
      <c r="L57" s="259">
        <f ca="1">IFERROR(SUM(L19:L54),"")</f>
        <v>0</v>
      </c>
    </row>
    <row r="59" spans="2:12" ht="30" customHeight="1">
      <c r="C59" s="117"/>
    </row>
  </sheetData>
  <sheetProtection algorithmName="SHA-512" hashValue="V7pwNblSmmBiamyf74oxEODSqYneNm1lUpzwU1bXCOul0xVQ0EG9z5Qn9d0dMeUZChN1QGfwdZglzQiMHRXEMA==" saltValue="fHsbuo79cLarhbr/GeyIkQ==" spinCount="100000" sheet="1" objects="1" scenarios="1" selectLockedCells="1"/>
  <mergeCells count="80">
    <mergeCell ref="D55:E55"/>
    <mergeCell ref="C56:D56"/>
    <mergeCell ref="F56:G56"/>
    <mergeCell ref="F57:G57"/>
    <mergeCell ref="B50:B54"/>
    <mergeCell ref="C50:C54"/>
    <mergeCell ref="H50:K50"/>
    <mergeCell ref="H51:K51"/>
    <mergeCell ref="H52:K52"/>
    <mergeCell ref="H53:K53"/>
    <mergeCell ref="H54:K54"/>
    <mergeCell ref="L38:L39"/>
    <mergeCell ref="B40:B48"/>
    <mergeCell ref="C40:C48"/>
    <mergeCell ref="L40:L48"/>
    <mergeCell ref="H44:K44"/>
    <mergeCell ref="H45:K45"/>
    <mergeCell ref="H46:K46"/>
    <mergeCell ref="H47:K47"/>
    <mergeCell ref="H48:K48"/>
    <mergeCell ref="H39:K39"/>
    <mergeCell ref="H40:K40"/>
    <mergeCell ref="H41:K41"/>
    <mergeCell ref="H42:K42"/>
    <mergeCell ref="H43:K43"/>
    <mergeCell ref="B38:B39"/>
    <mergeCell ref="C38:C39"/>
    <mergeCell ref="B10:B15"/>
    <mergeCell ref="C10:C15"/>
    <mergeCell ref="B16:B20"/>
    <mergeCell ref="C16:C20"/>
    <mergeCell ref="B21:B24"/>
    <mergeCell ref="C21:C24"/>
    <mergeCell ref="H38:K38"/>
    <mergeCell ref="H34:K34"/>
    <mergeCell ref="H35:K35"/>
    <mergeCell ref="H36:K36"/>
    <mergeCell ref="H37:K37"/>
    <mergeCell ref="B35:B36"/>
    <mergeCell ref="C35:C36"/>
    <mergeCell ref="L35:L36"/>
    <mergeCell ref="H30:K30"/>
    <mergeCell ref="H31:K31"/>
    <mergeCell ref="H32:K32"/>
    <mergeCell ref="H33:K33"/>
    <mergeCell ref="B30:B34"/>
    <mergeCell ref="C30:C34"/>
    <mergeCell ref="L30:L34"/>
    <mergeCell ref="B25:B29"/>
    <mergeCell ref="C25:C29"/>
    <mergeCell ref="L25:L29"/>
    <mergeCell ref="H23:K23"/>
    <mergeCell ref="H24:K24"/>
    <mergeCell ref="H25:K25"/>
    <mergeCell ref="L21:L24"/>
    <mergeCell ref="H29:K29"/>
    <mergeCell ref="H26:K26"/>
    <mergeCell ref="H27:K27"/>
    <mergeCell ref="H28:K28"/>
    <mergeCell ref="H20:K20"/>
    <mergeCell ref="H21:K21"/>
    <mergeCell ref="H22:K22"/>
    <mergeCell ref="L16:L20"/>
    <mergeCell ref="H16:K16"/>
    <mergeCell ref="H17:K17"/>
    <mergeCell ref="H18:K18"/>
    <mergeCell ref="H19:K19"/>
    <mergeCell ref="H13:K13"/>
    <mergeCell ref="H15:K15"/>
    <mergeCell ref="L10:L15"/>
    <mergeCell ref="H9:K9"/>
    <mergeCell ref="H10:K10"/>
    <mergeCell ref="H11:K11"/>
    <mergeCell ref="H14:K14"/>
    <mergeCell ref="C3:D3"/>
    <mergeCell ref="F3:G3"/>
    <mergeCell ref="C6:D6"/>
    <mergeCell ref="F6:G6"/>
    <mergeCell ref="C7:D7"/>
    <mergeCell ref="F7:G7"/>
  </mergeCells>
  <dataValidations count="9">
    <dataValidation type="list" allowBlank="1" showInputMessage="1" showErrorMessage="1" sqref="D51:D54">
      <formula1>Herramientas_Ensamble</formula1>
    </dataValidation>
    <dataValidation allowBlank="1" showInputMessage="1" showErrorMessage="1" prompt="Escriba comentarios en las celdas de la derecha." sqref="C59"/>
    <dataValidation type="list" allowBlank="1" showInputMessage="1" showErrorMessage="1" sqref="D10 D50">
      <formula1>Maquinaria_Ensamble</formula1>
    </dataValidation>
    <dataValidation type="list" allowBlank="1" showInputMessage="1" showErrorMessage="1" sqref="D42 D44 D46">
      <formula1>Repuestos_Ensamble</formula1>
    </dataValidation>
    <dataValidation type="list" allowBlank="1" showInputMessage="1" showErrorMessage="1" sqref="D30 D32">
      <formula1>Solvente_Ensamble</formula1>
    </dataValidation>
    <dataValidation type="list" allowBlank="1" showInputMessage="1" showErrorMessage="1" sqref="D25 D27">
      <formula1>Refrigerantes_Ensamble</formula1>
    </dataValidation>
    <dataValidation type="list" allowBlank="1" showInputMessage="1" showErrorMessage="1" sqref="D21">
      <formula1>AireComprimido_Ensamble</formula1>
    </dataValidation>
    <dataValidation type="list" allowBlank="1" showInputMessage="1" showErrorMessage="1" sqref="D16 D18">
      <formula1>Lubricantes_Ensamble</formula1>
    </dataValidation>
    <dataValidation type="list" allowBlank="1" showInputMessage="1" showErrorMessage="1" sqref="D12">
      <formula1>Areas_Ensamble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54</xdr:row>
                    <xdr:rowOff>333375</xdr:rowOff>
                  </from>
                  <to>
                    <xdr:col>1</xdr:col>
                    <xdr:colOff>1762125</xdr:colOff>
                    <xdr:row>55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9">
    <tabColor rgb="FF0070C0"/>
    <pageSetUpPr autoPageBreaks="0" fitToPage="1"/>
  </sheetPr>
  <dimension ref="B1:M59"/>
  <sheetViews>
    <sheetView showGridLines="0" zoomScale="80" zoomScaleNormal="80" workbookViewId="0">
      <selection activeCell="D21" sqref="D21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3.140625" style="80" bestFit="1" customWidth="1"/>
    <col min="5" max="5" width="20.5703125" style="80" customWidth="1"/>
    <col min="6" max="6" width="16.5703125" style="80" bestFit="1" customWidth="1"/>
    <col min="7" max="7" width="19.7109375" style="80" bestFit="1" customWidth="1"/>
    <col min="8" max="8" width="15.28515625" style="80" customWidth="1"/>
    <col min="9" max="10" width="17" style="80" customWidth="1"/>
    <col min="11" max="11" width="28.42578125" style="80" customWidth="1"/>
    <col min="12" max="12" width="20.7109375" style="80" customWidth="1"/>
    <col min="13" max="13" width="2.7109375" style="80" customWidth="1"/>
    <col min="14" max="16384" width="9.140625" style="80"/>
  </cols>
  <sheetData>
    <row r="1" spans="2:13" ht="12" customHeight="1" thickBot="1"/>
    <row r="2" spans="2:13" ht="30" customHeight="1">
      <c r="B2" s="126" t="s">
        <v>95</v>
      </c>
      <c r="C2" s="127"/>
      <c r="D2" s="128"/>
      <c r="E2" s="128"/>
      <c r="F2" s="128"/>
      <c r="G2" s="128"/>
      <c r="H2" s="128"/>
      <c r="I2" s="128"/>
      <c r="J2" s="128"/>
      <c r="K2" s="128"/>
      <c r="L2" s="129"/>
    </row>
    <row r="3" spans="2:13" ht="30" customHeight="1">
      <c r="B3" s="130" t="s">
        <v>96</v>
      </c>
      <c r="C3" s="406" t="s">
        <v>122</v>
      </c>
      <c r="D3" s="406"/>
      <c r="E3" s="125" t="s">
        <v>3</v>
      </c>
      <c r="F3" s="356">
        <f ca="1">TODAY()</f>
        <v>46020</v>
      </c>
      <c r="G3" s="356"/>
      <c r="H3" s="125" t="s">
        <v>61</v>
      </c>
      <c r="I3" s="162">
        <f>'INFO-Direc'!H3</f>
        <v>1445</v>
      </c>
      <c r="J3" s="131"/>
      <c r="K3" s="132"/>
      <c r="L3" s="133"/>
      <c r="M3" s="134"/>
    </row>
    <row r="4" spans="2:13" ht="30" customHeight="1">
      <c r="B4" s="130" t="s">
        <v>97</v>
      </c>
      <c r="C4" s="160">
        <f>IFERROR(INDEX('INFO-OEE'!E17:CL17,
       MATCH(C3, 'INFO-OEE'!E9:CL9, 0)),"")</f>
        <v>0.8</v>
      </c>
      <c r="D4" s="135"/>
      <c r="E4" s="136"/>
      <c r="F4" s="136"/>
      <c r="G4" s="136"/>
      <c r="H4" s="125"/>
      <c r="I4" s="137"/>
      <c r="J4" s="131"/>
      <c r="K4" s="132"/>
      <c r="L4" s="138"/>
      <c r="M4" s="89"/>
    </row>
    <row r="5" spans="2:13" ht="30" customHeight="1">
      <c r="B5" s="139" t="s">
        <v>4</v>
      </c>
      <c r="C5" s="140"/>
      <c r="D5" s="141"/>
      <c r="E5" s="141"/>
      <c r="F5" s="141"/>
      <c r="G5" s="141"/>
      <c r="H5" s="141"/>
      <c r="I5" s="141"/>
      <c r="J5" s="141"/>
      <c r="K5" s="141"/>
      <c r="L5" s="142"/>
    </row>
    <row r="6" spans="2:13" ht="30" customHeight="1">
      <c r="B6" s="143" t="s">
        <v>5</v>
      </c>
      <c r="C6" s="407" t="s">
        <v>205</v>
      </c>
      <c r="D6" s="407"/>
      <c r="E6" s="144" t="s">
        <v>6</v>
      </c>
      <c r="F6" s="407"/>
      <c r="G6" s="407"/>
      <c r="H6" s="141"/>
      <c r="I6" s="141"/>
      <c r="J6" s="141"/>
      <c r="K6" s="30"/>
      <c r="L6" s="145"/>
    </row>
    <row r="7" spans="2:13" ht="30" customHeight="1">
      <c r="B7" s="143" t="s">
        <v>7</v>
      </c>
      <c r="C7" s="407"/>
      <c r="D7" s="407"/>
      <c r="E7" s="144" t="s">
        <v>62</v>
      </c>
      <c r="F7" s="408"/>
      <c r="G7" s="408"/>
      <c r="H7" s="141"/>
      <c r="I7" s="141"/>
      <c r="J7" s="141"/>
      <c r="K7" s="30"/>
      <c r="L7" s="145"/>
    </row>
    <row r="8" spans="2:13" ht="30" customHeight="1" thickBot="1">
      <c r="B8" s="146"/>
      <c r="C8" s="147"/>
      <c r="D8" s="148"/>
      <c r="E8" s="148"/>
      <c r="F8" s="30"/>
      <c r="G8" s="30"/>
      <c r="H8" s="149"/>
      <c r="I8" s="149"/>
      <c r="J8" s="149"/>
      <c r="K8" s="30"/>
      <c r="L8" s="145"/>
    </row>
    <row r="9" spans="2:13" ht="30" customHeight="1" thickBot="1">
      <c r="B9" s="67" t="s">
        <v>9</v>
      </c>
      <c r="C9" s="190" t="s">
        <v>63</v>
      </c>
      <c r="D9" s="190" t="s">
        <v>64</v>
      </c>
      <c r="E9" s="190" t="s">
        <v>65</v>
      </c>
      <c r="F9" s="190" t="s">
        <v>66</v>
      </c>
      <c r="G9" s="190" t="s">
        <v>67</v>
      </c>
      <c r="H9" s="319" t="s">
        <v>68</v>
      </c>
      <c r="I9" s="319"/>
      <c r="J9" s="319"/>
      <c r="K9" s="319"/>
      <c r="L9" s="191" t="s">
        <v>98</v>
      </c>
    </row>
    <row r="10" spans="2:13" ht="30" customHeight="1">
      <c r="B10" s="404" t="s">
        <v>88</v>
      </c>
      <c r="C10" s="405" t="s">
        <v>89</v>
      </c>
      <c r="D10" s="231" t="s">
        <v>122</v>
      </c>
      <c r="E10" s="218"/>
      <c r="F10" s="219" t="str">
        <f>IF(D10="","","kW")</f>
        <v>kW</v>
      </c>
      <c r="G10" s="220">
        <f>IF(D10="","",IFERROR(INDEX('[4]INFO-Consumo'!$F$9:$F$95,
       MATCH(D10, '[4]INFO-Consumo'!$D$9:$D$95, 0)),""))</f>
        <v>1</v>
      </c>
      <c r="H10" s="401"/>
      <c r="I10" s="402"/>
      <c r="J10" s="402"/>
      <c r="K10" s="403"/>
      <c r="L10" s="400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0.30316793172398854</v>
      </c>
    </row>
    <row r="11" spans="2:13" ht="30" customHeight="1">
      <c r="B11" s="392"/>
      <c r="C11" s="393"/>
      <c r="D11" s="221" t="str">
        <f>IF(D10="", "Seleccionar Maquinaria ↑", "Carga Promedio de Uso de " &amp; D10)</f>
        <v>Carga Promedio de Uso de ANDEROMETRO IM-250</v>
      </c>
      <c r="E11" s="222"/>
      <c r="F11" s="223" t="str">
        <f>IF(ISERROR(FIND("Seleccionar", D11)), "%", "")</f>
        <v>%</v>
      </c>
      <c r="G11" s="289">
        <f>IF(D10="","",IFERROR(
    INDEX('[4]INFO-Consumo'!I:I,
           MATCH(D10, '[4]INFO-Consumo'!D:D, 0)
    ),
""))</f>
        <v>0.6</v>
      </c>
      <c r="H11" s="384"/>
      <c r="I11" s="384"/>
      <c r="J11" s="384"/>
      <c r="K11" s="384"/>
      <c r="L11" s="399"/>
    </row>
    <row r="12" spans="2:13" ht="30" customHeight="1">
      <c r="B12" s="392"/>
      <c r="C12" s="393"/>
      <c r="D12" s="232" t="s">
        <v>173</v>
      </c>
      <c r="E12" s="222"/>
      <c r="F12" s="223" t="str">
        <f>IF(D12="","","kW")</f>
        <v>kW</v>
      </c>
      <c r="G12" s="224">
        <f>IFERROR(INDEX('[4]INFO-Ponderacion'!$S$9:$S$13,
       MATCH(D12,'[4]INFO-Ponderacion'!$C$9:$C$13, 0)),"")</f>
        <v>2.4095999999999997</v>
      </c>
      <c r="H12" s="286"/>
      <c r="I12" s="287"/>
      <c r="J12" s="287"/>
      <c r="K12" s="288"/>
      <c r="L12" s="399"/>
    </row>
    <row r="13" spans="2:13" ht="30" customHeight="1">
      <c r="B13" s="392"/>
      <c r="C13" s="393"/>
      <c r="D13" s="221" t="str">
        <f>IF(D12="", "Seleccionar Area ↑", "Tarifa Electrica ")</f>
        <v xml:space="preserve">Tarifa Electrica </v>
      </c>
      <c r="E13" s="222"/>
      <c r="F13" s="223" t="str">
        <f>IF(D12="","","$/kWh")</f>
        <v>$/kWh</v>
      </c>
      <c r="G13" s="228">
        <f>IF(D12="","",'INFO-Direc'!$G$9)</f>
        <v>5.2613958629577628E-2</v>
      </c>
      <c r="H13" s="384"/>
      <c r="I13" s="384"/>
      <c r="J13" s="384"/>
      <c r="K13" s="384"/>
      <c r="L13" s="399"/>
    </row>
    <row r="14" spans="2:13" ht="30" customHeight="1">
      <c r="B14" s="392"/>
      <c r="C14" s="393"/>
      <c r="D14" s="229" t="str">
        <f>IF(D12="", "Seleccionar Area ↑", "Costo Electrico Fijo de " &amp; D12)</f>
        <v>Costo Electrico Fijo de Ensamble</v>
      </c>
      <c r="E14" s="222"/>
      <c r="F14" s="223" t="str">
        <f>IF(D12="","","$/h")</f>
        <v>$/h</v>
      </c>
      <c r="G14" s="290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0.14482096183241172</v>
      </c>
      <c r="H14" s="385"/>
      <c r="I14" s="386"/>
      <c r="J14" s="386"/>
      <c r="K14" s="387"/>
      <c r="L14" s="399"/>
    </row>
    <row r="15" spans="2:13" ht="30" customHeight="1">
      <c r="B15" s="389"/>
      <c r="C15" s="391"/>
      <c r="D15" s="229" t="s">
        <v>85</v>
      </c>
      <c r="E15" s="230"/>
      <c r="F15" s="223" t="str">
        <f>IF(D12="","","$/h")</f>
        <v>$/h</v>
      </c>
      <c r="G15" s="233"/>
      <c r="H15" s="385"/>
      <c r="I15" s="386"/>
      <c r="J15" s="386"/>
      <c r="K15" s="387"/>
      <c r="L15" s="398"/>
    </row>
    <row r="16" spans="2:13" ht="30" customHeight="1">
      <c r="B16" s="388" t="s">
        <v>90</v>
      </c>
      <c r="C16" s="394" t="s">
        <v>89</v>
      </c>
      <c r="D16" s="232"/>
      <c r="E16" s="222"/>
      <c r="F16" s="223" t="str">
        <f>IF(D16="","","$/L")</f>
        <v/>
      </c>
      <c r="G16" s="228" t="str">
        <f>IFERROR(INDEX('INFO-Direc'!$G$9:$G$25,
       MATCH(D16, 'INFO-Direc'!$D$9:$D$25, 0)),"")</f>
        <v/>
      </c>
      <c r="H16" s="384"/>
      <c r="I16" s="384"/>
      <c r="J16" s="384"/>
      <c r="K16" s="384"/>
      <c r="L16" s="397" t="str">
        <f>IF(AND(D16="", D18=""), "",
    IFERROR(
        IFERROR(G16*G17,0)
        + IFERROR(G18*G19,0)
        + IFERROR(G20,0),
    "")
)</f>
        <v/>
      </c>
    </row>
    <row r="17" spans="2:12" ht="30" customHeight="1">
      <c r="B17" s="392"/>
      <c r="C17" s="395"/>
      <c r="D17" s="221" t="str">
        <f>IF(D16="", "Seleccionar Lubricante ↑", "Consumo de " &amp; D16)</f>
        <v>Seleccionar Lubricante ↑</v>
      </c>
      <c r="E17" s="222"/>
      <c r="F17" s="223" t="str">
        <f>IF(ISERROR(FIND("Seleccionar", D17)), "L/h", "")</f>
        <v/>
      </c>
      <c r="G17" s="234"/>
      <c r="H17" s="384"/>
      <c r="I17" s="384"/>
      <c r="J17" s="384"/>
      <c r="K17" s="384"/>
      <c r="L17" s="399"/>
    </row>
    <row r="18" spans="2:12" ht="30" customHeight="1">
      <c r="B18" s="392"/>
      <c r="C18" s="395"/>
      <c r="D18" s="232"/>
      <c r="E18" s="222"/>
      <c r="F18" s="223" t="str">
        <f>IF(D18="","","$/L")</f>
        <v/>
      </c>
      <c r="G18" s="228" t="str">
        <f>IFERROR(INDEX('INFO-Direc'!$G$9:$G$25,
       MATCH(D18, 'INFO-Direc'!$D$9:$D$25, 0)),"")</f>
        <v/>
      </c>
      <c r="H18" s="385"/>
      <c r="I18" s="386"/>
      <c r="J18" s="386"/>
      <c r="K18" s="387"/>
      <c r="L18" s="399"/>
    </row>
    <row r="19" spans="2:12" ht="30" customHeight="1">
      <c r="B19" s="392"/>
      <c r="C19" s="395"/>
      <c r="D19" s="221" t="str">
        <f>IF(D18="", "Seleccionar Lubricante ↑", "Consumo de " &amp; D18)</f>
        <v>Seleccionar Lubricante ↑</v>
      </c>
      <c r="E19" s="222"/>
      <c r="F19" s="223" t="str">
        <f>IF(ISERROR(FIND("Seleccionar", D19)), "L/h", "")</f>
        <v/>
      </c>
      <c r="G19" s="234"/>
      <c r="H19" s="385"/>
      <c r="I19" s="386"/>
      <c r="J19" s="386"/>
      <c r="K19" s="387"/>
      <c r="L19" s="399"/>
    </row>
    <row r="20" spans="2:12" ht="30" customHeight="1">
      <c r="B20" s="389"/>
      <c r="C20" s="396"/>
      <c r="D20" s="221" t="s">
        <v>85</v>
      </c>
      <c r="E20" s="222"/>
      <c r="F20" s="223" t="str">
        <f>IF(OR(D16&lt;&gt;"", D18&lt;&gt;""), "$/h", "")</f>
        <v/>
      </c>
      <c r="G20" s="233"/>
      <c r="H20" s="384"/>
      <c r="I20" s="384"/>
      <c r="J20" s="384"/>
      <c r="K20" s="384"/>
      <c r="L20" s="398"/>
    </row>
    <row r="21" spans="2:12" ht="30" customHeight="1">
      <c r="B21" s="388" t="s">
        <v>92</v>
      </c>
      <c r="C21" s="390" t="s">
        <v>89</v>
      </c>
      <c r="D21" s="232" t="s">
        <v>138</v>
      </c>
      <c r="E21" s="222"/>
      <c r="F21" s="223" t="str">
        <f>IF(D21="","","kW")</f>
        <v>kW</v>
      </c>
      <c r="G21" s="228">
        <f>IFERROR(INDEX('INFO-Direc'!$G$9:$G$25,
       MATCH(D21, 'INFO-Direc'!$D$9:$D$25, 0)),"")</f>
        <v>56</v>
      </c>
      <c r="H21" s="385"/>
      <c r="I21" s="386"/>
      <c r="J21" s="386"/>
      <c r="K21" s="387"/>
      <c r="L21" s="397">
        <f>IFERROR(G21*G13*G22+G23+G24,"")</f>
        <v>1.8303340099538083</v>
      </c>
    </row>
    <row r="22" spans="2:12" ht="30" customHeight="1">
      <c r="B22" s="392"/>
      <c r="C22" s="393"/>
      <c r="D22" s="221" t="str">
        <f>IF(D21="", "Seleccionar Compresor ↑", "Carga Promedio de Uso de " &amp; D21)</f>
        <v>Carga Promedio de Uso de Compresor</v>
      </c>
      <c r="E22" s="222"/>
      <c r="F22" s="223" t="str">
        <f>IF(ISERROR(FIND("Seleccionar", D22)), "%", "")</f>
        <v>%</v>
      </c>
      <c r="G22" s="289">
        <f>IF(D21="","",IFERROR(
    INDEX('[4]INFO-Consumo'!I:I,
           MATCH(D10, '[4]INFO-Consumo'!D:D, 0)
    ),
""))</f>
        <v>0.6</v>
      </c>
      <c r="H22" s="384"/>
      <c r="I22" s="384"/>
      <c r="J22" s="384"/>
      <c r="K22" s="384"/>
      <c r="L22" s="399"/>
    </row>
    <row r="23" spans="2:12" ht="30" customHeight="1">
      <c r="B23" s="392"/>
      <c r="C23" s="393"/>
      <c r="D23" s="235" t="str">
        <f>IF(D21="", "Seleccionar Compresor ↑", "Costo de Repuestos " &amp; D21)</f>
        <v>Costo de Repuestos Compresor</v>
      </c>
      <c r="E23" s="222"/>
      <c r="F23" s="223" t="str">
        <f>IF(ISERROR(FIND("Seleccionar", D23)), "$/h", "")</f>
        <v>$/h</v>
      </c>
      <c r="G23" s="236">
        <f>IF(D21="","", SUM(IF(ISNUMBER(FIND("Compresor", 'INFO-Mant'!D9:D26)), 'INFO-Mant'!G9:G26 / 'INFO-Mant'!H9:H26, 0)))</f>
        <v>6.2505000000000005E-2</v>
      </c>
      <c r="H23" s="385"/>
      <c r="I23" s="386"/>
      <c r="J23" s="386"/>
      <c r="K23" s="387"/>
      <c r="L23" s="399"/>
    </row>
    <row r="24" spans="2:12" ht="30" customHeight="1">
      <c r="B24" s="389"/>
      <c r="C24" s="391"/>
      <c r="D24" s="221" t="s">
        <v>85</v>
      </c>
      <c r="E24" s="222"/>
      <c r="F24" s="223" t="str">
        <f>IF(D21="","","$/h")</f>
        <v>$/h</v>
      </c>
      <c r="G24" s="233"/>
      <c r="H24" s="384"/>
      <c r="I24" s="384"/>
      <c r="J24" s="384"/>
      <c r="K24" s="384"/>
      <c r="L24" s="398"/>
    </row>
    <row r="25" spans="2:12" ht="30" customHeight="1">
      <c r="B25" s="388" t="s">
        <v>94</v>
      </c>
      <c r="C25" s="390" t="s">
        <v>89</v>
      </c>
      <c r="D25" s="232"/>
      <c r="E25" s="222"/>
      <c r="F25" s="223" t="str">
        <f>IF(D25="","","$/L")</f>
        <v/>
      </c>
      <c r="G25" s="228" t="str">
        <f>IFERROR(INDEX('INFO-Direc'!$G$9:$G$25,
       MATCH(D25, 'INFO-Direc'!$D$9:$D$25, 0)),"")</f>
        <v/>
      </c>
      <c r="H25" s="384"/>
      <c r="I25" s="384"/>
      <c r="J25" s="384"/>
      <c r="K25" s="384"/>
      <c r="L25" s="381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92"/>
      <c r="C26" s="393"/>
      <c r="D26" s="221" t="str">
        <f>IF(D25="", "Seleccionar Refrigerante ↑", "Consumo de " &amp; D25)</f>
        <v>Seleccionar Refrigerante ↑</v>
      </c>
      <c r="E26" s="222"/>
      <c r="F26" s="223" t="str">
        <f>IF(ISERROR(FIND("Seleccionar", D26)), "L/Año", "")</f>
        <v/>
      </c>
      <c r="G26" s="238"/>
      <c r="H26" s="384"/>
      <c r="I26" s="384"/>
      <c r="J26" s="384"/>
      <c r="K26" s="384"/>
      <c r="L26" s="382"/>
    </row>
    <row r="27" spans="2:12" ht="30" customHeight="1">
      <c r="B27" s="392"/>
      <c r="C27" s="393"/>
      <c r="D27" s="232"/>
      <c r="E27" s="222"/>
      <c r="F27" s="223" t="str">
        <f>IF(D27="","","$/L")</f>
        <v/>
      </c>
      <c r="G27" s="228" t="str">
        <f>IFERROR(INDEX('INFO-Direc'!$G$9:$G$25,
       MATCH(D27, 'INFO-Direc'!$D$9:$D$25, 0)),"")</f>
        <v/>
      </c>
      <c r="H27" s="385"/>
      <c r="I27" s="386"/>
      <c r="J27" s="386"/>
      <c r="K27" s="387"/>
      <c r="L27" s="382"/>
    </row>
    <row r="28" spans="2:12" ht="30" customHeight="1">
      <c r="B28" s="392"/>
      <c r="C28" s="393"/>
      <c r="D28" s="221" t="str">
        <f>IF(D27="", "Seleccionar Refrigerante ↑", "Consumo de " &amp; D27)</f>
        <v>Seleccionar Refrigerante ↑</v>
      </c>
      <c r="E28" s="222"/>
      <c r="F28" s="223" t="str">
        <f>IF(ISERROR(FIND("Seleccionar", D28)), "L/Año", "")</f>
        <v/>
      </c>
      <c r="G28" s="239"/>
      <c r="H28" s="385"/>
      <c r="I28" s="386"/>
      <c r="J28" s="386"/>
      <c r="K28" s="387"/>
      <c r="L28" s="382"/>
    </row>
    <row r="29" spans="2:12" ht="30" customHeight="1">
      <c r="B29" s="389"/>
      <c r="C29" s="391"/>
      <c r="D29" s="221" t="s">
        <v>85</v>
      </c>
      <c r="E29" s="222"/>
      <c r="F29" s="223" t="str">
        <f>IF(OR(D25&lt;&gt;"", D27&lt;&gt;""), "$/h", "")</f>
        <v/>
      </c>
      <c r="G29" s="233"/>
      <c r="H29" s="384"/>
      <c r="I29" s="384"/>
      <c r="J29" s="384"/>
      <c r="K29" s="384"/>
      <c r="L29" s="383"/>
    </row>
    <row r="30" spans="2:12" s="152" customFormat="1" ht="30" customHeight="1">
      <c r="B30" s="388" t="s">
        <v>168</v>
      </c>
      <c r="C30" s="394" t="s">
        <v>89</v>
      </c>
      <c r="D30" s="232"/>
      <c r="E30" s="222"/>
      <c r="F30" s="223" t="str">
        <f>IF(D30="","","$/L")</f>
        <v/>
      </c>
      <c r="G30" s="228" t="str">
        <f>IFERROR(INDEX('INFO-Direc'!$G$9:$G$25,
       MATCH(D30, 'INFO-Direc'!$D$9:$D$25, 0)),"")</f>
        <v/>
      </c>
      <c r="H30" s="384"/>
      <c r="I30" s="384"/>
      <c r="J30" s="384"/>
      <c r="K30" s="384"/>
      <c r="L30" s="381" t="str">
        <f>IF(
    AND(D30="", D32=""),
    "",
    IFERROR(
        IFERROR(G30 / (INDEX('INFO-OEE'!$E$18:$CA$18,
                               MATCH(#REF!, 'INFO-OEE'!$E$9:$CA$9, 0)) * 12), 0)
        * G31
        +
        IFERROR(G32 / (INDEX('INFO-OEE'!$E$18:$CA$18,
                               MATCH(#REF!, 'INFO-OEE'!$E$9:$CA$9, 0)) * 12), 0)
        * G33
        +
        IFERROR(G34, 0),
    "")
)</f>
        <v/>
      </c>
    </row>
    <row r="31" spans="2:12" s="152" customFormat="1" ht="30" customHeight="1">
      <c r="B31" s="392"/>
      <c r="C31" s="395"/>
      <c r="D31" s="221" t="str">
        <f>IF(D30="", "Seleccionar Solvente ↑", "Consumo de " &amp; D30)</f>
        <v>Seleccionar Solvente ↑</v>
      </c>
      <c r="E31" s="222"/>
      <c r="F31" s="223" t="str">
        <f>IF(ISERROR(FIND("Seleccionar", D31)), "L/Año", "")</f>
        <v/>
      </c>
      <c r="G31" s="234"/>
      <c r="H31" s="384"/>
      <c r="I31" s="384"/>
      <c r="J31" s="384"/>
      <c r="K31" s="384"/>
      <c r="L31" s="382"/>
    </row>
    <row r="32" spans="2:12" s="152" customFormat="1" ht="30" customHeight="1">
      <c r="B32" s="392"/>
      <c r="C32" s="395"/>
      <c r="D32" s="232"/>
      <c r="E32" s="222"/>
      <c r="F32" s="223" t="str">
        <f>IF(D32="","","$/L")</f>
        <v/>
      </c>
      <c r="G32" s="228" t="str">
        <f>IFERROR(INDEX('INFO-Direc'!$G$9:$G$25,
       MATCH(D32, 'INFO-Direc'!$D$9:$D$25, 0)),"")</f>
        <v/>
      </c>
      <c r="H32" s="385"/>
      <c r="I32" s="386"/>
      <c r="J32" s="386"/>
      <c r="K32" s="387"/>
      <c r="L32" s="382"/>
    </row>
    <row r="33" spans="2:12" s="152" customFormat="1" ht="30" customHeight="1">
      <c r="B33" s="392"/>
      <c r="C33" s="395"/>
      <c r="D33" s="221" t="str">
        <f>IF(D32="", "Seleccionar Solvente ↑", "Consumo de " &amp; D32)</f>
        <v>Seleccionar Solvente ↑</v>
      </c>
      <c r="E33" s="222"/>
      <c r="F33" s="223" t="str">
        <f>IF(ISERROR(FIND("Seleccionar", D33)), "L/Año", "")</f>
        <v/>
      </c>
      <c r="G33" s="234"/>
      <c r="H33" s="385"/>
      <c r="I33" s="386"/>
      <c r="J33" s="386"/>
      <c r="K33" s="387"/>
      <c r="L33" s="382"/>
    </row>
    <row r="34" spans="2:12" s="152" customFormat="1" ht="30" customHeight="1">
      <c r="B34" s="389"/>
      <c r="C34" s="396"/>
      <c r="D34" s="221" t="s">
        <v>85</v>
      </c>
      <c r="E34" s="222"/>
      <c r="F34" s="223" t="str">
        <f>IF(OR(D30&lt;&gt;"", D32&lt;&gt;""), "$/h", "")</f>
        <v/>
      </c>
      <c r="G34" s="233"/>
      <c r="H34" s="384"/>
      <c r="I34" s="384"/>
      <c r="J34" s="384"/>
      <c r="K34" s="384"/>
      <c r="L34" s="383"/>
    </row>
    <row r="35" spans="2:12" ht="30" customHeight="1">
      <c r="B35" s="388" t="s">
        <v>100</v>
      </c>
      <c r="C35" s="390" t="s">
        <v>89</v>
      </c>
      <c r="D35" s="221" t="str">
        <f>IF(D12="", "Seleccionar Area ↑", "Costo de Operarios")</f>
        <v>Costo de Operarios</v>
      </c>
      <c r="E35" s="222"/>
      <c r="F35" s="223" t="str">
        <f>IF(D12="","","$/mes")</f>
        <v>$/mes</v>
      </c>
      <c r="G35" s="237">
        <f>IF(D12="","",IFERROR(
    INDEX('INFO-Personal'!$E$26:$CA$26,
           MATCH($C$3, 'INFO-Personal'!$E$9:$CA$9, 0)
    ),
""))</f>
        <v>0</v>
      </c>
      <c r="H35" s="384"/>
      <c r="I35" s="384"/>
      <c r="J35" s="384"/>
      <c r="K35" s="384"/>
      <c r="L35" s="397">
        <f>IFERROR(
    (G35 / INDEX('INFO-OEE'!$E$18:$CA$18,
                  MATCH($C$3, 'INFO-OEE'!$E$9:$CA$9, 0)))
    + G36,
"")</f>
        <v>0</v>
      </c>
    </row>
    <row r="36" spans="2:12" ht="30" customHeight="1">
      <c r="B36" s="389"/>
      <c r="C36" s="391"/>
      <c r="D36" s="221" t="s">
        <v>85</v>
      </c>
      <c r="E36" s="222"/>
      <c r="F36" s="223" t="str">
        <f>IF(D12="","","$/h")</f>
        <v>$/h</v>
      </c>
      <c r="G36" s="240"/>
      <c r="H36" s="384"/>
      <c r="I36" s="384"/>
      <c r="J36" s="384"/>
      <c r="K36" s="384"/>
      <c r="L36" s="398"/>
    </row>
    <row r="37" spans="2:12" ht="30" customHeight="1">
      <c r="B37" s="241"/>
      <c r="C37" s="242"/>
      <c r="D37" s="243"/>
      <c r="E37" s="242"/>
      <c r="F37" s="244"/>
      <c r="G37" s="245"/>
      <c r="H37" s="409"/>
      <c r="I37" s="409"/>
      <c r="J37" s="409"/>
      <c r="K37" s="409"/>
      <c r="L37" s="246"/>
    </row>
    <row r="38" spans="2:12" ht="30" customHeight="1">
      <c r="B38" s="388" t="s">
        <v>16</v>
      </c>
      <c r="C38" s="390" t="s">
        <v>69</v>
      </c>
      <c r="D38" s="221" t="str">
        <f>IF(D12="", "Seleccionar Area ↑", "Costo de Supervisores")</f>
        <v>Costo de Supervisores</v>
      </c>
      <c r="E38" s="222"/>
      <c r="F38" s="247" t="str">
        <f>IF(D12="","","$/mes")</f>
        <v>$/mes</v>
      </c>
      <c r="G38" s="237">
        <f>IF(D12="","",IFERROR(
    INDEX('INFO-Personal'!$E$27:$CA$27,
           MATCH($C$3, 'INFO-Personal'!$E$9:$CA$9, 0)
    ),
""))</f>
        <v>0</v>
      </c>
      <c r="H38" s="385"/>
      <c r="I38" s="386"/>
      <c r="J38" s="386"/>
      <c r="K38" s="387"/>
      <c r="L38" s="397">
        <f>IFERROR(
    (G38 / INDEX('INFO-OEE'!$E$18:$CA$18,
                  MATCH($C$3, 'INFO-OEE'!$E$9:$CA$9, 0)))
    + G39,
"")</f>
        <v>0</v>
      </c>
    </row>
    <row r="39" spans="2:12" ht="30" customHeight="1">
      <c r="B39" s="392"/>
      <c r="C39" s="393"/>
      <c r="D39" s="221" t="s">
        <v>85</v>
      </c>
      <c r="E39" s="222"/>
      <c r="F39" s="223" t="str">
        <f>IF(D12="","","$/h")</f>
        <v>$/h</v>
      </c>
      <c r="G39" s="240"/>
      <c r="H39" s="385"/>
      <c r="I39" s="386"/>
      <c r="J39" s="386"/>
      <c r="K39" s="387"/>
      <c r="L39" s="399"/>
    </row>
    <row r="40" spans="2:12" ht="30" customHeight="1">
      <c r="B40" s="388" t="s">
        <v>101</v>
      </c>
      <c r="C40" s="390" t="s">
        <v>69</v>
      </c>
      <c r="D40" s="221" t="str">
        <f>IF(D12="", "Seleccionar Area ↑", "Costo de Mant. Preventivo")</f>
        <v>Costo de Mant. Preventivo</v>
      </c>
      <c r="E40" s="222"/>
      <c r="F40" s="247" t="str">
        <f>IF(D12="","","$/mes")</f>
        <v>$/mes</v>
      </c>
      <c r="G40" s="237">
        <f>IF(D12="","",IFERROR(
    INDEX('INFO-Personal'!$E$28:$CA$28,
           MATCH($C$3, 'INFO-Personal'!$E$9:$CA$9, 0)
    ),
""))</f>
        <v>0</v>
      </c>
      <c r="H40" s="385"/>
      <c r="I40" s="386"/>
      <c r="J40" s="386"/>
      <c r="K40" s="387"/>
      <c r="L40" s="397">
        <f>IF(D12="","",SUM(
    IFERROR((G40+G41) / INDEX('INFO-OEE'!$E$18:$CA$18, MATCH(C3, 'INFO-OEE'!$E$9:$CA$9, 0)), 0),
    IFERROR(G42 / G43, 0),
    IFERROR(G44 / G45, 0),
    IFERROR(G46 / G47, 0),
    IFERROR(G48, 0)
))</f>
        <v>0.20547299995868396</v>
      </c>
    </row>
    <row r="41" spans="2:12" ht="30" customHeight="1">
      <c r="B41" s="392"/>
      <c r="C41" s="393"/>
      <c r="D41" s="221" t="str">
        <f>IF(D12="", "Seleccionar Area ↑", "Costo de Mant. Correctivo")</f>
        <v>Costo de Mant. Correctivo</v>
      </c>
      <c r="E41" s="222"/>
      <c r="F41" s="247" t="str">
        <f>IF(D12="","","$/mes")</f>
        <v>$/mes</v>
      </c>
      <c r="G41" s="237">
        <f>IF(D12="","",IFERROR(
    INDEX('INFO-Personal'!$E$29:$CA$29,
           MATCH($C$3, 'INFO-Personal'!$E$9:$CA$9, 0)
    ),
""))</f>
        <v>28.930598394182702</v>
      </c>
      <c r="H41" s="385"/>
      <c r="I41" s="386"/>
      <c r="J41" s="386"/>
      <c r="K41" s="387"/>
      <c r="L41" s="399"/>
    </row>
    <row r="42" spans="2:12" ht="30" customHeight="1">
      <c r="B42" s="392"/>
      <c r="C42" s="393"/>
      <c r="D42" s="232"/>
      <c r="E42" s="222"/>
      <c r="F42" s="223" t="str">
        <f>IF(D42="","","$/u")</f>
        <v/>
      </c>
      <c r="G42" s="237" t="str">
        <f>IFERROR(INDEX('INFO-Mant'!$G$9:$G$26,
       MATCH(D42, 'INFO-Mant'!$D$9:$D$26, 0)),"")</f>
        <v/>
      </c>
      <c r="H42" s="385"/>
      <c r="I42" s="386"/>
      <c r="J42" s="386"/>
      <c r="K42" s="387"/>
      <c r="L42" s="399"/>
    </row>
    <row r="43" spans="2:12" ht="30" customHeight="1">
      <c r="B43" s="392"/>
      <c r="C43" s="393"/>
      <c r="D43" s="221" t="str">
        <f>IF(D42="", "Seleccionar Repuesto ↑", "Vida Util de " &amp; D42)</f>
        <v>Seleccionar Repuesto ↑</v>
      </c>
      <c r="E43" s="222"/>
      <c r="F43" s="223" t="str">
        <f>IF(ISERROR(FIND("Seleccionar", D43)), "Horas/u", "")</f>
        <v/>
      </c>
      <c r="G43" s="238"/>
      <c r="H43" s="385"/>
      <c r="I43" s="386"/>
      <c r="J43" s="386"/>
      <c r="K43" s="387"/>
      <c r="L43" s="399"/>
    </row>
    <row r="44" spans="2:12" ht="30" customHeight="1">
      <c r="B44" s="392"/>
      <c r="C44" s="393"/>
      <c r="D44" s="232"/>
      <c r="E44" s="222"/>
      <c r="F44" s="223" t="str">
        <f>IF(D44="","","$/u")</f>
        <v/>
      </c>
      <c r="G44" s="237" t="str">
        <f>IFERROR(INDEX('INFO-Mant'!$G$9:$G$26,
       MATCH(D44, 'INFO-Mant'!$D$9:$D$26, 0)),"")</f>
        <v/>
      </c>
      <c r="H44" s="385"/>
      <c r="I44" s="386"/>
      <c r="J44" s="386"/>
      <c r="K44" s="387"/>
      <c r="L44" s="399"/>
    </row>
    <row r="45" spans="2:12" ht="32.25" customHeight="1">
      <c r="B45" s="392"/>
      <c r="C45" s="393"/>
      <c r="D45" s="221" t="str">
        <f>IF(D44="", "Seleccionar Repuesto ↑", "Vida Util de " &amp; D44)</f>
        <v>Seleccionar Repuesto ↑</v>
      </c>
      <c r="E45" s="222"/>
      <c r="F45" s="223" t="str">
        <f>IF(ISERROR(FIND("Seleccionar", D45)), "Horas/u", "")</f>
        <v/>
      </c>
      <c r="G45" s="238"/>
      <c r="H45" s="385"/>
      <c r="I45" s="386"/>
      <c r="J45" s="386"/>
      <c r="K45" s="387"/>
      <c r="L45" s="399"/>
    </row>
    <row r="46" spans="2:12" ht="30" customHeight="1">
      <c r="B46" s="392"/>
      <c r="C46" s="393"/>
      <c r="D46" s="232"/>
      <c r="E46" s="222"/>
      <c r="F46" s="223" t="str">
        <f>IF(D46="","","$/u")</f>
        <v/>
      </c>
      <c r="G46" s="237" t="str">
        <f>IFERROR(INDEX('INFO-Mant'!$G$9:$G$26,
       MATCH(D46, 'INFO-Mant'!$D$9:$D$26, 0)),"")</f>
        <v/>
      </c>
      <c r="H46" s="385"/>
      <c r="I46" s="386"/>
      <c r="J46" s="386"/>
      <c r="K46" s="387"/>
      <c r="L46" s="399"/>
    </row>
    <row r="47" spans="2:12" ht="33.75" customHeight="1">
      <c r="B47" s="392"/>
      <c r="C47" s="393"/>
      <c r="D47" s="221" t="str">
        <f>IF(D46="", "Seleccionar Repuesto ↑", "Vida Util de " &amp; D46)</f>
        <v>Seleccionar Repuesto ↑</v>
      </c>
      <c r="E47" s="222"/>
      <c r="F47" s="223" t="str">
        <f>IF(ISERROR(FIND("Seleccionar", D47)), "Horas/u", "")</f>
        <v/>
      </c>
      <c r="G47" s="240"/>
      <c r="H47" s="385"/>
      <c r="I47" s="386"/>
      <c r="J47" s="386"/>
      <c r="K47" s="387"/>
      <c r="L47" s="399"/>
    </row>
    <row r="48" spans="2:12" ht="30" customHeight="1">
      <c r="B48" s="389"/>
      <c r="C48" s="391"/>
      <c r="D48" s="221" t="s">
        <v>85</v>
      </c>
      <c r="E48" s="222"/>
      <c r="F48" s="223" t="str">
        <f>IF(D12="","","$/h")</f>
        <v>$/h</v>
      </c>
      <c r="G48" s="240"/>
      <c r="H48" s="385"/>
      <c r="I48" s="386"/>
      <c r="J48" s="386"/>
      <c r="K48" s="387"/>
      <c r="L48" s="398"/>
    </row>
    <row r="49" spans="2:12" ht="30" customHeight="1">
      <c r="B49" s="248"/>
      <c r="C49" s="249"/>
      <c r="D49" s="250"/>
      <c r="E49" s="249"/>
      <c r="F49" s="251"/>
      <c r="G49" s="252"/>
      <c r="H49" s="249"/>
      <c r="I49" s="249"/>
      <c r="J49" s="249"/>
      <c r="K49" s="249"/>
      <c r="L49" s="253"/>
    </row>
    <row r="50" spans="2:12" ht="30" customHeight="1">
      <c r="B50" s="388" t="s">
        <v>102</v>
      </c>
      <c r="C50" s="394" t="s">
        <v>103</v>
      </c>
      <c r="D50" s="232"/>
      <c r="E50" s="222"/>
      <c r="F50" s="223" t="str">
        <f>IF(D50="","","$/h")</f>
        <v/>
      </c>
      <c r="G50" s="23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410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410"/>
      <c r="J50" s="410"/>
      <c r="K50" s="410"/>
      <c r="L50" s="255" t="str">
        <f ca="1">G50</f>
        <v/>
      </c>
    </row>
    <row r="51" spans="2:12" ht="30" customHeight="1">
      <c r="B51" s="392"/>
      <c r="C51" s="395"/>
      <c r="D51" s="232"/>
      <c r="E51" s="254"/>
      <c r="F51" s="223" t="str">
        <f>IF(D51="","","$/h")</f>
        <v/>
      </c>
      <c r="G51" s="23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410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410"/>
      <c r="J51" s="410"/>
      <c r="K51" s="410"/>
      <c r="L51" s="255" t="str">
        <f ca="1">G51</f>
        <v/>
      </c>
    </row>
    <row r="52" spans="2:12" ht="30" customHeight="1">
      <c r="B52" s="392"/>
      <c r="C52" s="395"/>
      <c r="D52" s="232"/>
      <c r="E52" s="222"/>
      <c r="F52" s="223" t="str">
        <f t="shared" ref="F52:F54" si="0">IF(D52="","","$/h")</f>
        <v/>
      </c>
      <c r="G52" s="23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410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410"/>
      <c r="J52" s="410"/>
      <c r="K52" s="410"/>
      <c r="L52" s="255" t="str">
        <f ca="1">G52</f>
        <v/>
      </c>
    </row>
    <row r="53" spans="2:12" ht="30" customHeight="1">
      <c r="B53" s="392"/>
      <c r="C53" s="395"/>
      <c r="D53" s="232"/>
      <c r="E53" s="222"/>
      <c r="F53" s="223" t="str">
        <f t="shared" si="0"/>
        <v/>
      </c>
      <c r="G53" s="23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410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410"/>
      <c r="J53" s="410"/>
      <c r="K53" s="410"/>
      <c r="L53" s="255" t="str">
        <f ca="1">G53</f>
        <v/>
      </c>
    </row>
    <row r="54" spans="2:12" ht="30" customHeight="1">
      <c r="B54" s="389"/>
      <c r="C54" s="396"/>
      <c r="D54" s="232"/>
      <c r="E54" s="222"/>
      <c r="F54" s="223" t="str">
        <f t="shared" si="0"/>
        <v/>
      </c>
      <c r="G54" s="23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410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410"/>
      <c r="J54" s="410"/>
      <c r="K54" s="410"/>
      <c r="L54" s="255" t="str">
        <f ca="1">G54</f>
        <v/>
      </c>
    </row>
    <row r="55" spans="2:12" ht="30" customHeight="1">
      <c r="B55" s="146"/>
      <c r="C55" s="147"/>
      <c r="D55" s="411"/>
      <c r="E55" s="411"/>
      <c r="F55" s="30"/>
      <c r="G55" s="30"/>
      <c r="H55" s="149"/>
      <c r="I55" s="149"/>
      <c r="J55" s="149"/>
      <c r="K55" s="30"/>
      <c r="L55" s="145"/>
    </row>
    <row r="56" spans="2:12" ht="30" customHeight="1" thickBot="1">
      <c r="B56" s="153" t="s">
        <v>39</v>
      </c>
      <c r="C56" s="330"/>
      <c r="D56" s="330"/>
      <c r="E56" s="154" t="s">
        <v>23</v>
      </c>
      <c r="F56" s="368"/>
      <c r="G56" s="368"/>
      <c r="H56" s="141"/>
      <c r="I56" s="141"/>
      <c r="J56" s="141"/>
      <c r="K56" s="256"/>
      <c r="L56" s="257"/>
    </row>
    <row r="57" spans="2:12" ht="30" customHeight="1" thickBot="1">
      <c r="B57" s="155"/>
      <c r="C57" s="156"/>
      <c r="D57" s="156"/>
      <c r="E57" s="156"/>
      <c r="F57" s="378"/>
      <c r="G57" s="378"/>
      <c r="H57" s="157"/>
      <c r="I57" s="157"/>
      <c r="J57" s="157"/>
      <c r="K57" s="258" t="s">
        <v>106</v>
      </c>
      <c r="L57" s="259">
        <f ca="1">IFERROR(SUM(L19:L54),"")</f>
        <v>2.0358070099124923</v>
      </c>
    </row>
    <row r="59" spans="2:12" ht="30" customHeight="1">
      <c r="C59" s="117"/>
    </row>
  </sheetData>
  <sheetProtection algorithmName="SHA-512" hashValue="1Uxv6PL0XRm2pNNYM0UvXF59c1bGT6L1/LCxvKaHck0+GBPedYmoMV1LgCZZsE59y47tGWDsJe/qmeMHfgKlNg==" saltValue="bnhA+aPr0Evh+92PalVDlg==" spinCount="100000" sheet="1" objects="1" scenarios="1" selectLockedCells="1"/>
  <mergeCells count="80">
    <mergeCell ref="D55:E55"/>
    <mergeCell ref="C56:D56"/>
    <mergeCell ref="F56:G56"/>
    <mergeCell ref="F57:G57"/>
    <mergeCell ref="B50:B54"/>
    <mergeCell ref="C50:C54"/>
    <mergeCell ref="H50:K50"/>
    <mergeCell ref="H51:K51"/>
    <mergeCell ref="H52:K52"/>
    <mergeCell ref="H53:K53"/>
    <mergeCell ref="H54:K54"/>
    <mergeCell ref="L38:L39"/>
    <mergeCell ref="B40:B48"/>
    <mergeCell ref="C40:C48"/>
    <mergeCell ref="L40:L48"/>
    <mergeCell ref="H44:K44"/>
    <mergeCell ref="H45:K45"/>
    <mergeCell ref="H46:K46"/>
    <mergeCell ref="H47:K47"/>
    <mergeCell ref="H48:K48"/>
    <mergeCell ref="H39:K39"/>
    <mergeCell ref="H40:K40"/>
    <mergeCell ref="H41:K41"/>
    <mergeCell ref="H42:K42"/>
    <mergeCell ref="H43:K43"/>
    <mergeCell ref="B38:B39"/>
    <mergeCell ref="C38:C39"/>
    <mergeCell ref="B10:B15"/>
    <mergeCell ref="C10:C15"/>
    <mergeCell ref="B16:B20"/>
    <mergeCell ref="C16:C20"/>
    <mergeCell ref="B21:B24"/>
    <mergeCell ref="C21:C24"/>
    <mergeCell ref="H38:K38"/>
    <mergeCell ref="H34:K34"/>
    <mergeCell ref="H35:K35"/>
    <mergeCell ref="H36:K36"/>
    <mergeCell ref="H37:K37"/>
    <mergeCell ref="B35:B36"/>
    <mergeCell ref="C35:C36"/>
    <mergeCell ref="L35:L36"/>
    <mergeCell ref="H30:K30"/>
    <mergeCell ref="H31:K31"/>
    <mergeCell ref="H32:K32"/>
    <mergeCell ref="H33:K33"/>
    <mergeCell ref="B30:B34"/>
    <mergeCell ref="C30:C34"/>
    <mergeCell ref="L30:L34"/>
    <mergeCell ref="B25:B29"/>
    <mergeCell ref="C25:C29"/>
    <mergeCell ref="L25:L29"/>
    <mergeCell ref="H23:K23"/>
    <mergeCell ref="H24:K24"/>
    <mergeCell ref="H25:K25"/>
    <mergeCell ref="L21:L24"/>
    <mergeCell ref="H29:K29"/>
    <mergeCell ref="H26:K26"/>
    <mergeCell ref="H27:K27"/>
    <mergeCell ref="H28:K28"/>
    <mergeCell ref="H20:K20"/>
    <mergeCell ref="H21:K21"/>
    <mergeCell ref="H22:K22"/>
    <mergeCell ref="L16:L20"/>
    <mergeCell ref="H16:K16"/>
    <mergeCell ref="H17:K17"/>
    <mergeCell ref="H18:K18"/>
    <mergeCell ref="H19:K19"/>
    <mergeCell ref="H13:K13"/>
    <mergeCell ref="H15:K15"/>
    <mergeCell ref="L10:L15"/>
    <mergeCell ref="H9:K9"/>
    <mergeCell ref="H10:K10"/>
    <mergeCell ref="H11:K11"/>
    <mergeCell ref="H14:K14"/>
    <mergeCell ref="C3:D3"/>
    <mergeCell ref="F3:G3"/>
    <mergeCell ref="C6:D6"/>
    <mergeCell ref="F6:G6"/>
    <mergeCell ref="C7:D7"/>
    <mergeCell ref="F7:G7"/>
  </mergeCells>
  <dataValidations count="9">
    <dataValidation allowBlank="1" showInputMessage="1" showErrorMessage="1" prompt="Escriba comentarios en las celdas de la derecha." sqref="C59"/>
    <dataValidation type="list" allowBlank="1" showInputMessage="1" showErrorMessage="1" sqref="D51:D54">
      <formula1>Herramientas_Ensamble</formula1>
    </dataValidation>
    <dataValidation type="list" allowBlank="1" showInputMessage="1" showErrorMessage="1" sqref="D12">
      <formula1>Areas_Ensamble</formula1>
    </dataValidation>
    <dataValidation type="list" allowBlank="1" showInputMessage="1" showErrorMessage="1" sqref="D16 D18">
      <formula1>Lubricantes_Ensamble</formula1>
    </dataValidation>
    <dataValidation type="list" allowBlank="1" showInputMessage="1" showErrorMessage="1" sqref="D21">
      <formula1>AireComprimido_Ensamble</formula1>
    </dataValidation>
    <dataValidation type="list" allowBlank="1" showInputMessage="1" showErrorMessage="1" sqref="D25 D27">
      <formula1>Refrigerantes_Ensamble</formula1>
    </dataValidation>
    <dataValidation type="list" allowBlank="1" showInputMessage="1" showErrorMessage="1" sqref="D30 D32">
      <formula1>Solvente_Ensamble</formula1>
    </dataValidation>
    <dataValidation type="list" allowBlank="1" showInputMessage="1" showErrorMessage="1" sqref="D42 D44 D46">
      <formula1>Repuestos_Ensamble</formula1>
    </dataValidation>
    <dataValidation type="list" allowBlank="1" showInputMessage="1" showErrorMessage="1" sqref="D10 D50">
      <formula1>Maquinaria_Ensamble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54</xdr:row>
                    <xdr:rowOff>333375</xdr:rowOff>
                  </from>
                  <to>
                    <xdr:col>1</xdr:col>
                    <xdr:colOff>1762125</xdr:colOff>
                    <xdr:row>55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0">
    <tabColor rgb="FF0070C0"/>
    <pageSetUpPr autoPageBreaks="0" fitToPage="1"/>
  </sheetPr>
  <dimension ref="B1:M59"/>
  <sheetViews>
    <sheetView showGridLines="0" zoomScale="80" zoomScaleNormal="80" workbookViewId="0">
      <selection activeCell="C6" sqref="C6:D6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3.140625" style="80" bestFit="1" customWidth="1"/>
    <col min="5" max="5" width="20.5703125" style="80" customWidth="1"/>
    <col min="6" max="6" width="16.5703125" style="80" bestFit="1" customWidth="1"/>
    <col min="7" max="7" width="19.7109375" style="80" bestFit="1" customWidth="1"/>
    <col min="8" max="8" width="15.28515625" style="80" customWidth="1"/>
    <col min="9" max="10" width="17" style="80" customWidth="1"/>
    <col min="11" max="11" width="28.42578125" style="80" customWidth="1"/>
    <col min="12" max="12" width="20.7109375" style="80" customWidth="1"/>
    <col min="13" max="13" width="2.7109375" style="80" customWidth="1"/>
    <col min="14" max="16384" width="9.140625" style="80"/>
  </cols>
  <sheetData>
    <row r="1" spans="2:13" ht="12" customHeight="1" thickBot="1"/>
    <row r="2" spans="2:13" ht="30" customHeight="1">
      <c r="B2" s="126" t="s">
        <v>95</v>
      </c>
      <c r="C2" s="127"/>
      <c r="D2" s="128"/>
      <c r="E2" s="128"/>
      <c r="F2" s="128"/>
      <c r="G2" s="128"/>
      <c r="H2" s="128"/>
      <c r="I2" s="128"/>
      <c r="J2" s="128"/>
      <c r="K2" s="128"/>
      <c r="L2" s="129"/>
    </row>
    <row r="3" spans="2:13" ht="30" customHeight="1">
      <c r="B3" s="130" t="s">
        <v>96</v>
      </c>
      <c r="C3" s="406" t="s">
        <v>123</v>
      </c>
      <c r="D3" s="406"/>
      <c r="E3" s="125" t="s">
        <v>3</v>
      </c>
      <c r="F3" s="356">
        <f ca="1">TODAY()</f>
        <v>46020</v>
      </c>
      <c r="G3" s="356"/>
      <c r="H3" s="125" t="s">
        <v>61</v>
      </c>
      <c r="I3" s="162">
        <f>'INFO-Direc'!H3</f>
        <v>1445</v>
      </c>
      <c r="J3" s="131"/>
      <c r="K3" s="132"/>
      <c r="L3" s="133"/>
      <c r="M3" s="134"/>
    </row>
    <row r="4" spans="2:13" ht="30" customHeight="1">
      <c r="B4" s="130" t="s">
        <v>97</v>
      </c>
      <c r="C4" s="160">
        <f>IFERROR(INDEX('INFO-OEE'!E17:CL17,
       MATCH(C3, 'INFO-OEE'!E9:CL9, 0)),"")</f>
        <v>0.8</v>
      </c>
      <c r="D4" s="135"/>
      <c r="E4" s="136"/>
      <c r="F4" s="136"/>
      <c r="G4" s="136"/>
      <c r="H4" s="125"/>
      <c r="I4" s="137"/>
      <c r="J4" s="131"/>
      <c r="K4" s="132"/>
      <c r="L4" s="138"/>
      <c r="M4" s="89"/>
    </row>
    <row r="5" spans="2:13" ht="30" customHeight="1">
      <c r="B5" s="139" t="s">
        <v>4</v>
      </c>
      <c r="C5" s="140"/>
      <c r="D5" s="141"/>
      <c r="E5" s="141"/>
      <c r="F5" s="141"/>
      <c r="G5" s="141"/>
      <c r="H5" s="141"/>
      <c r="I5" s="141"/>
      <c r="J5" s="141"/>
      <c r="K5" s="141"/>
      <c r="L5" s="142"/>
    </row>
    <row r="6" spans="2:13" ht="30" customHeight="1">
      <c r="B6" s="143" t="s">
        <v>5</v>
      </c>
      <c r="C6" s="407" t="s">
        <v>205</v>
      </c>
      <c r="D6" s="407"/>
      <c r="E6" s="144" t="s">
        <v>6</v>
      </c>
      <c r="F6" s="407"/>
      <c r="G6" s="407"/>
      <c r="H6" s="141"/>
      <c r="I6" s="141"/>
      <c r="J6" s="141"/>
      <c r="K6" s="30"/>
      <c r="L6" s="145"/>
    </row>
    <row r="7" spans="2:13" ht="30" customHeight="1">
      <c r="B7" s="143" t="s">
        <v>7</v>
      </c>
      <c r="C7" s="407"/>
      <c r="D7" s="407"/>
      <c r="E7" s="144" t="s">
        <v>62</v>
      </c>
      <c r="F7" s="408"/>
      <c r="G7" s="408"/>
      <c r="H7" s="141"/>
      <c r="I7" s="141"/>
      <c r="J7" s="141"/>
      <c r="K7" s="30"/>
      <c r="L7" s="145"/>
    </row>
    <row r="8" spans="2:13" ht="30" customHeight="1" thickBot="1">
      <c r="B8" s="146"/>
      <c r="C8" s="147"/>
      <c r="D8" s="148"/>
      <c r="E8" s="148"/>
      <c r="F8" s="30"/>
      <c r="G8" s="30"/>
      <c r="H8" s="149"/>
      <c r="I8" s="149"/>
      <c r="J8" s="149"/>
      <c r="K8" s="30"/>
      <c r="L8" s="145"/>
    </row>
    <row r="9" spans="2:13" ht="30" customHeight="1" thickBot="1">
      <c r="B9" s="67" t="s">
        <v>9</v>
      </c>
      <c r="C9" s="190" t="s">
        <v>63</v>
      </c>
      <c r="D9" s="190" t="s">
        <v>64</v>
      </c>
      <c r="E9" s="190" t="s">
        <v>65</v>
      </c>
      <c r="F9" s="190" t="s">
        <v>66</v>
      </c>
      <c r="G9" s="190" t="s">
        <v>67</v>
      </c>
      <c r="H9" s="319" t="s">
        <v>68</v>
      </c>
      <c r="I9" s="319"/>
      <c r="J9" s="319"/>
      <c r="K9" s="319"/>
      <c r="L9" s="191" t="s">
        <v>98</v>
      </c>
    </row>
    <row r="10" spans="2:13" ht="30" customHeight="1">
      <c r="B10" s="404" t="s">
        <v>88</v>
      </c>
      <c r="C10" s="405" t="s">
        <v>89</v>
      </c>
      <c r="D10" s="231" t="s">
        <v>123</v>
      </c>
      <c r="E10" s="218"/>
      <c r="F10" s="219" t="str">
        <f>IF(D10="","","kW")</f>
        <v>kW</v>
      </c>
      <c r="G10" s="220">
        <f>IF(D10="","",IFERROR(INDEX('[4]INFO-Consumo'!$F$9:$F$95,
       MATCH(D10, '[4]INFO-Consumo'!$D$9:$D$95, 0)),""))</f>
        <v>1</v>
      </c>
      <c r="H10" s="401"/>
      <c r="I10" s="402"/>
      <c r="J10" s="402"/>
      <c r="K10" s="403"/>
      <c r="L10" s="400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0.30316793172398854</v>
      </c>
    </row>
    <row r="11" spans="2:13" ht="30" customHeight="1">
      <c r="B11" s="392"/>
      <c r="C11" s="393"/>
      <c r="D11" s="221" t="str">
        <f>IF(D10="", "Seleccionar Maquinaria ↑", "Carga Promedio de Uso de " &amp; D10)</f>
        <v>Carga Promedio de Uso de ANDEROMETRO IM251</v>
      </c>
      <c r="E11" s="222"/>
      <c r="F11" s="223" t="str">
        <f>IF(ISERROR(FIND("Seleccionar", D11)), "%", "")</f>
        <v>%</v>
      </c>
      <c r="G11" s="289">
        <f>IF(D10="","",IFERROR(
    INDEX('[4]INFO-Consumo'!I:I,
           MATCH(D10, '[4]INFO-Consumo'!D:D, 0)
    ),
""))</f>
        <v>0.6</v>
      </c>
      <c r="H11" s="384"/>
      <c r="I11" s="384"/>
      <c r="J11" s="384"/>
      <c r="K11" s="384"/>
      <c r="L11" s="399"/>
    </row>
    <row r="12" spans="2:13" ht="30" customHeight="1">
      <c r="B12" s="392"/>
      <c r="C12" s="393"/>
      <c r="D12" s="232" t="s">
        <v>173</v>
      </c>
      <c r="E12" s="222"/>
      <c r="F12" s="223" t="str">
        <f>IF(D12="","","kW")</f>
        <v>kW</v>
      </c>
      <c r="G12" s="224">
        <f>IFERROR(INDEX('[4]INFO-Ponderacion'!$S$9:$S$13,
       MATCH(D12,'[4]INFO-Ponderacion'!$C$9:$C$13, 0)),"")</f>
        <v>2.4095999999999997</v>
      </c>
      <c r="H12" s="286"/>
      <c r="I12" s="287"/>
      <c r="J12" s="287"/>
      <c r="K12" s="288"/>
      <c r="L12" s="399"/>
    </row>
    <row r="13" spans="2:13" ht="30" customHeight="1">
      <c r="B13" s="392"/>
      <c r="C13" s="393"/>
      <c r="D13" s="221" t="str">
        <f>IF(D12="", "Seleccionar Area ↑", "Tarifa Electrica ")</f>
        <v xml:space="preserve">Tarifa Electrica </v>
      </c>
      <c r="E13" s="222"/>
      <c r="F13" s="223" t="str">
        <f>IF(D12="","","$/kWh")</f>
        <v>$/kWh</v>
      </c>
      <c r="G13" s="228">
        <f>IF(D12="","",'INFO-Direc'!$G$9)</f>
        <v>5.2613958629577628E-2</v>
      </c>
      <c r="H13" s="384"/>
      <c r="I13" s="384"/>
      <c r="J13" s="384"/>
      <c r="K13" s="384"/>
      <c r="L13" s="399"/>
    </row>
    <row r="14" spans="2:13" ht="30" customHeight="1">
      <c r="B14" s="392"/>
      <c r="C14" s="393"/>
      <c r="D14" s="229" t="str">
        <f>IF(D12="", "Seleccionar Area ↑", "Costo Electrico Fijo de " &amp; D12)</f>
        <v>Costo Electrico Fijo de Ensamble</v>
      </c>
      <c r="E14" s="222"/>
      <c r="F14" s="223" t="str">
        <f>IF(D12="","","$/h")</f>
        <v>$/h</v>
      </c>
      <c r="G14" s="290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0.14482096183241172</v>
      </c>
      <c r="H14" s="385"/>
      <c r="I14" s="386"/>
      <c r="J14" s="386"/>
      <c r="K14" s="387"/>
      <c r="L14" s="399"/>
    </row>
    <row r="15" spans="2:13" ht="30" customHeight="1">
      <c r="B15" s="389"/>
      <c r="C15" s="391"/>
      <c r="D15" s="229" t="s">
        <v>85</v>
      </c>
      <c r="E15" s="230"/>
      <c r="F15" s="223" t="str">
        <f>IF(D12="","","$/h")</f>
        <v>$/h</v>
      </c>
      <c r="G15" s="233"/>
      <c r="H15" s="385"/>
      <c r="I15" s="386"/>
      <c r="J15" s="386"/>
      <c r="K15" s="387"/>
      <c r="L15" s="398"/>
    </row>
    <row r="16" spans="2:13" ht="30" customHeight="1">
      <c r="B16" s="388" t="s">
        <v>90</v>
      </c>
      <c r="C16" s="394" t="s">
        <v>89</v>
      </c>
      <c r="D16" s="232"/>
      <c r="E16" s="222"/>
      <c r="F16" s="223" t="str">
        <f>IF(D16="","","$/L")</f>
        <v/>
      </c>
      <c r="G16" s="228" t="str">
        <f>IFERROR(INDEX('INFO-Direc'!$G$9:$G$25,
       MATCH(D16, 'INFO-Direc'!$D$9:$D$25, 0)),"")</f>
        <v/>
      </c>
      <c r="H16" s="384"/>
      <c r="I16" s="384"/>
      <c r="J16" s="384"/>
      <c r="K16" s="384"/>
      <c r="L16" s="397" t="str">
        <f>IF(AND(D16="", D18=""), "",
    IFERROR(
        IFERROR(G16*G17,0)
        + IFERROR(G18*G19,0)
        + IFERROR(G20,0),
    "")
)</f>
        <v/>
      </c>
    </row>
    <row r="17" spans="2:12" ht="30" customHeight="1">
      <c r="B17" s="392"/>
      <c r="C17" s="395"/>
      <c r="D17" s="221" t="str">
        <f>IF(D16="", "Seleccionar Lubricante ↑", "Consumo de " &amp; D16)</f>
        <v>Seleccionar Lubricante ↑</v>
      </c>
      <c r="E17" s="222"/>
      <c r="F17" s="223" t="str">
        <f>IF(ISERROR(FIND("Seleccionar", D17)), "L/h", "")</f>
        <v/>
      </c>
      <c r="G17" s="234"/>
      <c r="H17" s="384"/>
      <c r="I17" s="384"/>
      <c r="J17" s="384"/>
      <c r="K17" s="384"/>
      <c r="L17" s="399"/>
    </row>
    <row r="18" spans="2:12" ht="30" customHeight="1">
      <c r="B18" s="392"/>
      <c r="C18" s="395"/>
      <c r="D18" s="232"/>
      <c r="E18" s="222"/>
      <c r="F18" s="223" t="str">
        <f>IF(D18="","","$/L")</f>
        <v/>
      </c>
      <c r="G18" s="228" t="str">
        <f>IFERROR(INDEX('INFO-Direc'!$G$9:$G$25,
       MATCH(D18, 'INFO-Direc'!$D$9:$D$25, 0)),"")</f>
        <v/>
      </c>
      <c r="H18" s="385"/>
      <c r="I18" s="386"/>
      <c r="J18" s="386"/>
      <c r="K18" s="387"/>
      <c r="L18" s="399"/>
    </row>
    <row r="19" spans="2:12" ht="30" customHeight="1">
      <c r="B19" s="392"/>
      <c r="C19" s="395"/>
      <c r="D19" s="221" t="str">
        <f>IF(D18="", "Seleccionar Lubricante ↑", "Consumo de " &amp; D18)</f>
        <v>Seleccionar Lubricante ↑</v>
      </c>
      <c r="E19" s="222"/>
      <c r="F19" s="223" t="str">
        <f>IF(ISERROR(FIND("Seleccionar", D19)), "L/h", "")</f>
        <v/>
      </c>
      <c r="G19" s="234"/>
      <c r="H19" s="385"/>
      <c r="I19" s="386"/>
      <c r="J19" s="386"/>
      <c r="K19" s="387"/>
      <c r="L19" s="399"/>
    </row>
    <row r="20" spans="2:12" ht="30" customHeight="1">
      <c r="B20" s="389"/>
      <c r="C20" s="396"/>
      <c r="D20" s="221" t="s">
        <v>85</v>
      </c>
      <c r="E20" s="222"/>
      <c r="F20" s="223" t="str">
        <f>IF(OR(D16&lt;&gt;"", D18&lt;&gt;""), "$/h", "")</f>
        <v/>
      </c>
      <c r="G20" s="233"/>
      <c r="H20" s="384"/>
      <c r="I20" s="384"/>
      <c r="J20" s="384"/>
      <c r="K20" s="384"/>
      <c r="L20" s="398"/>
    </row>
    <row r="21" spans="2:12" ht="30" customHeight="1">
      <c r="B21" s="388" t="s">
        <v>92</v>
      </c>
      <c r="C21" s="390" t="s">
        <v>89</v>
      </c>
      <c r="D21" s="232" t="s">
        <v>138</v>
      </c>
      <c r="E21" s="222"/>
      <c r="F21" s="223" t="str">
        <f>IF(D21="","","kW")</f>
        <v>kW</v>
      </c>
      <c r="G21" s="228">
        <f>IFERROR(INDEX('INFO-Direc'!$G$9:$G$25,
       MATCH(D21, 'INFO-Direc'!$D$9:$D$25, 0)),"")</f>
        <v>56</v>
      </c>
      <c r="H21" s="385"/>
      <c r="I21" s="386"/>
      <c r="J21" s="386"/>
      <c r="K21" s="387"/>
      <c r="L21" s="397">
        <f>IFERROR(G21*G13*G22+G23+G24,"")</f>
        <v>1.8303340099538083</v>
      </c>
    </row>
    <row r="22" spans="2:12" ht="30" customHeight="1">
      <c r="B22" s="392"/>
      <c r="C22" s="393"/>
      <c r="D22" s="221" t="str">
        <f>IF(D21="", "Seleccionar Compresor ↑", "Carga Promedio de Uso de " &amp; D21)</f>
        <v>Carga Promedio de Uso de Compresor</v>
      </c>
      <c r="E22" s="222"/>
      <c r="F22" s="223" t="str">
        <f>IF(ISERROR(FIND("Seleccionar", D22)), "%", "")</f>
        <v>%</v>
      </c>
      <c r="G22" s="289">
        <f>IF(D21="","",IFERROR(
    INDEX('[4]INFO-Consumo'!I:I,
           MATCH(D21, '[4]INFO-Consumo'!D:D, 0)
    ),
""))</f>
        <v>0.6</v>
      </c>
      <c r="H22" s="384"/>
      <c r="I22" s="384"/>
      <c r="J22" s="384"/>
      <c r="K22" s="384"/>
      <c r="L22" s="399"/>
    </row>
    <row r="23" spans="2:12" ht="30" customHeight="1">
      <c r="B23" s="392"/>
      <c r="C23" s="393"/>
      <c r="D23" s="235" t="str">
        <f>IF(D21="", "Seleccionar Compresor ↑", "Costo de Repuestos " &amp; D21)</f>
        <v>Costo de Repuestos Compresor</v>
      </c>
      <c r="E23" s="222"/>
      <c r="F23" s="223" t="str">
        <f>IF(ISERROR(FIND("Seleccionar", D23)), "$/h", "")</f>
        <v>$/h</v>
      </c>
      <c r="G23" s="236">
        <f>IF(D21="","", SUM(IF(ISNUMBER(FIND("Compresor", 'INFO-Mant'!D9:D26)), 'INFO-Mant'!G9:G26 / 'INFO-Mant'!H9:H26, 0)))</f>
        <v>6.2505000000000005E-2</v>
      </c>
      <c r="H23" s="385"/>
      <c r="I23" s="386"/>
      <c r="J23" s="386"/>
      <c r="K23" s="387"/>
      <c r="L23" s="399"/>
    </row>
    <row r="24" spans="2:12" ht="30" customHeight="1">
      <c r="B24" s="389"/>
      <c r="C24" s="391"/>
      <c r="D24" s="221" t="s">
        <v>85</v>
      </c>
      <c r="E24" s="222"/>
      <c r="F24" s="223" t="str">
        <f>IF(D21="","","$/h")</f>
        <v>$/h</v>
      </c>
      <c r="G24" s="233"/>
      <c r="H24" s="384"/>
      <c r="I24" s="384"/>
      <c r="J24" s="384"/>
      <c r="K24" s="384"/>
      <c r="L24" s="398"/>
    </row>
    <row r="25" spans="2:12" ht="30" customHeight="1">
      <c r="B25" s="388" t="s">
        <v>94</v>
      </c>
      <c r="C25" s="390" t="s">
        <v>89</v>
      </c>
      <c r="D25" s="232"/>
      <c r="E25" s="222"/>
      <c r="F25" s="223" t="str">
        <f>IF(D25="","","$/L")</f>
        <v/>
      </c>
      <c r="G25" s="228" t="str">
        <f>IFERROR(INDEX('INFO-Direc'!$G$9:$G$25,
       MATCH(D25, 'INFO-Direc'!$D$9:$D$25, 0)),"")</f>
        <v/>
      </c>
      <c r="H25" s="384"/>
      <c r="I25" s="384"/>
      <c r="J25" s="384"/>
      <c r="K25" s="384"/>
      <c r="L25" s="381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92"/>
      <c r="C26" s="393"/>
      <c r="D26" s="221" t="str">
        <f>IF(D25="", "Seleccionar Refrigerante ↑", "Consumo de " &amp; D25)</f>
        <v>Seleccionar Refrigerante ↑</v>
      </c>
      <c r="E26" s="222"/>
      <c r="F26" s="223" t="str">
        <f>IF(ISERROR(FIND("Seleccionar", D26)), "L/Año", "")</f>
        <v/>
      </c>
      <c r="G26" s="238"/>
      <c r="H26" s="384"/>
      <c r="I26" s="384"/>
      <c r="J26" s="384"/>
      <c r="K26" s="384"/>
      <c r="L26" s="382"/>
    </row>
    <row r="27" spans="2:12" ht="30" customHeight="1">
      <c r="B27" s="392"/>
      <c r="C27" s="393"/>
      <c r="D27" s="232"/>
      <c r="E27" s="222"/>
      <c r="F27" s="223" t="str">
        <f>IF(D27="","","$/L")</f>
        <v/>
      </c>
      <c r="G27" s="228" t="str">
        <f>IFERROR(INDEX('INFO-Direc'!$G$9:$G$25,
       MATCH(D27, 'INFO-Direc'!$D$9:$D$25, 0)),"")</f>
        <v/>
      </c>
      <c r="H27" s="385"/>
      <c r="I27" s="386"/>
      <c r="J27" s="386"/>
      <c r="K27" s="387"/>
      <c r="L27" s="382"/>
    </row>
    <row r="28" spans="2:12" ht="30" customHeight="1">
      <c r="B28" s="392"/>
      <c r="C28" s="393"/>
      <c r="D28" s="221" t="str">
        <f>IF(D27="", "Seleccionar Refrigerante ↑", "Consumo de " &amp; D27)</f>
        <v>Seleccionar Refrigerante ↑</v>
      </c>
      <c r="E28" s="222"/>
      <c r="F28" s="223" t="str">
        <f>IF(ISERROR(FIND("Seleccionar", D28)), "L/Año", "")</f>
        <v/>
      </c>
      <c r="G28" s="239"/>
      <c r="H28" s="385"/>
      <c r="I28" s="386"/>
      <c r="J28" s="386"/>
      <c r="K28" s="387"/>
      <c r="L28" s="382"/>
    </row>
    <row r="29" spans="2:12" ht="30" customHeight="1">
      <c r="B29" s="389"/>
      <c r="C29" s="391"/>
      <c r="D29" s="221" t="s">
        <v>85</v>
      </c>
      <c r="E29" s="222"/>
      <c r="F29" s="223" t="str">
        <f>IF(OR(D25&lt;&gt;"", D27&lt;&gt;""), "$/h", "")</f>
        <v/>
      </c>
      <c r="G29" s="233"/>
      <c r="H29" s="384"/>
      <c r="I29" s="384"/>
      <c r="J29" s="384"/>
      <c r="K29" s="384"/>
      <c r="L29" s="383"/>
    </row>
    <row r="30" spans="2:12" s="152" customFormat="1" ht="30" customHeight="1">
      <c r="B30" s="388" t="s">
        <v>168</v>
      </c>
      <c r="C30" s="394" t="s">
        <v>89</v>
      </c>
      <c r="D30" s="232"/>
      <c r="E30" s="222"/>
      <c r="F30" s="223" t="str">
        <f>IF(D30="","","$/L")</f>
        <v/>
      </c>
      <c r="G30" s="228" t="str">
        <f>IFERROR(INDEX('INFO-Direc'!$G$9:$G$25,
       MATCH(D30, 'INFO-Direc'!$D$9:$D$25, 0)),"")</f>
        <v/>
      </c>
      <c r="H30" s="384"/>
      <c r="I30" s="384"/>
      <c r="J30" s="384"/>
      <c r="K30" s="384"/>
      <c r="L30" s="381" t="str">
        <f>IF(
    AND(D30="", D32=""),
    "",
    IFERROR(
        IFERROR(G30 / (INDEX('INFO-OEE'!$E$18:$CA$18,
                               MATCH(#REF!, 'INFO-OEE'!$E$9:$CA$9, 0)) * 12), 0)
        * G31
        +
        IFERROR(G32 / (INDEX('INFO-OEE'!$E$18:$CA$18,
                               MATCH(#REF!, 'INFO-OEE'!$E$9:$CA$9, 0)) * 12), 0)
        * G33
        +
        IFERROR(G34, 0),
    "")
)</f>
        <v/>
      </c>
    </row>
    <row r="31" spans="2:12" s="152" customFormat="1" ht="30" customHeight="1">
      <c r="B31" s="392"/>
      <c r="C31" s="395"/>
      <c r="D31" s="221" t="str">
        <f>IF(D30="", "Seleccionar Solvente ↑", "Consumo de " &amp; D30)</f>
        <v>Seleccionar Solvente ↑</v>
      </c>
      <c r="E31" s="222"/>
      <c r="F31" s="223" t="str">
        <f>IF(ISERROR(FIND("Seleccionar", D31)), "L/Año", "")</f>
        <v/>
      </c>
      <c r="G31" s="234"/>
      <c r="H31" s="384"/>
      <c r="I31" s="384"/>
      <c r="J31" s="384"/>
      <c r="K31" s="384"/>
      <c r="L31" s="382"/>
    </row>
    <row r="32" spans="2:12" s="152" customFormat="1" ht="30" customHeight="1">
      <c r="B32" s="392"/>
      <c r="C32" s="395"/>
      <c r="D32" s="232"/>
      <c r="E32" s="222"/>
      <c r="F32" s="223" t="str">
        <f>IF(D32="","","$/L")</f>
        <v/>
      </c>
      <c r="G32" s="228" t="str">
        <f>IFERROR(INDEX('INFO-Direc'!$G$9:$G$25,
       MATCH(D32, 'INFO-Direc'!$D$9:$D$25, 0)),"")</f>
        <v/>
      </c>
      <c r="H32" s="385"/>
      <c r="I32" s="386"/>
      <c r="J32" s="386"/>
      <c r="K32" s="387"/>
      <c r="L32" s="382"/>
    </row>
    <row r="33" spans="2:12" s="152" customFormat="1" ht="30" customHeight="1">
      <c r="B33" s="392"/>
      <c r="C33" s="395"/>
      <c r="D33" s="221" t="str">
        <f>IF(D32="", "Seleccionar Solvente ↑", "Consumo de " &amp; D32)</f>
        <v>Seleccionar Solvente ↑</v>
      </c>
      <c r="E33" s="222"/>
      <c r="F33" s="223" t="str">
        <f>IF(ISERROR(FIND("Seleccionar", D33)), "L/Año", "")</f>
        <v/>
      </c>
      <c r="G33" s="234"/>
      <c r="H33" s="385"/>
      <c r="I33" s="386"/>
      <c r="J33" s="386"/>
      <c r="K33" s="387"/>
      <c r="L33" s="382"/>
    </row>
    <row r="34" spans="2:12" s="152" customFormat="1" ht="30" customHeight="1">
      <c r="B34" s="389"/>
      <c r="C34" s="396"/>
      <c r="D34" s="221" t="s">
        <v>85</v>
      </c>
      <c r="E34" s="222"/>
      <c r="F34" s="223" t="str">
        <f>IF(OR(D30&lt;&gt;"", D32&lt;&gt;""), "$/h", "")</f>
        <v/>
      </c>
      <c r="G34" s="233"/>
      <c r="H34" s="384"/>
      <c r="I34" s="384"/>
      <c r="J34" s="384"/>
      <c r="K34" s="384"/>
      <c r="L34" s="383"/>
    </row>
    <row r="35" spans="2:12" ht="30" customHeight="1">
      <c r="B35" s="388" t="s">
        <v>100</v>
      </c>
      <c r="C35" s="390" t="s">
        <v>89</v>
      </c>
      <c r="D35" s="221" t="str">
        <f>IF(D12="", "Seleccionar Area ↑", "Costo de Operarios")</f>
        <v>Costo de Operarios</v>
      </c>
      <c r="E35" s="222"/>
      <c r="F35" s="223" t="str">
        <f>IF(D12="","","$/mes")</f>
        <v>$/mes</v>
      </c>
      <c r="G35" s="237">
        <f>IF(D12="","",IFERROR(
    INDEX('INFO-Personal'!$E$26:$CA$26,
           MATCH($C$3, 'INFO-Personal'!$E$9:$CA$9, 0)
    ),
""))</f>
        <v>0</v>
      </c>
      <c r="H35" s="384"/>
      <c r="I35" s="384"/>
      <c r="J35" s="384"/>
      <c r="K35" s="384"/>
      <c r="L35" s="397">
        <f>IFERROR(
    (G35 / INDEX('INFO-OEE'!$E$18:$CA$18,
                  MATCH($C$3, 'INFO-OEE'!$E$9:$CA$9, 0)))
    + G36,
"")</f>
        <v>0</v>
      </c>
    </row>
    <row r="36" spans="2:12" ht="30" customHeight="1">
      <c r="B36" s="389"/>
      <c r="C36" s="391"/>
      <c r="D36" s="221" t="s">
        <v>85</v>
      </c>
      <c r="E36" s="222"/>
      <c r="F36" s="223" t="str">
        <f>IF(D12="","","$/h")</f>
        <v>$/h</v>
      </c>
      <c r="G36" s="240"/>
      <c r="H36" s="384"/>
      <c r="I36" s="384"/>
      <c r="J36" s="384"/>
      <c r="K36" s="384"/>
      <c r="L36" s="398"/>
    </row>
    <row r="37" spans="2:12" ht="30" customHeight="1">
      <c r="B37" s="241"/>
      <c r="C37" s="242"/>
      <c r="D37" s="243"/>
      <c r="E37" s="242"/>
      <c r="F37" s="244"/>
      <c r="G37" s="245"/>
      <c r="H37" s="409"/>
      <c r="I37" s="409"/>
      <c r="J37" s="409"/>
      <c r="K37" s="409"/>
      <c r="L37" s="246"/>
    </row>
    <row r="38" spans="2:12" ht="30" customHeight="1">
      <c r="B38" s="388" t="s">
        <v>16</v>
      </c>
      <c r="C38" s="390" t="s">
        <v>69</v>
      </c>
      <c r="D38" s="221" t="str">
        <f>IF(D12="", "Seleccionar Area ↑", "Costo de Supervisores")</f>
        <v>Costo de Supervisores</v>
      </c>
      <c r="E38" s="222"/>
      <c r="F38" s="247" t="str">
        <f>IF(D12="","","$/mes")</f>
        <v>$/mes</v>
      </c>
      <c r="G38" s="237">
        <f>IF(D12="","",IFERROR(
    INDEX('INFO-Personal'!$E$27:$CA$27,
           MATCH($C$3, 'INFO-Personal'!$E$9:$CA$9, 0)
    ),
""))</f>
        <v>0</v>
      </c>
      <c r="H38" s="385"/>
      <c r="I38" s="386"/>
      <c r="J38" s="386"/>
      <c r="K38" s="387"/>
      <c r="L38" s="397">
        <f>IFERROR(
    (G38 / INDEX('INFO-OEE'!$E$18:$CA$18,
                  MATCH($C$3, 'INFO-OEE'!$E$9:$CA$9, 0)))
    + G39,
"")</f>
        <v>0</v>
      </c>
    </row>
    <row r="39" spans="2:12" ht="30" customHeight="1">
      <c r="B39" s="392"/>
      <c r="C39" s="393"/>
      <c r="D39" s="221" t="s">
        <v>85</v>
      </c>
      <c r="E39" s="222"/>
      <c r="F39" s="223" t="str">
        <f>IF(D12="","","$/h")</f>
        <v>$/h</v>
      </c>
      <c r="G39" s="240"/>
      <c r="H39" s="385"/>
      <c r="I39" s="386"/>
      <c r="J39" s="386"/>
      <c r="K39" s="387"/>
      <c r="L39" s="399"/>
    </row>
    <row r="40" spans="2:12" ht="30" customHeight="1">
      <c r="B40" s="388" t="s">
        <v>101</v>
      </c>
      <c r="C40" s="390" t="s">
        <v>69</v>
      </c>
      <c r="D40" s="221" t="str">
        <f>IF(D12="", "Seleccionar Area ↑", "Costo de Mant. Preventivo")</f>
        <v>Costo de Mant. Preventivo</v>
      </c>
      <c r="E40" s="222"/>
      <c r="F40" s="247" t="str">
        <f>IF(D12="","","$/mes")</f>
        <v>$/mes</v>
      </c>
      <c r="G40" s="237">
        <f>IF(D12="","",IFERROR(
    INDEX('INFO-Personal'!$E$28:$CA$28,
           MATCH($C$3, 'INFO-Personal'!$E$9:$CA$9, 0)
    ),
""))</f>
        <v>0</v>
      </c>
      <c r="H40" s="385"/>
      <c r="I40" s="386"/>
      <c r="J40" s="386"/>
      <c r="K40" s="387"/>
      <c r="L40" s="397">
        <f>IF(D12="","",SUM(
    IFERROR((G40+G41) / INDEX('INFO-OEE'!$E$18:$CA$18, MATCH(C3, 'INFO-OEE'!$E$9:$CA$9, 0)), 0),
    IFERROR(G42 / G43, 0),
    IFERROR(G44 / G45, 0),
    IFERROR(G46 / G47, 0),
    IFERROR(G48, 0)
))</f>
        <v>0.20547299995868396</v>
      </c>
    </row>
    <row r="41" spans="2:12" ht="30" customHeight="1">
      <c r="B41" s="392"/>
      <c r="C41" s="393"/>
      <c r="D41" s="221" t="str">
        <f>IF(D12="", "Seleccionar Area ↑", "Costo de Mant. Correctivo")</f>
        <v>Costo de Mant. Correctivo</v>
      </c>
      <c r="E41" s="222"/>
      <c r="F41" s="247" t="str">
        <f>IF(D12="","","$/mes")</f>
        <v>$/mes</v>
      </c>
      <c r="G41" s="237">
        <f>IF(D12="","",IFERROR(
    INDEX('INFO-Personal'!$E$29:$CA$29,
           MATCH($C$3, 'INFO-Personal'!$E$9:$CA$9, 0)
    ),
""))</f>
        <v>28.930598394182702</v>
      </c>
      <c r="H41" s="385"/>
      <c r="I41" s="386"/>
      <c r="J41" s="386"/>
      <c r="K41" s="387"/>
      <c r="L41" s="399"/>
    </row>
    <row r="42" spans="2:12" ht="30" customHeight="1">
      <c r="B42" s="392"/>
      <c r="C42" s="393"/>
      <c r="D42" s="232"/>
      <c r="E42" s="222"/>
      <c r="F42" s="223" t="str">
        <f>IF(D42="","","$/u")</f>
        <v/>
      </c>
      <c r="G42" s="237" t="str">
        <f>IFERROR(INDEX('INFO-Mant'!$G$9:$G$26,
       MATCH(D42, 'INFO-Mant'!$D$9:$D$26, 0)),"")</f>
        <v/>
      </c>
      <c r="H42" s="385"/>
      <c r="I42" s="386"/>
      <c r="J42" s="386"/>
      <c r="K42" s="387"/>
      <c r="L42" s="399"/>
    </row>
    <row r="43" spans="2:12" ht="30" customHeight="1">
      <c r="B43" s="392"/>
      <c r="C43" s="393"/>
      <c r="D43" s="221" t="str">
        <f>IF(D42="", "Seleccionar Repuesto ↑", "Vida Util de " &amp; D42)</f>
        <v>Seleccionar Repuesto ↑</v>
      </c>
      <c r="E43" s="222"/>
      <c r="F43" s="223" t="str">
        <f>IF(ISERROR(FIND("Seleccionar", D43)), "Horas/u", "")</f>
        <v/>
      </c>
      <c r="G43" s="238"/>
      <c r="H43" s="385"/>
      <c r="I43" s="386"/>
      <c r="J43" s="386"/>
      <c r="K43" s="387"/>
      <c r="L43" s="399"/>
    </row>
    <row r="44" spans="2:12" ht="30" customHeight="1">
      <c r="B44" s="392"/>
      <c r="C44" s="393"/>
      <c r="D44" s="232"/>
      <c r="E44" s="222"/>
      <c r="F44" s="223" t="str">
        <f>IF(D44="","","$/u")</f>
        <v/>
      </c>
      <c r="G44" s="237" t="str">
        <f>IFERROR(INDEX('INFO-Mant'!$G$9:$G$26,
       MATCH(D44, 'INFO-Mant'!$D$9:$D$26, 0)),"")</f>
        <v/>
      </c>
      <c r="H44" s="385"/>
      <c r="I44" s="386"/>
      <c r="J44" s="386"/>
      <c r="K44" s="387"/>
      <c r="L44" s="399"/>
    </row>
    <row r="45" spans="2:12" ht="30" customHeight="1">
      <c r="B45" s="392"/>
      <c r="C45" s="393"/>
      <c r="D45" s="221" t="str">
        <f>IF(D44="", "Seleccionar Repuesto ↑", "Vida Util de " &amp; D44)</f>
        <v>Seleccionar Repuesto ↑</v>
      </c>
      <c r="E45" s="222"/>
      <c r="F45" s="223" t="str">
        <f>IF(ISERROR(FIND("Seleccionar", D45)), "Horas/u", "")</f>
        <v/>
      </c>
      <c r="G45" s="238"/>
      <c r="H45" s="385"/>
      <c r="I45" s="386"/>
      <c r="J45" s="386"/>
      <c r="K45" s="387"/>
      <c r="L45" s="399"/>
    </row>
    <row r="46" spans="2:12" ht="30" customHeight="1">
      <c r="B46" s="392"/>
      <c r="C46" s="393"/>
      <c r="D46" s="232"/>
      <c r="E46" s="222"/>
      <c r="F46" s="223" t="str">
        <f>IF(D46="","","$/u")</f>
        <v/>
      </c>
      <c r="G46" s="237" t="str">
        <f>IFERROR(INDEX('INFO-Mant'!$G$9:$G$26,
       MATCH(D46, 'INFO-Mant'!$D$9:$D$26, 0)),"")</f>
        <v/>
      </c>
      <c r="H46" s="385"/>
      <c r="I46" s="386"/>
      <c r="J46" s="386"/>
      <c r="K46" s="387"/>
      <c r="L46" s="399"/>
    </row>
    <row r="47" spans="2:12" ht="30.75" customHeight="1">
      <c r="B47" s="392"/>
      <c r="C47" s="393"/>
      <c r="D47" s="221" t="str">
        <f>IF(D46="", "Seleccionar Repuesto ↑", "Vida Util de " &amp; D46)</f>
        <v>Seleccionar Repuesto ↑</v>
      </c>
      <c r="E47" s="222"/>
      <c r="F47" s="223" t="str">
        <f>IF(ISERROR(FIND("Seleccionar", D47)), "Horas/u", "")</f>
        <v/>
      </c>
      <c r="G47" s="240"/>
      <c r="H47" s="385"/>
      <c r="I47" s="386"/>
      <c r="J47" s="386"/>
      <c r="K47" s="387"/>
      <c r="L47" s="399"/>
    </row>
    <row r="48" spans="2:12" ht="30" customHeight="1">
      <c r="B48" s="389"/>
      <c r="C48" s="391"/>
      <c r="D48" s="221" t="s">
        <v>85</v>
      </c>
      <c r="E48" s="222"/>
      <c r="F48" s="223" t="str">
        <f>IF(D12="","","$/h")</f>
        <v>$/h</v>
      </c>
      <c r="G48" s="240"/>
      <c r="H48" s="385"/>
      <c r="I48" s="386"/>
      <c r="J48" s="386"/>
      <c r="K48" s="387"/>
      <c r="L48" s="398"/>
    </row>
    <row r="49" spans="2:12" ht="30" customHeight="1">
      <c r="B49" s="248"/>
      <c r="C49" s="249"/>
      <c r="D49" s="250"/>
      <c r="E49" s="249"/>
      <c r="F49" s="251"/>
      <c r="G49" s="252"/>
      <c r="H49" s="249"/>
      <c r="I49" s="249"/>
      <c r="J49" s="249"/>
      <c r="K49" s="249"/>
      <c r="L49" s="253"/>
    </row>
    <row r="50" spans="2:12" ht="30" customHeight="1">
      <c r="B50" s="388" t="s">
        <v>102</v>
      </c>
      <c r="C50" s="394" t="s">
        <v>103</v>
      </c>
      <c r="D50" s="232"/>
      <c r="E50" s="222"/>
      <c r="F50" s="223" t="str">
        <f>IF(D50="","","$/h")</f>
        <v/>
      </c>
      <c r="G50" s="23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410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410"/>
      <c r="J50" s="410"/>
      <c r="K50" s="410"/>
      <c r="L50" s="255" t="str">
        <f ca="1">G50</f>
        <v/>
      </c>
    </row>
    <row r="51" spans="2:12" ht="30" customHeight="1">
      <c r="B51" s="392"/>
      <c r="C51" s="395"/>
      <c r="D51" s="232"/>
      <c r="E51" s="254"/>
      <c r="F51" s="223" t="str">
        <f>IF(D51="","","$/h")</f>
        <v/>
      </c>
      <c r="G51" s="23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410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410"/>
      <c r="J51" s="410"/>
      <c r="K51" s="410"/>
      <c r="L51" s="255" t="str">
        <f ca="1">G51</f>
        <v/>
      </c>
    </row>
    <row r="52" spans="2:12" ht="30" customHeight="1">
      <c r="B52" s="392"/>
      <c r="C52" s="395"/>
      <c r="D52" s="232"/>
      <c r="E52" s="222"/>
      <c r="F52" s="223" t="str">
        <f t="shared" ref="F52:F54" si="0">IF(D52="","","$/h")</f>
        <v/>
      </c>
      <c r="G52" s="23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410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410"/>
      <c r="J52" s="410"/>
      <c r="K52" s="410"/>
      <c r="L52" s="255" t="str">
        <f ca="1">G52</f>
        <v/>
      </c>
    </row>
    <row r="53" spans="2:12" ht="30" customHeight="1">
      <c r="B53" s="392"/>
      <c r="C53" s="395"/>
      <c r="D53" s="232"/>
      <c r="E53" s="222"/>
      <c r="F53" s="223" t="str">
        <f t="shared" si="0"/>
        <v/>
      </c>
      <c r="G53" s="23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410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410"/>
      <c r="J53" s="410"/>
      <c r="K53" s="410"/>
      <c r="L53" s="255" t="str">
        <f ca="1">G53</f>
        <v/>
      </c>
    </row>
    <row r="54" spans="2:12" ht="30" customHeight="1">
      <c r="B54" s="389"/>
      <c r="C54" s="396"/>
      <c r="D54" s="232"/>
      <c r="E54" s="222"/>
      <c r="F54" s="223" t="str">
        <f t="shared" si="0"/>
        <v/>
      </c>
      <c r="G54" s="23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410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410"/>
      <c r="J54" s="410"/>
      <c r="K54" s="410"/>
      <c r="L54" s="255" t="str">
        <f ca="1">G54</f>
        <v/>
      </c>
    </row>
    <row r="55" spans="2:12" ht="30" customHeight="1">
      <c r="B55" s="146"/>
      <c r="C55" s="147"/>
      <c r="D55" s="411"/>
      <c r="E55" s="411"/>
      <c r="F55" s="30"/>
      <c r="G55" s="30"/>
      <c r="H55" s="149"/>
      <c r="I55" s="149"/>
      <c r="J55" s="149"/>
      <c r="K55" s="30"/>
      <c r="L55" s="145"/>
    </row>
    <row r="56" spans="2:12" ht="30" customHeight="1" thickBot="1">
      <c r="B56" s="153" t="s">
        <v>39</v>
      </c>
      <c r="C56" s="330"/>
      <c r="D56" s="330"/>
      <c r="E56" s="154" t="s">
        <v>23</v>
      </c>
      <c r="F56" s="368"/>
      <c r="G56" s="368"/>
      <c r="H56" s="141"/>
      <c r="I56" s="141"/>
      <c r="J56" s="141"/>
      <c r="K56" s="256"/>
      <c r="L56" s="257"/>
    </row>
    <row r="57" spans="2:12" ht="30" customHeight="1" thickBot="1">
      <c r="B57" s="155"/>
      <c r="C57" s="156"/>
      <c r="D57" s="156"/>
      <c r="E57" s="156"/>
      <c r="F57" s="378"/>
      <c r="G57" s="378"/>
      <c r="H57" s="157"/>
      <c r="I57" s="157"/>
      <c r="J57" s="157"/>
      <c r="K57" s="258" t="s">
        <v>106</v>
      </c>
      <c r="L57" s="259">
        <f ca="1">IFERROR(SUM(L19:L54),"")</f>
        <v>2.0358070099124923</v>
      </c>
    </row>
    <row r="59" spans="2:12" ht="30" customHeight="1">
      <c r="C59" s="117"/>
    </row>
  </sheetData>
  <sheetProtection algorithmName="SHA-512" hashValue="Mgu9aoZHPchbCFc+wC3JYtky3+l939os8bHadI6Skq5XIMAp/qWdNfIq7scjAZPYar4bgqtSb2o3wTxxneSj3Q==" saltValue="65LKNb/zhhyyaUd7XwG1/Q==" spinCount="100000" sheet="1" objects="1" scenarios="1" selectLockedCells="1"/>
  <mergeCells count="80">
    <mergeCell ref="D55:E55"/>
    <mergeCell ref="C56:D56"/>
    <mergeCell ref="F56:G56"/>
    <mergeCell ref="F57:G57"/>
    <mergeCell ref="B50:B54"/>
    <mergeCell ref="C50:C54"/>
    <mergeCell ref="H50:K50"/>
    <mergeCell ref="H51:K51"/>
    <mergeCell ref="H52:K52"/>
    <mergeCell ref="H53:K53"/>
    <mergeCell ref="H54:K54"/>
    <mergeCell ref="L38:L39"/>
    <mergeCell ref="B40:B48"/>
    <mergeCell ref="C40:C48"/>
    <mergeCell ref="L40:L48"/>
    <mergeCell ref="H44:K44"/>
    <mergeCell ref="H45:K45"/>
    <mergeCell ref="H46:K46"/>
    <mergeCell ref="H47:K47"/>
    <mergeCell ref="H48:K48"/>
    <mergeCell ref="H39:K39"/>
    <mergeCell ref="H40:K40"/>
    <mergeCell ref="H41:K41"/>
    <mergeCell ref="H42:K42"/>
    <mergeCell ref="H43:K43"/>
    <mergeCell ref="B38:B39"/>
    <mergeCell ref="C38:C39"/>
    <mergeCell ref="B10:B15"/>
    <mergeCell ref="C10:C15"/>
    <mergeCell ref="B16:B20"/>
    <mergeCell ref="C16:C20"/>
    <mergeCell ref="B21:B24"/>
    <mergeCell ref="C21:C24"/>
    <mergeCell ref="H38:K38"/>
    <mergeCell ref="H34:K34"/>
    <mergeCell ref="H35:K35"/>
    <mergeCell ref="H36:K36"/>
    <mergeCell ref="H37:K37"/>
    <mergeCell ref="B35:B36"/>
    <mergeCell ref="C35:C36"/>
    <mergeCell ref="L35:L36"/>
    <mergeCell ref="H30:K30"/>
    <mergeCell ref="H31:K31"/>
    <mergeCell ref="H32:K32"/>
    <mergeCell ref="H33:K33"/>
    <mergeCell ref="B30:B34"/>
    <mergeCell ref="C30:C34"/>
    <mergeCell ref="L30:L34"/>
    <mergeCell ref="B25:B29"/>
    <mergeCell ref="C25:C29"/>
    <mergeCell ref="L25:L29"/>
    <mergeCell ref="H23:K23"/>
    <mergeCell ref="H24:K24"/>
    <mergeCell ref="H25:K25"/>
    <mergeCell ref="L21:L24"/>
    <mergeCell ref="H29:K29"/>
    <mergeCell ref="H26:K26"/>
    <mergeCell ref="H27:K27"/>
    <mergeCell ref="H28:K28"/>
    <mergeCell ref="H20:K20"/>
    <mergeCell ref="H21:K21"/>
    <mergeCell ref="H22:K22"/>
    <mergeCell ref="L16:L20"/>
    <mergeCell ref="H16:K16"/>
    <mergeCell ref="H17:K17"/>
    <mergeCell ref="H18:K18"/>
    <mergeCell ref="H19:K19"/>
    <mergeCell ref="H13:K13"/>
    <mergeCell ref="H15:K15"/>
    <mergeCell ref="L10:L15"/>
    <mergeCell ref="H9:K9"/>
    <mergeCell ref="H10:K10"/>
    <mergeCell ref="H11:K11"/>
    <mergeCell ref="H14:K14"/>
    <mergeCell ref="C3:D3"/>
    <mergeCell ref="F3:G3"/>
    <mergeCell ref="C6:D6"/>
    <mergeCell ref="F6:G6"/>
    <mergeCell ref="C7:D7"/>
    <mergeCell ref="F7:G7"/>
  </mergeCells>
  <dataValidations count="9">
    <dataValidation type="list" allowBlank="1" showInputMessage="1" showErrorMessage="1" sqref="D51:D54">
      <formula1>Herramientas_Ensamble</formula1>
    </dataValidation>
    <dataValidation allowBlank="1" showInputMessage="1" showErrorMessage="1" prompt="Escriba comentarios en las celdas de la derecha." sqref="C59"/>
    <dataValidation type="list" allowBlank="1" showInputMessage="1" showErrorMessage="1" sqref="D10 D50">
      <formula1>Maquinaria_Ensamble</formula1>
    </dataValidation>
    <dataValidation type="list" allowBlank="1" showInputMessage="1" showErrorMessage="1" sqref="D42 D44 D46">
      <formula1>Repuestos_Ensamble</formula1>
    </dataValidation>
    <dataValidation type="list" allowBlank="1" showInputMessage="1" showErrorMessage="1" sqref="D30 D32">
      <formula1>Solvente_Ensamble</formula1>
    </dataValidation>
    <dataValidation type="list" allowBlank="1" showInputMessage="1" showErrorMessage="1" sqref="D25 D27">
      <formula1>Refrigerantes_Ensamble</formula1>
    </dataValidation>
    <dataValidation type="list" allowBlank="1" showInputMessage="1" showErrorMessage="1" sqref="D21">
      <formula1>AireComprimido_Ensamble</formula1>
    </dataValidation>
    <dataValidation type="list" allowBlank="1" showInputMessage="1" showErrorMessage="1" sqref="D16 D18">
      <formula1>Lubricantes_Ensamble</formula1>
    </dataValidation>
    <dataValidation type="list" allowBlank="1" showInputMessage="1" showErrorMessage="1" sqref="D12">
      <formula1>Areas_Ensamble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3" r:id="rId4" name="Button 3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54</xdr:row>
                    <xdr:rowOff>333375</xdr:rowOff>
                  </from>
                  <to>
                    <xdr:col>1</xdr:col>
                    <xdr:colOff>1762125</xdr:colOff>
                    <xdr:row>55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1">
    <tabColor rgb="FF0070C0"/>
    <pageSetUpPr autoPageBreaks="0" fitToPage="1"/>
  </sheetPr>
  <dimension ref="B1:M59"/>
  <sheetViews>
    <sheetView showGridLines="0" zoomScale="80" zoomScaleNormal="80" workbookViewId="0">
      <selection activeCell="C6" sqref="C6:D6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3.140625" style="80" bestFit="1" customWidth="1"/>
    <col min="5" max="5" width="20.5703125" style="80" customWidth="1"/>
    <col min="6" max="6" width="16.5703125" style="80" bestFit="1" customWidth="1"/>
    <col min="7" max="7" width="19.7109375" style="80" bestFit="1" customWidth="1"/>
    <col min="8" max="8" width="15.28515625" style="80" customWidth="1"/>
    <col min="9" max="10" width="17" style="80" customWidth="1"/>
    <col min="11" max="11" width="28.42578125" style="80" customWidth="1"/>
    <col min="12" max="12" width="20.7109375" style="80" customWidth="1"/>
    <col min="13" max="13" width="2.7109375" style="80" customWidth="1"/>
    <col min="14" max="16384" width="9.140625" style="80"/>
  </cols>
  <sheetData>
    <row r="1" spans="2:13" ht="12" customHeight="1" thickBot="1"/>
    <row r="2" spans="2:13" ht="30" customHeight="1">
      <c r="B2" s="126" t="s">
        <v>95</v>
      </c>
      <c r="C2" s="127"/>
      <c r="D2" s="128"/>
      <c r="E2" s="128"/>
      <c r="F2" s="128"/>
      <c r="G2" s="128"/>
      <c r="H2" s="128"/>
      <c r="I2" s="128"/>
      <c r="J2" s="128"/>
      <c r="K2" s="128"/>
      <c r="L2" s="129"/>
    </row>
    <row r="3" spans="2:13" ht="30" customHeight="1">
      <c r="B3" s="130" t="s">
        <v>96</v>
      </c>
      <c r="C3" s="406" t="s">
        <v>192</v>
      </c>
      <c r="D3" s="406"/>
      <c r="E3" s="125" t="s">
        <v>3</v>
      </c>
      <c r="F3" s="356">
        <f ca="1">TODAY()</f>
        <v>46020</v>
      </c>
      <c r="G3" s="356"/>
      <c r="H3" s="125" t="s">
        <v>61</v>
      </c>
      <c r="I3" s="162">
        <f>'INFO-Direc'!H3</f>
        <v>1445</v>
      </c>
      <c r="J3" s="131"/>
      <c r="K3" s="132"/>
      <c r="L3" s="133"/>
      <c r="M3" s="134"/>
    </row>
    <row r="4" spans="2:13" ht="30" customHeight="1">
      <c r="B4" s="130" t="s">
        <v>97</v>
      </c>
      <c r="C4" s="160">
        <f>IFERROR(INDEX('INFO-OEE'!E17:CL17,
       MATCH(C3, 'INFO-OEE'!E9:CL9, 0)),"")</f>
        <v>0.8</v>
      </c>
      <c r="D4" s="135"/>
      <c r="E4" s="136"/>
      <c r="F4" s="136"/>
      <c r="G4" s="136"/>
      <c r="H4" s="125"/>
      <c r="I4" s="137"/>
      <c r="J4" s="131"/>
      <c r="K4" s="132"/>
      <c r="L4" s="138"/>
      <c r="M4" s="89"/>
    </row>
    <row r="5" spans="2:13" ht="30" customHeight="1">
      <c r="B5" s="139" t="s">
        <v>4</v>
      </c>
      <c r="C5" s="140"/>
      <c r="D5" s="141"/>
      <c r="E5" s="141"/>
      <c r="F5" s="141"/>
      <c r="G5" s="141"/>
      <c r="H5" s="141"/>
      <c r="I5" s="141"/>
      <c r="J5" s="141"/>
      <c r="K5" s="141"/>
      <c r="L5" s="142"/>
    </row>
    <row r="6" spans="2:13" ht="30" customHeight="1">
      <c r="B6" s="143" t="s">
        <v>5</v>
      </c>
      <c r="C6" s="407" t="s">
        <v>205</v>
      </c>
      <c r="D6" s="407"/>
      <c r="E6" s="144" t="s">
        <v>6</v>
      </c>
      <c r="F6" s="407"/>
      <c r="G6" s="407"/>
      <c r="H6" s="141"/>
      <c r="I6" s="141"/>
      <c r="J6" s="141"/>
      <c r="K6" s="30"/>
      <c r="L6" s="145"/>
    </row>
    <row r="7" spans="2:13" ht="30" customHeight="1">
      <c r="B7" s="143" t="s">
        <v>7</v>
      </c>
      <c r="C7" s="407"/>
      <c r="D7" s="407"/>
      <c r="E7" s="144" t="s">
        <v>62</v>
      </c>
      <c r="F7" s="408"/>
      <c r="G7" s="408"/>
      <c r="H7" s="141"/>
      <c r="I7" s="141"/>
      <c r="J7" s="141"/>
      <c r="K7" s="30"/>
      <c r="L7" s="145"/>
    </row>
    <row r="8" spans="2:13" ht="30" customHeight="1" thickBot="1">
      <c r="B8" s="146"/>
      <c r="C8" s="147"/>
      <c r="D8" s="148"/>
      <c r="E8" s="148"/>
      <c r="F8" s="30"/>
      <c r="G8" s="30"/>
      <c r="H8" s="149"/>
      <c r="I8" s="149"/>
      <c r="J8" s="149"/>
      <c r="K8" s="30"/>
      <c r="L8" s="145"/>
    </row>
    <row r="9" spans="2:13" ht="30" customHeight="1" thickBot="1">
      <c r="B9" s="67" t="s">
        <v>9</v>
      </c>
      <c r="C9" s="190" t="s">
        <v>63</v>
      </c>
      <c r="D9" s="190" t="s">
        <v>64</v>
      </c>
      <c r="E9" s="190" t="s">
        <v>65</v>
      </c>
      <c r="F9" s="190" t="s">
        <v>66</v>
      </c>
      <c r="G9" s="190" t="s">
        <v>67</v>
      </c>
      <c r="H9" s="319" t="s">
        <v>68</v>
      </c>
      <c r="I9" s="319"/>
      <c r="J9" s="319"/>
      <c r="K9" s="319"/>
      <c r="L9" s="191" t="s">
        <v>98</v>
      </c>
    </row>
    <row r="10" spans="2:13" ht="30" customHeight="1">
      <c r="B10" s="404" t="s">
        <v>88</v>
      </c>
      <c r="C10" s="405" t="s">
        <v>89</v>
      </c>
      <c r="D10" s="231" t="s">
        <v>192</v>
      </c>
      <c r="E10" s="218"/>
      <c r="F10" s="219" t="str">
        <f>IF(D10="","","kW")</f>
        <v>kW</v>
      </c>
      <c r="G10" s="220">
        <f>IF(D10="","",IFERROR(INDEX('[4]INFO-Consumo'!$F$9:$F$95,
       MATCH(D10, '[4]INFO-Consumo'!$D$9:$D$95, 0)),""))</f>
        <v>1</v>
      </c>
      <c r="H10" s="401"/>
      <c r="I10" s="402"/>
      <c r="J10" s="402"/>
      <c r="K10" s="403"/>
      <c r="L10" s="400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0.30316793172398854</v>
      </c>
    </row>
    <row r="11" spans="2:13" ht="30" customHeight="1">
      <c r="B11" s="392"/>
      <c r="C11" s="393"/>
      <c r="D11" s="221" t="str">
        <f>IF(D10="", "Seleccionar Maquinaria ↑", "Carga Promedio de Uso de " &amp; D10)</f>
        <v>Carga Promedio de Uso de HERMANADORA AUT MS05 LHT90</v>
      </c>
      <c r="E11" s="222"/>
      <c r="F11" s="223" t="str">
        <f>IF(ISERROR(FIND("Seleccionar", D11)), "%", "")</f>
        <v>%</v>
      </c>
      <c r="G11" s="289">
        <f>IF(D10="","",IFERROR(
    INDEX('[4]INFO-Consumo'!I:I,
           MATCH(D10, '[4]INFO-Consumo'!D:D, 0)
    ),
""))</f>
        <v>0.6</v>
      </c>
      <c r="H11" s="384"/>
      <c r="I11" s="384"/>
      <c r="J11" s="384"/>
      <c r="K11" s="384"/>
      <c r="L11" s="399"/>
    </row>
    <row r="12" spans="2:13" ht="30" customHeight="1">
      <c r="B12" s="392"/>
      <c r="C12" s="393"/>
      <c r="D12" s="232" t="s">
        <v>173</v>
      </c>
      <c r="E12" s="222"/>
      <c r="F12" s="223" t="str">
        <f>IF(D12="","","kW")</f>
        <v>kW</v>
      </c>
      <c r="G12" s="224">
        <f>IFERROR(INDEX('[4]INFO-Ponderacion'!$S$9:$S$13,
       MATCH(D12,'[4]INFO-Ponderacion'!$C$9:$C$13, 0)),"")</f>
        <v>2.4095999999999997</v>
      </c>
      <c r="H12" s="286"/>
      <c r="I12" s="287"/>
      <c r="J12" s="287"/>
      <c r="K12" s="288"/>
      <c r="L12" s="399"/>
    </row>
    <row r="13" spans="2:13" ht="30" customHeight="1">
      <c r="B13" s="392"/>
      <c r="C13" s="393"/>
      <c r="D13" s="221" t="str">
        <f>IF(D12="", "Seleccionar Area ↑", "Tarifa Electrica ")</f>
        <v xml:space="preserve">Tarifa Electrica </v>
      </c>
      <c r="E13" s="222"/>
      <c r="F13" s="223" t="str">
        <f>IF(D12="","","$/kWh")</f>
        <v>$/kWh</v>
      </c>
      <c r="G13" s="228">
        <f>IF(D12="","",'INFO-Direc'!$G$9)</f>
        <v>5.2613958629577628E-2</v>
      </c>
      <c r="H13" s="384"/>
      <c r="I13" s="384"/>
      <c r="J13" s="384"/>
      <c r="K13" s="384"/>
      <c r="L13" s="399"/>
    </row>
    <row r="14" spans="2:13" ht="30" customHeight="1">
      <c r="B14" s="392"/>
      <c r="C14" s="393"/>
      <c r="D14" s="229" t="str">
        <f>IF(D12="", "Seleccionar Area ↑", "Costo Electrico Fijo de " &amp; D12)</f>
        <v>Costo Electrico Fijo de Ensamble</v>
      </c>
      <c r="E14" s="222"/>
      <c r="F14" s="223" t="str">
        <f>IF(D12="","","$/h")</f>
        <v>$/h</v>
      </c>
      <c r="G14" s="290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0.14482096183241172</v>
      </c>
      <c r="H14" s="385"/>
      <c r="I14" s="386"/>
      <c r="J14" s="386"/>
      <c r="K14" s="387"/>
      <c r="L14" s="399"/>
    </row>
    <row r="15" spans="2:13" ht="30" customHeight="1">
      <c r="B15" s="389"/>
      <c r="C15" s="391"/>
      <c r="D15" s="229" t="s">
        <v>85</v>
      </c>
      <c r="E15" s="230"/>
      <c r="F15" s="223" t="str">
        <f>IF(D12="","","$/h")</f>
        <v>$/h</v>
      </c>
      <c r="G15" s="233"/>
      <c r="H15" s="385"/>
      <c r="I15" s="386"/>
      <c r="J15" s="386"/>
      <c r="K15" s="387"/>
      <c r="L15" s="398"/>
    </row>
    <row r="16" spans="2:13" ht="30" customHeight="1">
      <c r="B16" s="388" t="s">
        <v>90</v>
      </c>
      <c r="C16" s="394" t="s">
        <v>89</v>
      </c>
      <c r="D16" s="232"/>
      <c r="E16" s="222"/>
      <c r="F16" s="223" t="str">
        <f>IF(D16="","","$/L")</f>
        <v/>
      </c>
      <c r="G16" s="228" t="str">
        <f>IFERROR(INDEX('INFO-Direc'!$G$9:$G$25,
       MATCH(D16, 'INFO-Direc'!$D$9:$D$25, 0)),"")</f>
        <v/>
      </c>
      <c r="H16" s="384"/>
      <c r="I16" s="384"/>
      <c r="J16" s="384"/>
      <c r="K16" s="384"/>
      <c r="L16" s="397" t="str">
        <f>IF(AND(D16="", D18=""), "",
    IFERROR(
        IFERROR(G16*G17,0)
        + IFERROR(G18*G19,0)
        + IFERROR(G20,0),
    "")
)</f>
        <v/>
      </c>
    </row>
    <row r="17" spans="2:12" ht="30" customHeight="1">
      <c r="B17" s="392"/>
      <c r="C17" s="395"/>
      <c r="D17" s="221" t="str">
        <f>IF(D16="", "Seleccionar Lubricante ↑", "Consumo de " &amp; D16)</f>
        <v>Seleccionar Lubricante ↑</v>
      </c>
      <c r="E17" s="222"/>
      <c r="F17" s="223" t="str">
        <f>IF(ISERROR(FIND("Seleccionar", D17)), "L/h", "")</f>
        <v/>
      </c>
      <c r="G17" s="234"/>
      <c r="H17" s="384"/>
      <c r="I17" s="384"/>
      <c r="J17" s="384"/>
      <c r="K17" s="384"/>
      <c r="L17" s="399"/>
    </row>
    <row r="18" spans="2:12" ht="30" customHeight="1">
      <c r="B18" s="392"/>
      <c r="C18" s="395"/>
      <c r="D18" s="232"/>
      <c r="E18" s="222"/>
      <c r="F18" s="223" t="str">
        <f>IF(D18="","","$/L")</f>
        <v/>
      </c>
      <c r="G18" s="228" t="str">
        <f>IFERROR(INDEX('INFO-Direc'!$G$9:$G$25,
       MATCH(D18, 'INFO-Direc'!$D$9:$D$25, 0)),"")</f>
        <v/>
      </c>
      <c r="H18" s="385"/>
      <c r="I18" s="386"/>
      <c r="J18" s="386"/>
      <c r="K18" s="387"/>
      <c r="L18" s="399"/>
    </row>
    <row r="19" spans="2:12" ht="30" customHeight="1">
      <c r="B19" s="392"/>
      <c r="C19" s="395"/>
      <c r="D19" s="221" t="str">
        <f>IF(D18="", "Seleccionar Lubricante ↑", "Consumo de " &amp; D18)</f>
        <v>Seleccionar Lubricante ↑</v>
      </c>
      <c r="E19" s="222"/>
      <c r="F19" s="223" t="str">
        <f>IF(ISERROR(FIND("Seleccionar", D19)), "L/h", "")</f>
        <v/>
      </c>
      <c r="G19" s="234"/>
      <c r="H19" s="385"/>
      <c r="I19" s="386"/>
      <c r="J19" s="386"/>
      <c r="K19" s="387"/>
      <c r="L19" s="399"/>
    </row>
    <row r="20" spans="2:12" ht="30" customHeight="1">
      <c r="B20" s="389"/>
      <c r="C20" s="396"/>
      <c r="D20" s="221" t="s">
        <v>85</v>
      </c>
      <c r="E20" s="222"/>
      <c r="F20" s="223" t="str">
        <f>IF(OR(D16&lt;&gt;"", D18&lt;&gt;""), "$/h", "")</f>
        <v/>
      </c>
      <c r="G20" s="233"/>
      <c r="H20" s="384"/>
      <c r="I20" s="384"/>
      <c r="J20" s="384"/>
      <c r="K20" s="384"/>
      <c r="L20" s="398"/>
    </row>
    <row r="21" spans="2:12" ht="30" customHeight="1">
      <c r="B21" s="388" t="s">
        <v>92</v>
      </c>
      <c r="C21" s="390" t="s">
        <v>89</v>
      </c>
      <c r="D21" s="232" t="s">
        <v>138</v>
      </c>
      <c r="E21" s="222"/>
      <c r="F21" s="223" t="str">
        <f>IF(D21="","","kW")</f>
        <v>kW</v>
      </c>
      <c r="G21" s="228">
        <f>IFERROR(INDEX('INFO-Direc'!$G$9:$G$25,
       MATCH(D21, 'INFO-Direc'!$D$9:$D$25, 0)),"")</f>
        <v>56</v>
      </c>
      <c r="H21" s="385"/>
      <c r="I21" s="386"/>
      <c r="J21" s="386"/>
      <c r="K21" s="387"/>
      <c r="L21" s="397">
        <f>IFERROR(G21*G13*G22+G23+G24,"")</f>
        <v>1.8303340099538083</v>
      </c>
    </row>
    <row r="22" spans="2:12" ht="30" customHeight="1">
      <c r="B22" s="392"/>
      <c r="C22" s="393"/>
      <c r="D22" s="221" t="str">
        <f>IF(D21="", "Seleccionar Compresor ↑", "Carga Promedio de Uso de " &amp; D21)</f>
        <v>Carga Promedio de Uso de Compresor</v>
      </c>
      <c r="E22" s="222"/>
      <c r="F22" s="223" t="str">
        <f>IF(ISERROR(FIND("Seleccionar", D22)), "%", "")</f>
        <v>%</v>
      </c>
      <c r="G22" s="289">
        <f>IF(D21="","",IFERROR(
    INDEX('[4]INFO-Consumo'!I:I,
           MATCH(D21, '[4]INFO-Consumo'!D:D, 0)
    ),
""))</f>
        <v>0.6</v>
      </c>
      <c r="H22" s="384"/>
      <c r="I22" s="384"/>
      <c r="J22" s="384"/>
      <c r="K22" s="384"/>
      <c r="L22" s="399"/>
    </row>
    <row r="23" spans="2:12" ht="30" customHeight="1">
      <c r="B23" s="392"/>
      <c r="C23" s="393"/>
      <c r="D23" s="235" t="str">
        <f>IF(D21="", "Seleccionar Compresor ↑", "Costo de Repuestos " &amp; D21)</f>
        <v>Costo de Repuestos Compresor</v>
      </c>
      <c r="E23" s="222"/>
      <c r="F23" s="223" t="str">
        <f>IF(ISERROR(FIND("Seleccionar", D23)), "$/h", "")</f>
        <v>$/h</v>
      </c>
      <c r="G23" s="236">
        <f>IF(D21="","", SUM(IF(ISNUMBER(FIND("Compresor", 'INFO-Mant'!D9:D26)), 'INFO-Mant'!G9:G26 / 'INFO-Mant'!H9:H26, 0)))</f>
        <v>6.2505000000000005E-2</v>
      </c>
      <c r="H23" s="385"/>
      <c r="I23" s="386"/>
      <c r="J23" s="386"/>
      <c r="K23" s="387"/>
      <c r="L23" s="399"/>
    </row>
    <row r="24" spans="2:12" ht="30" customHeight="1">
      <c r="B24" s="389"/>
      <c r="C24" s="391"/>
      <c r="D24" s="221" t="s">
        <v>85</v>
      </c>
      <c r="E24" s="222"/>
      <c r="F24" s="223" t="str">
        <f>IF(D21="","","$/h")</f>
        <v>$/h</v>
      </c>
      <c r="G24" s="233"/>
      <c r="H24" s="384"/>
      <c r="I24" s="384"/>
      <c r="J24" s="384"/>
      <c r="K24" s="384"/>
      <c r="L24" s="398"/>
    </row>
    <row r="25" spans="2:12" ht="30" customHeight="1">
      <c r="B25" s="388" t="s">
        <v>94</v>
      </c>
      <c r="C25" s="390" t="s">
        <v>89</v>
      </c>
      <c r="D25" s="232"/>
      <c r="E25" s="222"/>
      <c r="F25" s="223" t="str">
        <f>IF(D25="","","$/L")</f>
        <v/>
      </c>
      <c r="G25" s="228" t="str">
        <f>IFERROR(INDEX('INFO-Direc'!$G$9:$G$25,
       MATCH(D25, 'INFO-Direc'!$D$9:$D$25, 0)),"")</f>
        <v/>
      </c>
      <c r="H25" s="384"/>
      <c r="I25" s="384"/>
      <c r="J25" s="384"/>
      <c r="K25" s="384"/>
      <c r="L25" s="381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92"/>
      <c r="C26" s="393"/>
      <c r="D26" s="221" t="str">
        <f>IF(D25="", "Seleccionar Refrigerante ↑", "Consumo de " &amp; D25)</f>
        <v>Seleccionar Refrigerante ↑</v>
      </c>
      <c r="E26" s="222"/>
      <c r="F26" s="223" t="str">
        <f>IF(ISERROR(FIND("Seleccionar", D26)), "L/Año", "")</f>
        <v/>
      </c>
      <c r="G26" s="238"/>
      <c r="H26" s="384"/>
      <c r="I26" s="384"/>
      <c r="J26" s="384"/>
      <c r="K26" s="384"/>
      <c r="L26" s="382"/>
    </row>
    <row r="27" spans="2:12" ht="30" customHeight="1">
      <c r="B27" s="392"/>
      <c r="C27" s="393"/>
      <c r="D27" s="232"/>
      <c r="E27" s="222"/>
      <c r="F27" s="223" t="str">
        <f>IF(D27="","","$/L")</f>
        <v/>
      </c>
      <c r="G27" s="228" t="str">
        <f>IFERROR(INDEX('INFO-Direc'!$G$9:$G$25,
       MATCH(D27, 'INFO-Direc'!$D$9:$D$25, 0)),"")</f>
        <v/>
      </c>
      <c r="H27" s="385"/>
      <c r="I27" s="386"/>
      <c r="J27" s="386"/>
      <c r="K27" s="387"/>
      <c r="L27" s="382"/>
    </row>
    <row r="28" spans="2:12" ht="30" customHeight="1">
      <c r="B28" s="392"/>
      <c r="C28" s="393"/>
      <c r="D28" s="221" t="str">
        <f>IF(D27="", "Seleccionar Refrigerante ↑", "Consumo de " &amp; D27)</f>
        <v>Seleccionar Refrigerante ↑</v>
      </c>
      <c r="E28" s="222"/>
      <c r="F28" s="223" t="str">
        <f>IF(ISERROR(FIND("Seleccionar", D28)), "L/Año", "")</f>
        <v/>
      </c>
      <c r="G28" s="239"/>
      <c r="H28" s="385"/>
      <c r="I28" s="386"/>
      <c r="J28" s="386"/>
      <c r="K28" s="387"/>
      <c r="L28" s="382"/>
    </row>
    <row r="29" spans="2:12" ht="30" customHeight="1">
      <c r="B29" s="389"/>
      <c r="C29" s="391"/>
      <c r="D29" s="221" t="s">
        <v>85</v>
      </c>
      <c r="E29" s="222"/>
      <c r="F29" s="223" t="str">
        <f>IF(OR(D25&lt;&gt;"", D27&lt;&gt;""), "$/h", "")</f>
        <v/>
      </c>
      <c r="G29" s="233"/>
      <c r="H29" s="384"/>
      <c r="I29" s="384"/>
      <c r="J29" s="384"/>
      <c r="K29" s="384"/>
      <c r="L29" s="383"/>
    </row>
    <row r="30" spans="2:12" s="152" customFormat="1" ht="30" customHeight="1">
      <c r="B30" s="388" t="s">
        <v>168</v>
      </c>
      <c r="C30" s="394" t="s">
        <v>89</v>
      </c>
      <c r="D30" s="232"/>
      <c r="E30" s="222"/>
      <c r="F30" s="223" t="str">
        <f>IF(D30="","","$/L")</f>
        <v/>
      </c>
      <c r="G30" s="228" t="str">
        <f>IFERROR(INDEX('INFO-Direc'!$G$9:$G$25,
       MATCH(D30, 'INFO-Direc'!$D$9:$D$25, 0)),"")</f>
        <v/>
      </c>
      <c r="H30" s="384"/>
      <c r="I30" s="384"/>
      <c r="J30" s="384"/>
      <c r="K30" s="384"/>
      <c r="L30" s="381" t="str">
        <f>IF(
    AND(D30="", D32=""),
    "",
    IFERROR(
        IFERROR(G30 / (INDEX('INFO-OEE'!$E$18:$CA$18,
                               MATCH(#REF!, 'INFO-OEE'!$E$9:$CA$9, 0)) * 12), 0)
        * G31
        +
        IFERROR(G32 / (INDEX('INFO-OEE'!$E$18:$CA$18,
                               MATCH(#REF!, 'INFO-OEE'!$E$9:$CA$9, 0)) * 12), 0)
        * G33
        +
        IFERROR(G34, 0),
    "")
)</f>
        <v/>
      </c>
    </row>
    <row r="31" spans="2:12" s="152" customFormat="1" ht="30" customHeight="1">
      <c r="B31" s="392"/>
      <c r="C31" s="395"/>
      <c r="D31" s="221" t="str">
        <f>IF(D30="", "Seleccionar Solvente ↑", "Consumo de " &amp; D30)</f>
        <v>Seleccionar Solvente ↑</v>
      </c>
      <c r="E31" s="222"/>
      <c r="F31" s="223" t="str">
        <f>IF(ISERROR(FIND("Seleccionar", D31)), "L/Año", "")</f>
        <v/>
      </c>
      <c r="G31" s="234"/>
      <c r="H31" s="384"/>
      <c r="I31" s="384"/>
      <c r="J31" s="384"/>
      <c r="K31" s="384"/>
      <c r="L31" s="382"/>
    </row>
    <row r="32" spans="2:12" s="152" customFormat="1" ht="30" customHeight="1">
      <c r="B32" s="392"/>
      <c r="C32" s="395"/>
      <c r="D32" s="232"/>
      <c r="E32" s="222"/>
      <c r="F32" s="223" t="str">
        <f>IF(D32="","","$/L")</f>
        <v/>
      </c>
      <c r="G32" s="228" t="str">
        <f>IFERROR(INDEX('INFO-Direc'!$G$9:$G$25,
       MATCH(D32, 'INFO-Direc'!$D$9:$D$25, 0)),"")</f>
        <v/>
      </c>
      <c r="H32" s="385"/>
      <c r="I32" s="386"/>
      <c r="J32" s="386"/>
      <c r="K32" s="387"/>
      <c r="L32" s="382"/>
    </row>
    <row r="33" spans="2:12" s="152" customFormat="1" ht="30" customHeight="1">
      <c r="B33" s="392"/>
      <c r="C33" s="395"/>
      <c r="D33" s="221" t="str">
        <f>IF(D32="", "Seleccionar Solvente ↑", "Consumo de " &amp; D32)</f>
        <v>Seleccionar Solvente ↑</v>
      </c>
      <c r="E33" s="222"/>
      <c r="F33" s="223" t="str">
        <f>IF(ISERROR(FIND("Seleccionar", D33)), "L/Año", "")</f>
        <v/>
      </c>
      <c r="G33" s="234"/>
      <c r="H33" s="385"/>
      <c r="I33" s="386"/>
      <c r="J33" s="386"/>
      <c r="K33" s="387"/>
      <c r="L33" s="382"/>
    </row>
    <row r="34" spans="2:12" s="152" customFormat="1" ht="30" customHeight="1">
      <c r="B34" s="389"/>
      <c r="C34" s="396"/>
      <c r="D34" s="221" t="s">
        <v>85</v>
      </c>
      <c r="E34" s="222"/>
      <c r="F34" s="223" t="str">
        <f>IF(OR(D30&lt;&gt;"", D32&lt;&gt;""), "$/h", "")</f>
        <v/>
      </c>
      <c r="G34" s="233"/>
      <c r="H34" s="384"/>
      <c r="I34" s="384"/>
      <c r="J34" s="384"/>
      <c r="K34" s="384"/>
      <c r="L34" s="383"/>
    </row>
    <row r="35" spans="2:12" ht="30" customHeight="1">
      <c r="B35" s="388" t="s">
        <v>100</v>
      </c>
      <c r="C35" s="390" t="s">
        <v>89</v>
      </c>
      <c r="D35" s="221" t="str">
        <f>IF(D12="", "Seleccionar Area ↑", "Costo de Operarios")</f>
        <v>Costo de Operarios</v>
      </c>
      <c r="E35" s="222"/>
      <c r="F35" s="223" t="str">
        <f>IF(D12="","","$/mes")</f>
        <v>$/mes</v>
      </c>
      <c r="G35" s="237">
        <f>IF(D12="","",IFERROR(
    INDEX('INFO-Personal'!$E$26:$CA$26,
           MATCH($C$3, 'INFO-Personal'!$E$9:$CA$9, 0)
    ),
""))</f>
        <v>689.2079965156795</v>
      </c>
      <c r="H35" s="384"/>
      <c r="I35" s="384"/>
      <c r="J35" s="384"/>
      <c r="K35" s="384"/>
      <c r="L35" s="397">
        <f>IFERROR(
    (G35 / INDEX('INFO-OEE'!$E$18:$CA$18,
                  MATCH($C$3, 'INFO-OEE'!$E$9:$CA$9, 0)))
    + G36,
"")</f>
        <v>4.8949431570715873</v>
      </c>
    </row>
    <row r="36" spans="2:12" ht="30" customHeight="1">
      <c r="B36" s="389"/>
      <c r="C36" s="391"/>
      <c r="D36" s="221" t="s">
        <v>85</v>
      </c>
      <c r="E36" s="222"/>
      <c r="F36" s="223" t="str">
        <f>IF(D12="","","$/h")</f>
        <v>$/h</v>
      </c>
      <c r="G36" s="240"/>
      <c r="H36" s="384"/>
      <c r="I36" s="384"/>
      <c r="J36" s="384"/>
      <c r="K36" s="384"/>
      <c r="L36" s="398"/>
    </row>
    <row r="37" spans="2:12" ht="30" customHeight="1">
      <c r="B37" s="241"/>
      <c r="C37" s="242"/>
      <c r="D37" s="243"/>
      <c r="E37" s="242"/>
      <c r="F37" s="244"/>
      <c r="G37" s="245"/>
      <c r="H37" s="409"/>
      <c r="I37" s="409"/>
      <c r="J37" s="409"/>
      <c r="K37" s="409"/>
      <c r="L37" s="246"/>
    </row>
    <row r="38" spans="2:12" ht="30" customHeight="1">
      <c r="B38" s="388" t="s">
        <v>16</v>
      </c>
      <c r="C38" s="390" t="s">
        <v>69</v>
      </c>
      <c r="D38" s="221" t="str">
        <f>IF(D12="", "Seleccionar Area ↑", "Costo de Supervisores")</f>
        <v>Costo de Supervisores</v>
      </c>
      <c r="E38" s="222"/>
      <c r="F38" s="247" t="str">
        <f>IF(D12="","","$/mes")</f>
        <v>$/mes</v>
      </c>
      <c r="G38" s="237">
        <f>IF(D12="","",IFERROR(
    INDEX('INFO-Personal'!$E$27:$CA$27,
           MATCH($C$3, 'INFO-Personal'!$E$9:$CA$9, 0)
    ),
""))</f>
        <v>51.241933194853928</v>
      </c>
      <c r="H38" s="385"/>
      <c r="I38" s="386"/>
      <c r="J38" s="386"/>
      <c r="K38" s="387"/>
      <c r="L38" s="397">
        <f>IFERROR(
    (G38 / INDEX('INFO-OEE'!$E$18:$CA$18,
                  MATCH($C$3, 'INFO-OEE'!$E$9:$CA$9, 0)))
    + G39,
"")</f>
        <v>0.36393418462254207</v>
      </c>
    </row>
    <row r="39" spans="2:12" ht="30" customHeight="1">
      <c r="B39" s="392"/>
      <c r="C39" s="393"/>
      <c r="D39" s="221" t="s">
        <v>85</v>
      </c>
      <c r="E39" s="222"/>
      <c r="F39" s="223" t="str">
        <f>IF(D12="","","$/h")</f>
        <v>$/h</v>
      </c>
      <c r="G39" s="240"/>
      <c r="H39" s="385"/>
      <c r="I39" s="386"/>
      <c r="J39" s="386"/>
      <c r="K39" s="387"/>
      <c r="L39" s="399"/>
    </row>
    <row r="40" spans="2:12" ht="30" customHeight="1">
      <c r="B40" s="388" t="s">
        <v>101</v>
      </c>
      <c r="C40" s="390" t="s">
        <v>69</v>
      </c>
      <c r="D40" s="221" t="str">
        <f>IF(D12="", "Seleccionar Area ↑", "Costo de Mant. Preventivo")</f>
        <v>Costo de Mant. Preventivo</v>
      </c>
      <c r="E40" s="222"/>
      <c r="F40" s="247" t="str">
        <f>IF(D12="","","$/mes")</f>
        <v>$/mes</v>
      </c>
      <c r="G40" s="237">
        <f>IF(D12="","",IFERROR(
    INDEX('INFO-Personal'!$E$28:$CA$28,
           MATCH($C$3, 'INFO-Personal'!$E$9:$CA$9, 0)
    ),
""))</f>
        <v>3.4161288796569287</v>
      </c>
      <c r="H40" s="385"/>
      <c r="I40" s="386"/>
      <c r="J40" s="386"/>
      <c r="K40" s="387"/>
      <c r="L40" s="397">
        <f>IF(D12="","",SUM(
    IFERROR((G40+G41) / INDEX('INFO-OEE'!$E$18:$CA$18, MATCH(C3, 'INFO-OEE'!$E$9:$CA$9, 0)), 0),
    IFERROR(G42 / G43, 0),
    IFERROR(G44 / G45, 0),
    IFERROR(G46 / G47, 0),
    IFERROR(G48, 0)
))</f>
        <v>0.27449741271484929</v>
      </c>
    </row>
    <row r="41" spans="2:12" ht="30" customHeight="1">
      <c r="B41" s="392"/>
      <c r="C41" s="393"/>
      <c r="D41" s="221" t="str">
        <f>IF(D12="", "Seleccionar Area ↑", "Costo de Mant. Correctivo")</f>
        <v>Costo de Mant. Correctivo</v>
      </c>
      <c r="E41" s="222"/>
      <c r="F41" s="247" t="str">
        <f>IF(D12="","","$/mes")</f>
        <v>$/mes</v>
      </c>
      <c r="G41" s="237">
        <f>IF(D12="","",IFERROR(
    INDEX('INFO-Personal'!$E$29:$CA$29,
           MATCH($C$3, 'INFO-Personal'!$E$9:$CA$9, 0)
    ),
""))</f>
        <v>35.233106830593854</v>
      </c>
      <c r="H41" s="385"/>
      <c r="I41" s="386"/>
      <c r="J41" s="386"/>
      <c r="K41" s="387"/>
      <c r="L41" s="399"/>
    </row>
    <row r="42" spans="2:12" ht="30" customHeight="1">
      <c r="B42" s="392"/>
      <c r="C42" s="393"/>
      <c r="D42" s="232"/>
      <c r="E42" s="222"/>
      <c r="F42" s="223" t="str">
        <f>IF(D42="","","$/u")</f>
        <v/>
      </c>
      <c r="G42" s="237" t="str">
        <f>IFERROR(INDEX('INFO-Mant'!$G$9:$G$26,
       MATCH(D42, 'INFO-Mant'!$D$9:$D$26, 0)),"")</f>
        <v/>
      </c>
      <c r="H42" s="385"/>
      <c r="I42" s="386"/>
      <c r="J42" s="386"/>
      <c r="K42" s="387"/>
      <c r="L42" s="399"/>
    </row>
    <row r="43" spans="2:12" ht="30" customHeight="1">
      <c r="B43" s="392"/>
      <c r="C43" s="393"/>
      <c r="D43" s="221" t="str">
        <f>IF(D42="", "Seleccionar Repuesto ↑", "Vida Util de " &amp; D42)</f>
        <v>Seleccionar Repuesto ↑</v>
      </c>
      <c r="E43" s="222"/>
      <c r="F43" s="223" t="str">
        <f>IF(ISERROR(FIND("Seleccionar", D43)), "Horas/u", "")</f>
        <v/>
      </c>
      <c r="G43" s="238"/>
      <c r="H43" s="385"/>
      <c r="I43" s="386"/>
      <c r="J43" s="386"/>
      <c r="K43" s="387"/>
      <c r="L43" s="399"/>
    </row>
    <row r="44" spans="2:12" ht="30" customHeight="1">
      <c r="B44" s="392"/>
      <c r="C44" s="393"/>
      <c r="D44" s="232"/>
      <c r="E44" s="222"/>
      <c r="F44" s="223" t="str">
        <f>IF(D44="","","$/u")</f>
        <v/>
      </c>
      <c r="G44" s="237" t="str">
        <f>IFERROR(INDEX('INFO-Mant'!$G$9:$G$26,
       MATCH(D44, 'INFO-Mant'!$D$9:$D$26, 0)),"")</f>
        <v/>
      </c>
      <c r="H44" s="385"/>
      <c r="I44" s="386"/>
      <c r="J44" s="386"/>
      <c r="K44" s="387"/>
      <c r="L44" s="399"/>
    </row>
    <row r="45" spans="2:12" ht="30" customHeight="1">
      <c r="B45" s="392"/>
      <c r="C45" s="393"/>
      <c r="D45" s="221" t="str">
        <f>IF(D44="", "Seleccionar Repuesto ↑", "Vida Util de " &amp; D44)</f>
        <v>Seleccionar Repuesto ↑</v>
      </c>
      <c r="E45" s="222"/>
      <c r="F45" s="223" t="str">
        <f>IF(ISERROR(FIND("Seleccionar", D45)), "Horas/u", "")</f>
        <v/>
      </c>
      <c r="G45" s="238"/>
      <c r="H45" s="385"/>
      <c r="I45" s="386"/>
      <c r="J45" s="386"/>
      <c r="K45" s="387"/>
      <c r="L45" s="399"/>
    </row>
    <row r="46" spans="2:12" ht="30" customHeight="1">
      <c r="B46" s="392"/>
      <c r="C46" s="393"/>
      <c r="D46" s="232"/>
      <c r="E46" s="222"/>
      <c r="F46" s="223" t="str">
        <f>IF(D46="","","$/u")</f>
        <v/>
      </c>
      <c r="G46" s="237" t="str">
        <f>IFERROR(INDEX('INFO-Mant'!$G$9:$G$26,
       MATCH(D46, 'INFO-Mant'!$D$9:$D$26, 0)),"")</f>
        <v/>
      </c>
      <c r="H46" s="385"/>
      <c r="I46" s="386"/>
      <c r="J46" s="386"/>
      <c r="K46" s="387"/>
      <c r="L46" s="399"/>
    </row>
    <row r="47" spans="2:12" ht="32.25" customHeight="1">
      <c r="B47" s="392"/>
      <c r="C47" s="393"/>
      <c r="D47" s="221" t="str">
        <f>IF(D46="", "Seleccionar Repuesto ↑", "Vida Util de " &amp; D46)</f>
        <v>Seleccionar Repuesto ↑</v>
      </c>
      <c r="E47" s="222"/>
      <c r="F47" s="223" t="str">
        <f>IF(ISERROR(FIND("Seleccionar", D47)), "Horas/u", "")</f>
        <v/>
      </c>
      <c r="G47" s="240"/>
      <c r="H47" s="385"/>
      <c r="I47" s="386"/>
      <c r="J47" s="386"/>
      <c r="K47" s="387"/>
      <c r="L47" s="399"/>
    </row>
    <row r="48" spans="2:12" ht="30" customHeight="1">
      <c r="B48" s="389"/>
      <c r="C48" s="391"/>
      <c r="D48" s="221" t="s">
        <v>85</v>
      </c>
      <c r="E48" s="222"/>
      <c r="F48" s="223" t="str">
        <f>IF(D12="","","$/h")</f>
        <v>$/h</v>
      </c>
      <c r="G48" s="240"/>
      <c r="H48" s="385"/>
      <c r="I48" s="386"/>
      <c r="J48" s="386"/>
      <c r="K48" s="387"/>
      <c r="L48" s="398"/>
    </row>
    <row r="49" spans="2:12" ht="30" customHeight="1">
      <c r="B49" s="248"/>
      <c r="C49" s="249"/>
      <c r="D49" s="250"/>
      <c r="E49" s="249"/>
      <c r="F49" s="251"/>
      <c r="G49" s="252"/>
      <c r="H49" s="249"/>
      <c r="I49" s="249"/>
      <c r="J49" s="249"/>
      <c r="K49" s="249"/>
      <c r="L49" s="253"/>
    </row>
    <row r="50" spans="2:12" ht="30" customHeight="1">
      <c r="B50" s="388" t="s">
        <v>102</v>
      </c>
      <c r="C50" s="394" t="s">
        <v>103</v>
      </c>
      <c r="D50" s="232"/>
      <c r="E50" s="222"/>
      <c r="F50" s="223" t="str">
        <f>IF(D50="","","$/h")</f>
        <v/>
      </c>
      <c r="G50" s="23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410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410"/>
      <c r="J50" s="410"/>
      <c r="K50" s="410"/>
      <c r="L50" s="255" t="str">
        <f ca="1">G50</f>
        <v/>
      </c>
    </row>
    <row r="51" spans="2:12" ht="30" customHeight="1">
      <c r="B51" s="392"/>
      <c r="C51" s="395"/>
      <c r="D51" s="232"/>
      <c r="E51" s="254"/>
      <c r="F51" s="223" t="str">
        <f>IF(D51="","","$/h")</f>
        <v/>
      </c>
      <c r="G51" s="23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410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410"/>
      <c r="J51" s="410"/>
      <c r="K51" s="410"/>
      <c r="L51" s="255" t="str">
        <f ca="1">G51</f>
        <v/>
      </c>
    </row>
    <row r="52" spans="2:12" ht="30" customHeight="1">
      <c r="B52" s="392"/>
      <c r="C52" s="395"/>
      <c r="D52" s="232"/>
      <c r="E52" s="222"/>
      <c r="F52" s="223" t="str">
        <f t="shared" ref="F52:F54" si="0">IF(D52="","","$/h")</f>
        <v/>
      </c>
      <c r="G52" s="23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410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410"/>
      <c r="J52" s="410"/>
      <c r="K52" s="410"/>
      <c r="L52" s="255" t="str">
        <f ca="1">G52</f>
        <v/>
      </c>
    </row>
    <row r="53" spans="2:12" ht="30" customHeight="1">
      <c r="B53" s="392"/>
      <c r="C53" s="395"/>
      <c r="D53" s="232"/>
      <c r="E53" s="222"/>
      <c r="F53" s="223" t="str">
        <f t="shared" si="0"/>
        <v/>
      </c>
      <c r="G53" s="23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410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410"/>
      <c r="J53" s="410"/>
      <c r="K53" s="410"/>
      <c r="L53" s="255" t="str">
        <f ca="1">G53</f>
        <v/>
      </c>
    </row>
    <row r="54" spans="2:12" ht="30" customHeight="1">
      <c r="B54" s="389"/>
      <c r="C54" s="396"/>
      <c r="D54" s="232"/>
      <c r="E54" s="222"/>
      <c r="F54" s="223" t="str">
        <f t="shared" si="0"/>
        <v/>
      </c>
      <c r="G54" s="23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410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410"/>
      <c r="J54" s="410"/>
      <c r="K54" s="410"/>
      <c r="L54" s="255" t="str">
        <f ca="1">G54</f>
        <v/>
      </c>
    </row>
    <row r="55" spans="2:12" ht="30" customHeight="1">
      <c r="B55" s="146"/>
      <c r="C55" s="147"/>
      <c r="D55" s="411"/>
      <c r="E55" s="411"/>
      <c r="F55" s="30"/>
      <c r="G55" s="30"/>
      <c r="H55" s="149"/>
      <c r="I55" s="149"/>
      <c r="J55" s="149"/>
      <c r="K55" s="30"/>
      <c r="L55" s="145"/>
    </row>
    <row r="56" spans="2:12" ht="30" customHeight="1" thickBot="1">
      <c r="B56" s="153" t="s">
        <v>39</v>
      </c>
      <c r="C56" s="330"/>
      <c r="D56" s="330"/>
      <c r="E56" s="154" t="s">
        <v>23</v>
      </c>
      <c r="F56" s="368"/>
      <c r="G56" s="368"/>
      <c r="H56" s="141"/>
      <c r="I56" s="141"/>
      <c r="J56" s="141"/>
      <c r="K56" s="256"/>
      <c r="L56" s="257"/>
    </row>
    <row r="57" spans="2:12" ht="30" customHeight="1" thickBot="1">
      <c r="B57" s="155"/>
      <c r="C57" s="156"/>
      <c r="D57" s="156"/>
      <c r="E57" s="156"/>
      <c r="F57" s="378"/>
      <c r="G57" s="378"/>
      <c r="H57" s="157"/>
      <c r="I57" s="157"/>
      <c r="J57" s="157"/>
      <c r="K57" s="258" t="s">
        <v>106</v>
      </c>
      <c r="L57" s="259">
        <f ca="1">IFERROR(SUM(L19:L54),"")</f>
        <v>7.3637087643627863</v>
      </c>
    </row>
    <row r="59" spans="2:12" ht="30" customHeight="1">
      <c r="C59" s="117"/>
    </row>
  </sheetData>
  <sheetProtection algorithmName="SHA-512" hashValue="xHk4LSnxsRHx84Cv9XLaSmKAjRUNMoRY5C7h5+wsN3VoROSS7bwmivqatZajp6cjII5CyVN15MEdbuoRzpRyKA==" saltValue="mSPreT+Xt/ArhXNuLzwqPA==" spinCount="100000" sheet="1" objects="1" scenarios="1" selectLockedCells="1"/>
  <mergeCells count="80">
    <mergeCell ref="D55:E55"/>
    <mergeCell ref="C56:D56"/>
    <mergeCell ref="F56:G56"/>
    <mergeCell ref="F57:G57"/>
    <mergeCell ref="B50:B54"/>
    <mergeCell ref="C50:C54"/>
    <mergeCell ref="H50:K50"/>
    <mergeCell ref="H51:K51"/>
    <mergeCell ref="H52:K52"/>
    <mergeCell ref="H53:K53"/>
    <mergeCell ref="H54:K54"/>
    <mergeCell ref="L38:L39"/>
    <mergeCell ref="B40:B48"/>
    <mergeCell ref="C40:C48"/>
    <mergeCell ref="L40:L48"/>
    <mergeCell ref="H44:K44"/>
    <mergeCell ref="H45:K45"/>
    <mergeCell ref="H46:K46"/>
    <mergeCell ref="H47:K47"/>
    <mergeCell ref="H48:K48"/>
    <mergeCell ref="H39:K39"/>
    <mergeCell ref="H40:K40"/>
    <mergeCell ref="H41:K41"/>
    <mergeCell ref="H42:K42"/>
    <mergeCell ref="H43:K43"/>
    <mergeCell ref="B38:B39"/>
    <mergeCell ref="C38:C39"/>
    <mergeCell ref="B10:B15"/>
    <mergeCell ref="C10:C15"/>
    <mergeCell ref="B16:B20"/>
    <mergeCell ref="C16:C20"/>
    <mergeCell ref="B21:B24"/>
    <mergeCell ref="C21:C24"/>
    <mergeCell ref="H38:K38"/>
    <mergeCell ref="H34:K34"/>
    <mergeCell ref="H35:K35"/>
    <mergeCell ref="H36:K36"/>
    <mergeCell ref="H37:K37"/>
    <mergeCell ref="B35:B36"/>
    <mergeCell ref="C35:C36"/>
    <mergeCell ref="L35:L36"/>
    <mergeCell ref="H30:K30"/>
    <mergeCell ref="H31:K31"/>
    <mergeCell ref="H32:K32"/>
    <mergeCell ref="H33:K33"/>
    <mergeCell ref="B30:B34"/>
    <mergeCell ref="C30:C34"/>
    <mergeCell ref="L30:L34"/>
    <mergeCell ref="B25:B29"/>
    <mergeCell ref="C25:C29"/>
    <mergeCell ref="L25:L29"/>
    <mergeCell ref="H23:K23"/>
    <mergeCell ref="H24:K24"/>
    <mergeCell ref="H25:K25"/>
    <mergeCell ref="L21:L24"/>
    <mergeCell ref="H29:K29"/>
    <mergeCell ref="H26:K26"/>
    <mergeCell ref="H27:K27"/>
    <mergeCell ref="H28:K28"/>
    <mergeCell ref="H20:K20"/>
    <mergeCell ref="H21:K21"/>
    <mergeCell ref="H22:K22"/>
    <mergeCell ref="L16:L20"/>
    <mergeCell ref="H16:K16"/>
    <mergeCell ref="H17:K17"/>
    <mergeCell ref="H18:K18"/>
    <mergeCell ref="H19:K19"/>
    <mergeCell ref="H13:K13"/>
    <mergeCell ref="H15:K15"/>
    <mergeCell ref="L10:L15"/>
    <mergeCell ref="H9:K9"/>
    <mergeCell ref="H10:K10"/>
    <mergeCell ref="H11:K11"/>
    <mergeCell ref="H14:K14"/>
    <mergeCell ref="C3:D3"/>
    <mergeCell ref="F3:G3"/>
    <mergeCell ref="C6:D6"/>
    <mergeCell ref="F6:G6"/>
    <mergeCell ref="C7:D7"/>
    <mergeCell ref="F7:G7"/>
  </mergeCells>
  <dataValidations count="9">
    <dataValidation allowBlank="1" showInputMessage="1" showErrorMessage="1" prompt="Escriba comentarios en las celdas de la derecha." sqref="C59"/>
    <dataValidation type="list" allowBlank="1" showInputMessage="1" showErrorMessage="1" sqref="D51:D54">
      <formula1>Herramientas_Ensamble</formula1>
    </dataValidation>
    <dataValidation type="list" allowBlank="1" showInputMessage="1" showErrorMessage="1" sqref="D12">
      <formula1>Areas_Ensamble</formula1>
    </dataValidation>
    <dataValidation type="list" allowBlank="1" showInputMessage="1" showErrorMessage="1" sqref="D16 D18">
      <formula1>Lubricantes_Ensamble</formula1>
    </dataValidation>
    <dataValidation type="list" allowBlank="1" showInputMessage="1" showErrorMessage="1" sqref="D21">
      <formula1>AireComprimido_Ensamble</formula1>
    </dataValidation>
    <dataValidation type="list" allowBlank="1" showInputMessage="1" showErrorMessage="1" sqref="D25 D27">
      <formula1>Refrigerantes_Ensamble</formula1>
    </dataValidation>
    <dataValidation type="list" allowBlank="1" showInputMessage="1" showErrorMessage="1" sqref="D30 D32">
      <formula1>Solvente_Ensamble</formula1>
    </dataValidation>
    <dataValidation type="list" allowBlank="1" showInputMessage="1" showErrorMessage="1" sqref="D42 D44 D46">
      <formula1>Repuestos_Ensamble</formula1>
    </dataValidation>
    <dataValidation type="list" allowBlank="1" showInputMessage="1" showErrorMessage="1" sqref="D10 D50">
      <formula1>Maquinaria_Ensamble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54</xdr:row>
                    <xdr:rowOff>333375</xdr:rowOff>
                  </from>
                  <to>
                    <xdr:col>1</xdr:col>
                    <xdr:colOff>1762125</xdr:colOff>
                    <xdr:row>55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2">
    <tabColor rgb="FF0070C0"/>
    <pageSetUpPr autoPageBreaks="0" fitToPage="1"/>
  </sheetPr>
  <dimension ref="B1:M59"/>
  <sheetViews>
    <sheetView showGridLines="0" zoomScale="80" zoomScaleNormal="80" workbookViewId="0">
      <selection activeCell="C6" sqref="C6:D6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3.140625" style="80" bestFit="1" customWidth="1"/>
    <col min="5" max="5" width="20.5703125" style="80" customWidth="1"/>
    <col min="6" max="6" width="16.5703125" style="80" bestFit="1" customWidth="1"/>
    <col min="7" max="7" width="19.7109375" style="80" bestFit="1" customWidth="1"/>
    <col min="8" max="8" width="15.28515625" style="80" customWidth="1"/>
    <col min="9" max="10" width="17" style="80" customWidth="1"/>
    <col min="11" max="11" width="28.42578125" style="80" customWidth="1"/>
    <col min="12" max="12" width="20.7109375" style="80" customWidth="1"/>
    <col min="13" max="13" width="2.7109375" style="80" customWidth="1"/>
    <col min="14" max="16384" width="9.140625" style="80"/>
  </cols>
  <sheetData>
    <row r="1" spans="2:13" ht="12" customHeight="1" thickBot="1"/>
    <row r="2" spans="2:13" ht="30" customHeight="1">
      <c r="B2" s="126" t="s">
        <v>95</v>
      </c>
      <c r="C2" s="127"/>
      <c r="D2" s="128"/>
      <c r="E2" s="128"/>
      <c r="F2" s="128"/>
      <c r="G2" s="128"/>
      <c r="H2" s="128"/>
      <c r="I2" s="128"/>
      <c r="J2" s="128"/>
      <c r="K2" s="128"/>
      <c r="L2" s="129"/>
    </row>
    <row r="3" spans="2:13" ht="30" customHeight="1">
      <c r="B3" s="130" t="s">
        <v>96</v>
      </c>
      <c r="C3" s="406" t="s">
        <v>193</v>
      </c>
      <c r="D3" s="406"/>
      <c r="E3" s="125" t="s">
        <v>3</v>
      </c>
      <c r="F3" s="356">
        <f ca="1">TODAY()</f>
        <v>46020</v>
      </c>
      <c r="G3" s="356"/>
      <c r="H3" s="125" t="s">
        <v>61</v>
      </c>
      <c r="I3" s="162">
        <f>'INFO-Direc'!H3</f>
        <v>1445</v>
      </c>
      <c r="J3" s="131"/>
      <c r="K3" s="132"/>
      <c r="L3" s="133"/>
      <c r="M3" s="134"/>
    </row>
    <row r="4" spans="2:13" ht="30" customHeight="1">
      <c r="B4" s="130" t="s">
        <v>97</v>
      </c>
      <c r="C4" s="160">
        <f>IFERROR(INDEX('INFO-OEE'!E17:CL17,
       MATCH(C3, 'INFO-OEE'!E9:CL9, 0)),"")</f>
        <v>0.8</v>
      </c>
      <c r="D4" s="135"/>
      <c r="E4" s="136"/>
      <c r="F4" s="136"/>
      <c r="G4" s="136"/>
      <c r="H4" s="125"/>
      <c r="I4" s="137"/>
      <c r="J4" s="131"/>
      <c r="K4" s="132"/>
      <c r="L4" s="138"/>
      <c r="M4" s="89"/>
    </row>
    <row r="5" spans="2:13" ht="30" customHeight="1">
      <c r="B5" s="139" t="s">
        <v>4</v>
      </c>
      <c r="C5" s="140"/>
      <c r="D5" s="141"/>
      <c r="E5" s="141"/>
      <c r="F5" s="141"/>
      <c r="G5" s="141"/>
      <c r="H5" s="141"/>
      <c r="I5" s="141"/>
      <c r="J5" s="141"/>
      <c r="K5" s="141"/>
      <c r="L5" s="142"/>
    </row>
    <row r="6" spans="2:13" ht="30" customHeight="1">
      <c r="B6" s="143" t="s">
        <v>5</v>
      </c>
      <c r="C6" s="407" t="s">
        <v>205</v>
      </c>
      <c r="D6" s="407"/>
      <c r="E6" s="144" t="s">
        <v>6</v>
      </c>
      <c r="F6" s="407"/>
      <c r="G6" s="407"/>
      <c r="H6" s="141"/>
      <c r="I6" s="141"/>
      <c r="J6" s="141"/>
      <c r="K6" s="30"/>
      <c r="L6" s="145"/>
    </row>
    <row r="7" spans="2:13" ht="30" customHeight="1">
      <c r="B7" s="143" t="s">
        <v>7</v>
      </c>
      <c r="C7" s="407"/>
      <c r="D7" s="407"/>
      <c r="E7" s="144" t="s">
        <v>62</v>
      </c>
      <c r="F7" s="408"/>
      <c r="G7" s="408"/>
      <c r="H7" s="141"/>
      <c r="I7" s="141"/>
      <c r="J7" s="141"/>
      <c r="K7" s="30"/>
      <c r="L7" s="145"/>
    </row>
    <row r="8" spans="2:13" ht="30" customHeight="1" thickBot="1">
      <c r="B8" s="146"/>
      <c r="C8" s="147"/>
      <c r="D8" s="148"/>
      <c r="E8" s="148"/>
      <c r="F8" s="30"/>
      <c r="G8" s="30"/>
      <c r="H8" s="149"/>
      <c r="I8" s="149"/>
      <c r="J8" s="149"/>
      <c r="K8" s="30"/>
      <c r="L8" s="145"/>
    </row>
    <row r="9" spans="2:13" ht="30" customHeight="1" thickBot="1">
      <c r="B9" s="67" t="s">
        <v>9</v>
      </c>
      <c r="C9" s="190" t="s">
        <v>63</v>
      </c>
      <c r="D9" s="190" t="s">
        <v>64</v>
      </c>
      <c r="E9" s="190" t="s">
        <v>65</v>
      </c>
      <c r="F9" s="190" t="s">
        <v>66</v>
      </c>
      <c r="G9" s="190" t="s">
        <v>67</v>
      </c>
      <c r="H9" s="319" t="s">
        <v>68</v>
      </c>
      <c r="I9" s="319"/>
      <c r="J9" s="319"/>
      <c r="K9" s="319"/>
      <c r="L9" s="191" t="s">
        <v>98</v>
      </c>
    </row>
    <row r="10" spans="2:13" ht="30" customHeight="1">
      <c r="B10" s="404" t="s">
        <v>88</v>
      </c>
      <c r="C10" s="405" t="s">
        <v>89</v>
      </c>
      <c r="D10" s="231" t="s">
        <v>193</v>
      </c>
      <c r="E10" s="218"/>
      <c r="F10" s="219" t="str">
        <f>IF(D10="","","kW")</f>
        <v>kW</v>
      </c>
      <c r="G10" s="220">
        <f>IF(D10="","",IFERROR(INDEX('[4]INFO-Consumo'!$F$9:$F$95,
       MATCH(D10, '[4]INFO-Consumo'!$D$9:$D$95, 0)),""))</f>
        <v>1</v>
      </c>
      <c r="H10" s="401"/>
      <c r="I10" s="402"/>
      <c r="J10" s="402"/>
      <c r="K10" s="403"/>
      <c r="L10" s="400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0.30316793172398854</v>
      </c>
    </row>
    <row r="11" spans="2:13" ht="30" customHeight="1">
      <c r="B11" s="392"/>
      <c r="C11" s="393"/>
      <c r="D11" s="221" t="str">
        <f>IF(D10="", "Seleccionar Maquinaria ↑", "Carga Promedio de Uso de " &amp; D10)</f>
        <v>Carga Promedio de Uso de HER. AUT JAULA MS05 BCJT03</v>
      </c>
      <c r="E11" s="222"/>
      <c r="F11" s="223" t="str">
        <f>IF(ISERROR(FIND("Seleccionar", D11)), "%", "")</f>
        <v>%</v>
      </c>
      <c r="G11" s="289">
        <f>IF(D10="","",IFERROR(
    INDEX('[4]INFO-Consumo'!I:I,
           MATCH(D10, '[4]INFO-Consumo'!D:D, 0)
    ),
""))</f>
        <v>0.6</v>
      </c>
      <c r="H11" s="384"/>
      <c r="I11" s="384"/>
      <c r="J11" s="384"/>
      <c r="K11" s="384"/>
      <c r="L11" s="399"/>
    </row>
    <row r="12" spans="2:13" ht="30" customHeight="1">
      <c r="B12" s="392"/>
      <c r="C12" s="393"/>
      <c r="D12" s="232" t="s">
        <v>173</v>
      </c>
      <c r="E12" s="222"/>
      <c r="F12" s="223" t="str">
        <f>IF(D12="","","kW")</f>
        <v>kW</v>
      </c>
      <c r="G12" s="224">
        <f>IFERROR(INDEX('[4]INFO-Ponderacion'!$S$9:$S$13,
       MATCH(D12,'[4]INFO-Ponderacion'!$C$9:$C$13, 0)),"")</f>
        <v>2.4095999999999997</v>
      </c>
      <c r="H12" s="286"/>
      <c r="I12" s="287"/>
      <c r="J12" s="287"/>
      <c r="K12" s="288"/>
      <c r="L12" s="399"/>
    </row>
    <row r="13" spans="2:13" ht="30" customHeight="1">
      <c r="B13" s="392"/>
      <c r="C13" s="393"/>
      <c r="D13" s="221" t="str">
        <f>IF(D12="", "Seleccionar Area ↑", "Tarifa Electrica ")</f>
        <v xml:space="preserve">Tarifa Electrica </v>
      </c>
      <c r="E13" s="222"/>
      <c r="F13" s="223" t="str">
        <f>IF(D12="","","$/kWh")</f>
        <v>$/kWh</v>
      </c>
      <c r="G13" s="228">
        <f>IF(D12="","",'INFO-Direc'!$G$9)</f>
        <v>5.2613958629577628E-2</v>
      </c>
      <c r="H13" s="384"/>
      <c r="I13" s="384"/>
      <c r="J13" s="384"/>
      <c r="K13" s="384"/>
      <c r="L13" s="399"/>
    </row>
    <row r="14" spans="2:13" ht="30" customHeight="1">
      <c r="B14" s="392"/>
      <c r="C14" s="393"/>
      <c r="D14" s="229" t="str">
        <f>IF(D12="", "Seleccionar Area ↑", "Costo Electrico Fijo de " &amp; D12)</f>
        <v>Costo Electrico Fijo de Ensamble</v>
      </c>
      <c r="E14" s="222"/>
      <c r="F14" s="223" t="str">
        <f>IF(D12="","","$/h")</f>
        <v>$/h</v>
      </c>
      <c r="G14" s="290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0.14482096183241172</v>
      </c>
      <c r="H14" s="385"/>
      <c r="I14" s="386"/>
      <c r="J14" s="386"/>
      <c r="K14" s="387"/>
      <c r="L14" s="399"/>
    </row>
    <row r="15" spans="2:13" ht="30" customHeight="1">
      <c r="B15" s="389"/>
      <c r="C15" s="391"/>
      <c r="D15" s="229" t="s">
        <v>85</v>
      </c>
      <c r="E15" s="230"/>
      <c r="F15" s="223" t="str">
        <f>IF(D12="","","$/h")</f>
        <v>$/h</v>
      </c>
      <c r="G15" s="233"/>
      <c r="H15" s="385"/>
      <c r="I15" s="386"/>
      <c r="J15" s="386"/>
      <c r="K15" s="387"/>
      <c r="L15" s="398"/>
    </row>
    <row r="16" spans="2:13" ht="30" customHeight="1">
      <c r="B16" s="388" t="s">
        <v>90</v>
      </c>
      <c r="C16" s="394" t="s">
        <v>89</v>
      </c>
      <c r="D16" s="232"/>
      <c r="E16" s="222"/>
      <c r="F16" s="223" t="str">
        <f>IF(D16="","","$/L")</f>
        <v/>
      </c>
      <c r="G16" s="228" t="str">
        <f>IFERROR(INDEX('INFO-Direc'!$G$9:$G$25,
       MATCH(D16, 'INFO-Direc'!$D$9:$D$25, 0)),"")</f>
        <v/>
      </c>
      <c r="H16" s="384"/>
      <c r="I16" s="384"/>
      <c r="J16" s="384"/>
      <c r="K16" s="384"/>
      <c r="L16" s="397" t="str">
        <f>IF(AND(D16="", D18=""), "",
    IFERROR(
        IFERROR(G16*G17,0)
        + IFERROR(G18*G19,0)
        + IFERROR(G20,0),
    "")
)</f>
        <v/>
      </c>
    </row>
    <row r="17" spans="2:12" ht="30" customHeight="1">
      <c r="B17" s="392"/>
      <c r="C17" s="395"/>
      <c r="D17" s="221" t="str">
        <f>IF(D16="", "Seleccionar Lubricante ↑", "Consumo de " &amp; D16)</f>
        <v>Seleccionar Lubricante ↑</v>
      </c>
      <c r="E17" s="222"/>
      <c r="F17" s="223" t="str">
        <f>IF(ISERROR(FIND("Seleccionar", D17)), "L/h", "")</f>
        <v/>
      </c>
      <c r="G17" s="234"/>
      <c r="H17" s="384"/>
      <c r="I17" s="384"/>
      <c r="J17" s="384"/>
      <c r="K17" s="384"/>
      <c r="L17" s="399"/>
    </row>
    <row r="18" spans="2:12" ht="30" customHeight="1">
      <c r="B18" s="392"/>
      <c r="C18" s="395"/>
      <c r="D18" s="232"/>
      <c r="E18" s="222"/>
      <c r="F18" s="223" t="str">
        <f>IF(D18="","","$/L")</f>
        <v/>
      </c>
      <c r="G18" s="228" t="str">
        <f>IFERROR(INDEX('INFO-Direc'!$G$9:$G$25,
       MATCH(D18, 'INFO-Direc'!$D$9:$D$25, 0)),"")</f>
        <v/>
      </c>
      <c r="H18" s="385"/>
      <c r="I18" s="386"/>
      <c r="J18" s="386"/>
      <c r="K18" s="387"/>
      <c r="L18" s="399"/>
    </row>
    <row r="19" spans="2:12" ht="30" customHeight="1">
      <c r="B19" s="392"/>
      <c r="C19" s="395"/>
      <c r="D19" s="221" t="str">
        <f>IF(D18="", "Seleccionar Lubricante ↑", "Consumo de " &amp; D18)</f>
        <v>Seleccionar Lubricante ↑</v>
      </c>
      <c r="E19" s="222"/>
      <c r="F19" s="223" t="str">
        <f>IF(ISERROR(FIND("Seleccionar", D19)), "L/h", "")</f>
        <v/>
      </c>
      <c r="G19" s="234"/>
      <c r="H19" s="385"/>
      <c r="I19" s="386"/>
      <c r="J19" s="386"/>
      <c r="K19" s="387"/>
      <c r="L19" s="399"/>
    </row>
    <row r="20" spans="2:12" ht="30" customHeight="1">
      <c r="B20" s="389"/>
      <c r="C20" s="396"/>
      <c r="D20" s="221" t="s">
        <v>85</v>
      </c>
      <c r="E20" s="222"/>
      <c r="F20" s="223" t="str">
        <f>IF(OR(D16&lt;&gt;"", D18&lt;&gt;""), "$/h", "")</f>
        <v/>
      </c>
      <c r="G20" s="233"/>
      <c r="H20" s="384"/>
      <c r="I20" s="384"/>
      <c r="J20" s="384"/>
      <c r="K20" s="384"/>
      <c r="L20" s="398"/>
    </row>
    <row r="21" spans="2:12" ht="30" customHeight="1">
      <c r="B21" s="388" t="s">
        <v>92</v>
      </c>
      <c r="C21" s="390" t="s">
        <v>89</v>
      </c>
      <c r="D21" s="232" t="s">
        <v>138</v>
      </c>
      <c r="E21" s="222"/>
      <c r="F21" s="223" t="str">
        <f>IF(D21="","","kW")</f>
        <v>kW</v>
      </c>
      <c r="G21" s="228">
        <f>IFERROR(INDEX('INFO-Direc'!$G$9:$G$25,
       MATCH(D21, 'INFO-Direc'!$D$9:$D$25, 0)),"")</f>
        <v>56</v>
      </c>
      <c r="H21" s="385"/>
      <c r="I21" s="386"/>
      <c r="J21" s="386"/>
      <c r="K21" s="387"/>
      <c r="L21" s="397">
        <f>IFERROR(G21*G13*G22+G23+G24,"")</f>
        <v>1.8303340099538083</v>
      </c>
    </row>
    <row r="22" spans="2:12" ht="30" customHeight="1">
      <c r="B22" s="392"/>
      <c r="C22" s="393"/>
      <c r="D22" s="221" t="str">
        <f>IF(D21="", "Seleccionar Compresor ↑", "Carga Promedio de Uso de " &amp; D21)</f>
        <v>Carga Promedio de Uso de Compresor</v>
      </c>
      <c r="E22" s="222"/>
      <c r="F22" s="223" t="str">
        <f>IF(ISERROR(FIND("Seleccionar", D22)), "%", "")</f>
        <v>%</v>
      </c>
      <c r="G22" s="289">
        <f>IF(D21="","",IFERROR(
    INDEX('[4]INFO-Consumo'!I:I,
           MATCH(D21, '[4]INFO-Consumo'!D:D, 0)
    ),
""))</f>
        <v>0.6</v>
      </c>
      <c r="H22" s="384"/>
      <c r="I22" s="384"/>
      <c r="J22" s="384"/>
      <c r="K22" s="384"/>
      <c r="L22" s="399"/>
    </row>
    <row r="23" spans="2:12" ht="30" customHeight="1">
      <c r="B23" s="392"/>
      <c r="C23" s="393"/>
      <c r="D23" s="235" t="str">
        <f>IF(D21="", "Seleccionar Compresor ↑", "Costo de Repuestos " &amp; D21)</f>
        <v>Costo de Repuestos Compresor</v>
      </c>
      <c r="E23" s="222"/>
      <c r="F23" s="223" t="str">
        <f>IF(ISERROR(FIND("Seleccionar", D23)), "$/h", "")</f>
        <v>$/h</v>
      </c>
      <c r="G23" s="236">
        <f>IF(D21="","", SUM(IF(ISNUMBER(FIND("Compresor", 'INFO-Mant'!D9:D26)), 'INFO-Mant'!G9:G26 / 'INFO-Mant'!H9:H26, 0)))</f>
        <v>6.2505000000000005E-2</v>
      </c>
      <c r="H23" s="385"/>
      <c r="I23" s="386"/>
      <c r="J23" s="386"/>
      <c r="K23" s="387"/>
      <c r="L23" s="399"/>
    </row>
    <row r="24" spans="2:12" ht="30" customHeight="1">
      <c r="B24" s="389"/>
      <c r="C24" s="391"/>
      <c r="D24" s="221" t="s">
        <v>85</v>
      </c>
      <c r="E24" s="222"/>
      <c r="F24" s="223" t="str">
        <f>IF(D21="","","$/h")</f>
        <v>$/h</v>
      </c>
      <c r="G24" s="233"/>
      <c r="H24" s="384"/>
      <c r="I24" s="384"/>
      <c r="J24" s="384"/>
      <c r="K24" s="384"/>
      <c r="L24" s="398"/>
    </row>
    <row r="25" spans="2:12" ht="30" customHeight="1">
      <c r="B25" s="388" t="s">
        <v>94</v>
      </c>
      <c r="C25" s="390" t="s">
        <v>89</v>
      </c>
      <c r="D25" s="232"/>
      <c r="E25" s="222"/>
      <c r="F25" s="223" t="str">
        <f>IF(D25="","","$/L")</f>
        <v/>
      </c>
      <c r="G25" s="228" t="str">
        <f>IFERROR(INDEX('INFO-Direc'!$G$9:$G$25,
       MATCH(D25, 'INFO-Direc'!$D$9:$D$25, 0)),"")</f>
        <v/>
      </c>
      <c r="H25" s="384"/>
      <c r="I25" s="384"/>
      <c r="J25" s="384"/>
      <c r="K25" s="384"/>
      <c r="L25" s="381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92"/>
      <c r="C26" s="393"/>
      <c r="D26" s="221" t="str">
        <f>IF(D25="", "Seleccionar Refrigerante ↑", "Consumo de " &amp; D25)</f>
        <v>Seleccionar Refrigerante ↑</v>
      </c>
      <c r="E26" s="222"/>
      <c r="F26" s="223" t="str">
        <f>IF(ISERROR(FIND("Seleccionar", D26)), "L/Año", "")</f>
        <v/>
      </c>
      <c r="G26" s="238"/>
      <c r="H26" s="384"/>
      <c r="I26" s="384"/>
      <c r="J26" s="384"/>
      <c r="K26" s="384"/>
      <c r="L26" s="382"/>
    </row>
    <row r="27" spans="2:12" ht="30" customHeight="1">
      <c r="B27" s="392"/>
      <c r="C27" s="393"/>
      <c r="D27" s="232"/>
      <c r="E27" s="222"/>
      <c r="F27" s="223" t="str">
        <f>IF(D27="","","$/L")</f>
        <v/>
      </c>
      <c r="G27" s="228" t="str">
        <f>IFERROR(INDEX('INFO-Direc'!$G$9:$G$25,
       MATCH(D27, 'INFO-Direc'!$D$9:$D$25, 0)),"")</f>
        <v/>
      </c>
      <c r="H27" s="385"/>
      <c r="I27" s="386"/>
      <c r="J27" s="386"/>
      <c r="K27" s="387"/>
      <c r="L27" s="382"/>
    </row>
    <row r="28" spans="2:12" ht="30" customHeight="1">
      <c r="B28" s="392"/>
      <c r="C28" s="393"/>
      <c r="D28" s="221" t="str">
        <f>IF(D27="", "Seleccionar Refrigerante ↑", "Consumo de " &amp; D27)</f>
        <v>Seleccionar Refrigerante ↑</v>
      </c>
      <c r="E28" s="222"/>
      <c r="F28" s="223" t="str">
        <f>IF(ISERROR(FIND("Seleccionar", D28)), "L/Año", "")</f>
        <v/>
      </c>
      <c r="G28" s="239"/>
      <c r="H28" s="385"/>
      <c r="I28" s="386"/>
      <c r="J28" s="386"/>
      <c r="K28" s="387"/>
      <c r="L28" s="382"/>
    </row>
    <row r="29" spans="2:12" ht="30" customHeight="1">
      <c r="B29" s="389"/>
      <c r="C29" s="391"/>
      <c r="D29" s="221" t="s">
        <v>85</v>
      </c>
      <c r="E29" s="222"/>
      <c r="F29" s="223" t="str">
        <f>IF(OR(D25&lt;&gt;"", D27&lt;&gt;""), "$/h", "")</f>
        <v/>
      </c>
      <c r="G29" s="233"/>
      <c r="H29" s="384"/>
      <c r="I29" s="384"/>
      <c r="J29" s="384"/>
      <c r="K29" s="384"/>
      <c r="L29" s="383"/>
    </row>
    <row r="30" spans="2:12" s="152" customFormat="1" ht="30" customHeight="1">
      <c r="B30" s="388" t="s">
        <v>168</v>
      </c>
      <c r="C30" s="394" t="s">
        <v>89</v>
      </c>
      <c r="D30" s="232"/>
      <c r="E30" s="222"/>
      <c r="F30" s="223" t="str">
        <f>IF(D30="","","$/L")</f>
        <v/>
      </c>
      <c r="G30" s="228" t="str">
        <f>IFERROR(INDEX('INFO-Direc'!$G$9:$G$25,
       MATCH(D30, 'INFO-Direc'!$D$9:$D$25, 0)),"")</f>
        <v/>
      </c>
      <c r="H30" s="384"/>
      <c r="I30" s="384"/>
      <c r="J30" s="384"/>
      <c r="K30" s="384"/>
      <c r="L30" s="381" t="str">
        <f>IF(
    AND(D30="", D32=""),
    "",
    IFERROR(
        IFERROR(G30 / (INDEX('INFO-OEE'!$E$18:$CA$18,
                               MATCH(#REF!, 'INFO-OEE'!$E$9:$CA$9, 0)) * 12), 0)
        * G31
        +
        IFERROR(G32 / (INDEX('INFO-OEE'!$E$18:$CA$18,
                               MATCH(#REF!, 'INFO-OEE'!$E$9:$CA$9, 0)) * 12), 0)
        * G33
        +
        IFERROR(G34, 0),
    "")
)</f>
        <v/>
      </c>
    </row>
    <row r="31" spans="2:12" s="152" customFormat="1" ht="30" customHeight="1">
      <c r="B31" s="392"/>
      <c r="C31" s="395"/>
      <c r="D31" s="221" t="str">
        <f>IF(D30="", "Seleccionar Solvente ↑", "Consumo de " &amp; D30)</f>
        <v>Seleccionar Solvente ↑</v>
      </c>
      <c r="E31" s="222"/>
      <c r="F31" s="223" t="str">
        <f>IF(ISERROR(FIND("Seleccionar", D31)), "L/Año", "")</f>
        <v/>
      </c>
      <c r="G31" s="234"/>
      <c r="H31" s="384"/>
      <c r="I31" s="384"/>
      <c r="J31" s="384"/>
      <c r="K31" s="384"/>
      <c r="L31" s="382"/>
    </row>
    <row r="32" spans="2:12" s="152" customFormat="1" ht="30" customHeight="1">
      <c r="B32" s="392"/>
      <c r="C32" s="395"/>
      <c r="D32" s="232"/>
      <c r="E32" s="222"/>
      <c r="F32" s="223" t="str">
        <f>IF(D32="","","$/L")</f>
        <v/>
      </c>
      <c r="G32" s="228" t="str">
        <f>IFERROR(INDEX('INFO-Direc'!$G$9:$G$25,
       MATCH(D32, 'INFO-Direc'!$D$9:$D$25, 0)),"")</f>
        <v/>
      </c>
      <c r="H32" s="385"/>
      <c r="I32" s="386"/>
      <c r="J32" s="386"/>
      <c r="K32" s="387"/>
      <c r="L32" s="382"/>
    </row>
    <row r="33" spans="2:12" s="152" customFormat="1" ht="30" customHeight="1">
      <c r="B33" s="392"/>
      <c r="C33" s="395"/>
      <c r="D33" s="221" t="str">
        <f>IF(D32="", "Seleccionar Solvente ↑", "Consumo de " &amp; D32)</f>
        <v>Seleccionar Solvente ↑</v>
      </c>
      <c r="E33" s="222"/>
      <c r="F33" s="223" t="str">
        <f>IF(ISERROR(FIND("Seleccionar", D33)), "L/Año", "")</f>
        <v/>
      </c>
      <c r="G33" s="234"/>
      <c r="H33" s="385"/>
      <c r="I33" s="386"/>
      <c r="J33" s="386"/>
      <c r="K33" s="387"/>
      <c r="L33" s="382"/>
    </row>
    <row r="34" spans="2:12" s="152" customFormat="1" ht="30" customHeight="1">
      <c r="B34" s="389"/>
      <c r="C34" s="396"/>
      <c r="D34" s="221" t="s">
        <v>85</v>
      </c>
      <c r="E34" s="222"/>
      <c r="F34" s="223" t="str">
        <f>IF(OR(D30&lt;&gt;"", D32&lt;&gt;""), "$/h", "")</f>
        <v/>
      </c>
      <c r="G34" s="233"/>
      <c r="H34" s="384"/>
      <c r="I34" s="384"/>
      <c r="J34" s="384"/>
      <c r="K34" s="384"/>
      <c r="L34" s="383"/>
    </row>
    <row r="35" spans="2:12" ht="30" customHeight="1">
      <c r="B35" s="388" t="s">
        <v>100</v>
      </c>
      <c r="C35" s="390" t="s">
        <v>89</v>
      </c>
      <c r="D35" s="221" t="str">
        <f>IF(D12="", "Seleccionar Area ↑", "Costo de Operarios")</f>
        <v>Costo de Operarios</v>
      </c>
      <c r="E35" s="222"/>
      <c r="F35" s="223" t="str">
        <f>IF(D12="","","$/mes")</f>
        <v>$/mes</v>
      </c>
      <c r="G35" s="237">
        <f>IF(D12="","",IFERROR(
    INDEX('INFO-Personal'!$E$26:$CA$26,
           MATCH($C$3, 'INFO-Personal'!$E$9:$CA$9, 0)
    ),
""))</f>
        <v>0</v>
      </c>
      <c r="H35" s="384"/>
      <c r="I35" s="384"/>
      <c r="J35" s="384"/>
      <c r="K35" s="384"/>
      <c r="L35" s="397">
        <f>IFERROR(
    (G35 / INDEX('INFO-OEE'!$E$18:$CA$18,
                  MATCH($C$3, 'INFO-OEE'!$E$9:$CA$9, 0)))
    + G36,
"")</f>
        <v>0</v>
      </c>
    </row>
    <row r="36" spans="2:12" ht="30" customHeight="1">
      <c r="B36" s="389"/>
      <c r="C36" s="391"/>
      <c r="D36" s="221" t="s">
        <v>85</v>
      </c>
      <c r="E36" s="222"/>
      <c r="F36" s="223" t="str">
        <f>IF(D12="","","$/h")</f>
        <v>$/h</v>
      </c>
      <c r="G36" s="240"/>
      <c r="H36" s="384"/>
      <c r="I36" s="384"/>
      <c r="J36" s="384"/>
      <c r="K36" s="384"/>
      <c r="L36" s="398"/>
    </row>
    <row r="37" spans="2:12" ht="30" customHeight="1">
      <c r="B37" s="241"/>
      <c r="C37" s="242"/>
      <c r="D37" s="243"/>
      <c r="E37" s="242"/>
      <c r="F37" s="244"/>
      <c r="G37" s="245"/>
      <c r="H37" s="409"/>
      <c r="I37" s="409"/>
      <c r="J37" s="409"/>
      <c r="K37" s="409"/>
      <c r="L37" s="246"/>
    </row>
    <row r="38" spans="2:12" ht="30" customHeight="1">
      <c r="B38" s="388" t="s">
        <v>16</v>
      </c>
      <c r="C38" s="390" t="s">
        <v>69</v>
      </c>
      <c r="D38" s="221" t="str">
        <f>IF(D12="", "Seleccionar Area ↑", "Costo de Supervisores")</f>
        <v>Costo de Supervisores</v>
      </c>
      <c r="E38" s="222"/>
      <c r="F38" s="247" t="str">
        <f>IF(D12="","","$/mes")</f>
        <v>$/mes</v>
      </c>
      <c r="G38" s="237">
        <f>IF(D12="","",IFERROR(
    INDEX('INFO-Personal'!$E$27:$CA$27,
           MATCH($C$3, 'INFO-Personal'!$E$9:$CA$9, 0)
    ),
""))</f>
        <v>0</v>
      </c>
      <c r="H38" s="385"/>
      <c r="I38" s="386"/>
      <c r="J38" s="386"/>
      <c r="K38" s="387"/>
      <c r="L38" s="397">
        <f>IFERROR(
    (G38 / INDEX('INFO-OEE'!$E$18:$CA$18,
                  MATCH($C$3, 'INFO-OEE'!$E$9:$CA$9, 0)))
    + G39,
"")</f>
        <v>0</v>
      </c>
    </row>
    <row r="39" spans="2:12" ht="30" customHeight="1">
      <c r="B39" s="392"/>
      <c r="C39" s="393"/>
      <c r="D39" s="221" t="s">
        <v>85</v>
      </c>
      <c r="E39" s="222"/>
      <c r="F39" s="223" t="str">
        <f>IF(D12="","","$/h")</f>
        <v>$/h</v>
      </c>
      <c r="G39" s="240"/>
      <c r="H39" s="385"/>
      <c r="I39" s="386"/>
      <c r="J39" s="386"/>
      <c r="K39" s="387"/>
      <c r="L39" s="399"/>
    </row>
    <row r="40" spans="2:12" ht="30" customHeight="1">
      <c r="B40" s="388" t="s">
        <v>101</v>
      </c>
      <c r="C40" s="390" t="s">
        <v>69</v>
      </c>
      <c r="D40" s="221" t="str">
        <f>IF(D12="", "Seleccionar Area ↑", "Costo de Mant. Preventivo")</f>
        <v>Costo de Mant. Preventivo</v>
      </c>
      <c r="E40" s="222"/>
      <c r="F40" s="247" t="str">
        <f>IF(D12="","","$/mes")</f>
        <v>$/mes</v>
      </c>
      <c r="G40" s="237">
        <f>IF(D12="","",IFERROR(
    INDEX('INFO-Personal'!$E$28:$CA$28,
           MATCH($C$3, 'INFO-Personal'!$E$9:$CA$9, 0)
    ),
""))</f>
        <v>0</v>
      </c>
      <c r="H40" s="385"/>
      <c r="I40" s="386"/>
      <c r="J40" s="386"/>
      <c r="K40" s="387"/>
      <c r="L40" s="397">
        <f>IF(D12="","",SUM(
    IFERROR((G40+G41) / INDEX('INFO-OEE'!$E$18:$CA$18, MATCH(C3, 'INFO-OEE'!$E$9:$CA$9, 0)), 0),
    IFERROR(G42 / G43, 0),
    IFERROR(G44 / G45, 0),
    IFERROR(G46 / G47, 0),
    IFERROR(G48, 0)
))</f>
        <v>0.25023513374001316</v>
      </c>
    </row>
    <row r="41" spans="2:12" ht="30" customHeight="1">
      <c r="B41" s="392"/>
      <c r="C41" s="393"/>
      <c r="D41" s="221" t="str">
        <f>IF(D12="", "Seleccionar Area ↑", "Costo de Mant. Correctivo")</f>
        <v>Costo de Mant. Correctivo</v>
      </c>
      <c r="E41" s="222"/>
      <c r="F41" s="247" t="str">
        <f>IF(D12="","","$/mes")</f>
        <v>$/mes</v>
      </c>
      <c r="G41" s="237">
        <f>IF(D12="","",IFERROR(
    INDEX('INFO-Personal'!$E$29:$CA$29,
           MATCH($C$3, 'INFO-Personal'!$E$9:$CA$9, 0)
    ),
""))</f>
        <v>35.233106830593854</v>
      </c>
      <c r="H41" s="385"/>
      <c r="I41" s="386"/>
      <c r="J41" s="386"/>
      <c r="K41" s="387"/>
      <c r="L41" s="399"/>
    </row>
    <row r="42" spans="2:12" ht="30" customHeight="1">
      <c r="B42" s="392"/>
      <c r="C42" s="393"/>
      <c r="D42" s="232"/>
      <c r="E42" s="222"/>
      <c r="F42" s="223" t="str">
        <f>IF(D42="","","$/u")</f>
        <v/>
      </c>
      <c r="G42" s="237" t="str">
        <f>IFERROR(INDEX('INFO-Mant'!$G$9:$G$26,
       MATCH(D42, 'INFO-Mant'!$D$9:$D$26, 0)),"")</f>
        <v/>
      </c>
      <c r="H42" s="385"/>
      <c r="I42" s="386"/>
      <c r="J42" s="386"/>
      <c r="K42" s="387"/>
      <c r="L42" s="399"/>
    </row>
    <row r="43" spans="2:12" ht="30" customHeight="1">
      <c r="B43" s="392"/>
      <c r="C43" s="393"/>
      <c r="D43" s="221" t="str">
        <f>IF(D42="", "Seleccionar Repuesto ↑", "Vida Util de " &amp; D42)</f>
        <v>Seleccionar Repuesto ↑</v>
      </c>
      <c r="E43" s="222"/>
      <c r="F43" s="223" t="str">
        <f>IF(ISERROR(FIND("Seleccionar", D43)), "Horas/u", "")</f>
        <v/>
      </c>
      <c r="G43" s="238"/>
      <c r="H43" s="385"/>
      <c r="I43" s="386"/>
      <c r="J43" s="386"/>
      <c r="K43" s="387"/>
      <c r="L43" s="399"/>
    </row>
    <row r="44" spans="2:12" ht="30" customHeight="1">
      <c r="B44" s="392"/>
      <c r="C44" s="393"/>
      <c r="D44" s="232"/>
      <c r="E44" s="222"/>
      <c r="F44" s="223" t="str">
        <f>IF(D44="","","$/u")</f>
        <v/>
      </c>
      <c r="G44" s="237" t="str">
        <f>IFERROR(INDEX('INFO-Mant'!$G$9:$G$26,
       MATCH(D44, 'INFO-Mant'!$D$9:$D$26, 0)),"")</f>
        <v/>
      </c>
      <c r="H44" s="385"/>
      <c r="I44" s="386"/>
      <c r="J44" s="386"/>
      <c r="K44" s="387"/>
      <c r="L44" s="399"/>
    </row>
    <row r="45" spans="2:12" ht="30" customHeight="1">
      <c r="B45" s="392"/>
      <c r="C45" s="393"/>
      <c r="D45" s="221" t="str">
        <f>IF(D44="", "Seleccionar Repuesto ↑", "Vida Util de " &amp; D44)</f>
        <v>Seleccionar Repuesto ↑</v>
      </c>
      <c r="E45" s="222"/>
      <c r="F45" s="223" t="str">
        <f>IF(ISERROR(FIND("Seleccionar", D45)), "Horas/u", "")</f>
        <v/>
      </c>
      <c r="G45" s="238"/>
      <c r="H45" s="385"/>
      <c r="I45" s="386"/>
      <c r="J45" s="386"/>
      <c r="K45" s="387"/>
      <c r="L45" s="399"/>
    </row>
    <row r="46" spans="2:12" ht="30" customHeight="1">
      <c r="B46" s="392"/>
      <c r="C46" s="393"/>
      <c r="D46" s="232"/>
      <c r="E46" s="222"/>
      <c r="F46" s="223" t="str">
        <f>IF(D46="","","$/u")</f>
        <v/>
      </c>
      <c r="G46" s="237" t="str">
        <f>IFERROR(INDEX('INFO-Mant'!$G$9:$G$26,
       MATCH(D46, 'INFO-Mant'!$D$9:$D$26, 0)),"")</f>
        <v/>
      </c>
      <c r="H46" s="385"/>
      <c r="I46" s="386"/>
      <c r="J46" s="386"/>
      <c r="K46" s="387"/>
      <c r="L46" s="399"/>
    </row>
    <row r="47" spans="2:12" ht="33" customHeight="1">
      <c r="B47" s="392"/>
      <c r="C47" s="393"/>
      <c r="D47" s="221" t="str">
        <f>IF(D46="", "Seleccionar Repuesto ↑", "Vida Util de " &amp; D46)</f>
        <v>Seleccionar Repuesto ↑</v>
      </c>
      <c r="E47" s="222"/>
      <c r="F47" s="223" t="str">
        <f>IF(ISERROR(FIND("Seleccionar", D47)), "Horas/u", "")</f>
        <v/>
      </c>
      <c r="G47" s="240"/>
      <c r="H47" s="385"/>
      <c r="I47" s="386"/>
      <c r="J47" s="386"/>
      <c r="K47" s="387"/>
      <c r="L47" s="399"/>
    </row>
    <row r="48" spans="2:12" ht="30" customHeight="1">
      <c r="B48" s="389"/>
      <c r="C48" s="391"/>
      <c r="D48" s="221" t="s">
        <v>85</v>
      </c>
      <c r="E48" s="222"/>
      <c r="F48" s="223" t="str">
        <f>IF(D12="","","$/h")</f>
        <v>$/h</v>
      </c>
      <c r="G48" s="240"/>
      <c r="H48" s="385"/>
      <c r="I48" s="386"/>
      <c r="J48" s="386"/>
      <c r="K48" s="387"/>
      <c r="L48" s="398"/>
    </row>
    <row r="49" spans="2:12" ht="30" customHeight="1">
      <c r="B49" s="248"/>
      <c r="C49" s="249"/>
      <c r="D49" s="250"/>
      <c r="E49" s="249"/>
      <c r="F49" s="251"/>
      <c r="G49" s="252"/>
      <c r="H49" s="249"/>
      <c r="I49" s="249"/>
      <c r="J49" s="249"/>
      <c r="K49" s="249"/>
      <c r="L49" s="253"/>
    </row>
    <row r="50" spans="2:12" ht="30" customHeight="1">
      <c r="B50" s="388" t="s">
        <v>102</v>
      </c>
      <c r="C50" s="394" t="s">
        <v>103</v>
      </c>
      <c r="D50" s="232"/>
      <c r="E50" s="222"/>
      <c r="F50" s="223" t="str">
        <f>IF(D50="","","$/h")</f>
        <v/>
      </c>
      <c r="G50" s="23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410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410"/>
      <c r="J50" s="410"/>
      <c r="K50" s="410"/>
      <c r="L50" s="255" t="str">
        <f ca="1">G50</f>
        <v/>
      </c>
    </row>
    <row r="51" spans="2:12" ht="30" customHeight="1">
      <c r="B51" s="392"/>
      <c r="C51" s="395"/>
      <c r="D51" s="232"/>
      <c r="E51" s="254"/>
      <c r="F51" s="223" t="str">
        <f>IF(D51="","","$/h")</f>
        <v/>
      </c>
      <c r="G51" s="23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410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410"/>
      <c r="J51" s="410"/>
      <c r="K51" s="410"/>
      <c r="L51" s="255" t="str">
        <f ca="1">G51</f>
        <v/>
      </c>
    </row>
    <row r="52" spans="2:12" ht="30" customHeight="1">
      <c r="B52" s="392"/>
      <c r="C52" s="395"/>
      <c r="D52" s="232"/>
      <c r="E52" s="222"/>
      <c r="F52" s="223" t="str">
        <f t="shared" ref="F52:F54" si="0">IF(D52="","","$/h")</f>
        <v/>
      </c>
      <c r="G52" s="23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410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410"/>
      <c r="J52" s="410"/>
      <c r="K52" s="410"/>
      <c r="L52" s="255" t="str">
        <f ca="1">G52</f>
        <v/>
      </c>
    </row>
    <row r="53" spans="2:12" ht="30" customHeight="1">
      <c r="B53" s="392"/>
      <c r="C53" s="395"/>
      <c r="D53" s="232"/>
      <c r="E53" s="222"/>
      <c r="F53" s="223" t="str">
        <f t="shared" si="0"/>
        <v/>
      </c>
      <c r="G53" s="23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410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410"/>
      <c r="J53" s="410"/>
      <c r="K53" s="410"/>
      <c r="L53" s="255" t="str">
        <f ca="1">G53</f>
        <v/>
      </c>
    </row>
    <row r="54" spans="2:12" ht="30" customHeight="1">
      <c r="B54" s="389"/>
      <c r="C54" s="396"/>
      <c r="D54" s="232"/>
      <c r="E54" s="222"/>
      <c r="F54" s="223" t="str">
        <f t="shared" si="0"/>
        <v/>
      </c>
      <c r="G54" s="23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410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410"/>
      <c r="J54" s="410"/>
      <c r="K54" s="410"/>
      <c r="L54" s="255" t="str">
        <f ca="1">G54</f>
        <v/>
      </c>
    </row>
    <row r="55" spans="2:12" ht="30" customHeight="1">
      <c r="B55" s="146"/>
      <c r="C55" s="147"/>
      <c r="D55" s="411"/>
      <c r="E55" s="411"/>
      <c r="F55" s="30"/>
      <c r="G55" s="30"/>
      <c r="H55" s="149"/>
      <c r="I55" s="149"/>
      <c r="J55" s="149"/>
      <c r="K55" s="30"/>
      <c r="L55" s="145"/>
    </row>
    <row r="56" spans="2:12" ht="30" customHeight="1" thickBot="1">
      <c r="B56" s="153" t="s">
        <v>39</v>
      </c>
      <c r="C56" s="330"/>
      <c r="D56" s="330"/>
      <c r="E56" s="154" t="s">
        <v>23</v>
      </c>
      <c r="F56" s="368"/>
      <c r="G56" s="368"/>
      <c r="H56" s="141"/>
      <c r="I56" s="141"/>
      <c r="J56" s="141"/>
      <c r="K56" s="256"/>
      <c r="L56" s="257"/>
    </row>
    <row r="57" spans="2:12" ht="30" customHeight="1" thickBot="1">
      <c r="B57" s="155"/>
      <c r="C57" s="156"/>
      <c r="D57" s="156"/>
      <c r="E57" s="156"/>
      <c r="F57" s="378"/>
      <c r="G57" s="378"/>
      <c r="H57" s="157"/>
      <c r="I57" s="157"/>
      <c r="J57" s="157"/>
      <c r="K57" s="258" t="s">
        <v>106</v>
      </c>
      <c r="L57" s="259">
        <f ca="1">IFERROR(SUM(L19:L54),"")</f>
        <v>2.0805691436938214</v>
      </c>
    </row>
    <row r="59" spans="2:12" ht="30" customHeight="1">
      <c r="C59" s="117"/>
    </row>
  </sheetData>
  <sheetProtection algorithmName="SHA-512" hashValue="TqtowFKUYsbm3AS4XBYl4EauUQJrKVV+pa8oX/SSKPceTO+6N05fb9P4DcJWyjhGPJohcBqGJvFLB8J5aEl/sA==" saltValue="2wLkoURPlupHi66ptS+S4A==" spinCount="100000" sheet="1" objects="1" scenarios="1" selectLockedCells="1"/>
  <mergeCells count="80">
    <mergeCell ref="D55:E55"/>
    <mergeCell ref="C56:D56"/>
    <mergeCell ref="F56:G56"/>
    <mergeCell ref="F57:G57"/>
    <mergeCell ref="B50:B54"/>
    <mergeCell ref="C50:C54"/>
    <mergeCell ref="H50:K50"/>
    <mergeCell ref="H51:K51"/>
    <mergeCell ref="H52:K52"/>
    <mergeCell ref="H53:K53"/>
    <mergeCell ref="H54:K54"/>
    <mergeCell ref="L38:L39"/>
    <mergeCell ref="B40:B48"/>
    <mergeCell ref="C40:C48"/>
    <mergeCell ref="L40:L48"/>
    <mergeCell ref="H44:K44"/>
    <mergeCell ref="H45:K45"/>
    <mergeCell ref="H46:K46"/>
    <mergeCell ref="H47:K47"/>
    <mergeCell ref="H48:K48"/>
    <mergeCell ref="H39:K39"/>
    <mergeCell ref="H40:K40"/>
    <mergeCell ref="H41:K41"/>
    <mergeCell ref="H42:K42"/>
    <mergeCell ref="H43:K43"/>
    <mergeCell ref="B38:B39"/>
    <mergeCell ref="C38:C39"/>
    <mergeCell ref="B10:B15"/>
    <mergeCell ref="C10:C15"/>
    <mergeCell ref="B16:B20"/>
    <mergeCell ref="C16:C20"/>
    <mergeCell ref="B21:B24"/>
    <mergeCell ref="C21:C24"/>
    <mergeCell ref="H38:K38"/>
    <mergeCell ref="H34:K34"/>
    <mergeCell ref="H35:K35"/>
    <mergeCell ref="H36:K36"/>
    <mergeCell ref="H37:K37"/>
    <mergeCell ref="B35:B36"/>
    <mergeCell ref="C35:C36"/>
    <mergeCell ref="L35:L36"/>
    <mergeCell ref="H30:K30"/>
    <mergeCell ref="H31:K31"/>
    <mergeCell ref="H32:K32"/>
    <mergeCell ref="H33:K33"/>
    <mergeCell ref="B30:B34"/>
    <mergeCell ref="C30:C34"/>
    <mergeCell ref="L30:L34"/>
    <mergeCell ref="B25:B29"/>
    <mergeCell ref="C25:C29"/>
    <mergeCell ref="L25:L29"/>
    <mergeCell ref="H23:K23"/>
    <mergeCell ref="H24:K24"/>
    <mergeCell ref="H25:K25"/>
    <mergeCell ref="L21:L24"/>
    <mergeCell ref="H29:K29"/>
    <mergeCell ref="H26:K26"/>
    <mergeCell ref="H27:K27"/>
    <mergeCell ref="H28:K28"/>
    <mergeCell ref="H20:K20"/>
    <mergeCell ref="H21:K21"/>
    <mergeCell ref="H22:K22"/>
    <mergeCell ref="L16:L20"/>
    <mergeCell ref="H16:K16"/>
    <mergeCell ref="H17:K17"/>
    <mergeCell ref="H18:K18"/>
    <mergeCell ref="H19:K19"/>
    <mergeCell ref="H13:K13"/>
    <mergeCell ref="H15:K15"/>
    <mergeCell ref="L10:L15"/>
    <mergeCell ref="H9:K9"/>
    <mergeCell ref="H10:K10"/>
    <mergeCell ref="H11:K11"/>
    <mergeCell ref="H14:K14"/>
    <mergeCell ref="C3:D3"/>
    <mergeCell ref="F3:G3"/>
    <mergeCell ref="C6:D6"/>
    <mergeCell ref="F6:G6"/>
    <mergeCell ref="C7:D7"/>
    <mergeCell ref="F7:G7"/>
  </mergeCells>
  <dataValidations count="9">
    <dataValidation type="list" allowBlank="1" showInputMessage="1" showErrorMessage="1" sqref="D51:D54">
      <formula1>Herramientas_Ensamble</formula1>
    </dataValidation>
    <dataValidation allowBlank="1" showInputMessage="1" showErrorMessage="1" prompt="Escriba comentarios en las celdas de la derecha." sqref="C59"/>
    <dataValidation type="list" allowBlank="1" showInputMessage="1" showErrorMessage="1" sqref="D10 D50">
      <formula1>Maquinaria_Ensamble</formula1>
    </dataValidation>
    <dataValidation type="list" allowBlank="1" showInputMessage="1" showErrorMessage="1" sqref="D42 D44 D46">
      <formula1>Repuestos_Ensamble</formula1>
    </dataValidation>
    <dataValidation type="list" allowBlank="1" showInputMessage="1" showErrorMessage="1" sqref="D30 D32">
      <formula1>Solvente_Ensamble</formula1>
    </dataValidation>
    <dataValidation type="list" allowBlank="1" showInputMessage="1" showErrorMessage="1" sqref="D25 D27">
      <formula1>Refrigerantes_Ensamble</formula1>
    </dataValidation>
    <dataValidation type="list" allowBlank="1" showInputMessage="1" showErrorMessage="1" sqref="D21">
      <formula1>AireComprimido_Ensamble</formula1>
    </dataValidation>
    <dataValidation type="list" allowBlank="1" showInputMessage="1" showErrorMessage="1" sqref="D16 D18">
      <formula1>Lubricantes_Ensamble</formula1>
    </dataValidation>
    <dataValidation type="list" allowBlank="1" showInputMessage="1" showErrorMessage="1" sqref="D12">
      <formula1>Areas_Ensamble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54</xdr:row>
                    <xdr:rowOff>333375</xdr:rowOff>
                  </from>
                  <to>
                    <xdr:col>1</xdr:col>
                    <xdr:colOff>1762125</xdr:colOff>
                    <xdr:row>55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3">
    <tabColor rgb="FF0070C0"/>
    <pageSetUpPr autoPageBreaks="0" fitToPage="1"/>
  </sheetPr>
  <dimension ref="B1:M59"/>
  <sheetViews>
    <sheetView showGridLines="0" zoomScale="80" zoomScaleNormal="80" workbookViewId="0">
      <selection activeCell="C6" sqref="C6:D6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3.140625" style="80" bestFit="1" customWidth="1"/>
    <col min="5" max="5" width="20.5703125" style="80" customWidth="1"/>
    <col min="6" max="6" width="16.5703125" style="80" bestFit="1" customWidth="1"/>
    <col min="7" max="7" width="19.7109375" style="80" bestFit="1" customWidth="1"/>
    <col min="8" max="8" width="15.28515625" style="80" customWidth="1"/>
    <col min="9" max="10" width="17" style="80" customWidth="1"/>
    <col min="11" max="11" width="28.42578125" style="80" customWidth="1"/>
    <col min="12" max="12" width="20.7109375" style="80" customWidth="1"/>
    <col min="13" max="13" width="2.7109375" style="80" customWidth="1"/>
    <col min="14" max="16384" width="9.140625" style="80"/>
  </cols>
  <sheetData>
    <row r="1" spans="2:13" ht="12" customHeight="1" thickBot="1"/>
    <row r="2" spans="2:13" ht="30" customHeight="1">
      <c r="B2" s="126" t="s">
        <v>95</v>
      </c>
      <c r="C2" s="127"/>
      <c r="D2" s="128"/>
      <c r="E2" s="128"/>
      <c r="F2" s="128"/>
      <c r="G2" s="128"/>
      <c r="H2" s="128"/>
      <c r="I2" s="128"/>
      <c r="J2" s="128"/>
      <c r="K2" s="128"/>
      <c r="L2" s="129"/>
    </row>
    <row r="3" spans="2:13" ht="30" customHeight="1">
      <c r="B3" s="130" t="s">
        <v>96</v>
      </c>
      <c r="C3" s="406" t="s">
        <v>127</v>
      </c>
      <c r="D3" s="406"/>
      <c r="E3" s="125" t="s">
        <v>3</v>
      </c>
      <c r="F3" s="356">
        <f ca="1">TODAY()</f>
        <v>46020</v>
      </c>
      <c r="G3" s="356"/>
      <c r="H3" s="125" t="s">
        <v>61</v>
      </c>
      <c r="I3" s="162">
        <f>'INFO-Direc'!H3</f>
        <v>1445</v>
      </c>
      <c r="J3" s="131"/>
      <c r="K3" s="132"/>
      <c r="L3" s="133"/>
      <c r="M3" s="134"/>
    </row>
    <row r="4" spans="2:13" ht="30" customHeight="1">
      <c r="B4" s="130" t="s">
        <v>97</v>
      </c>
      <c r="C4" s="160">
        <f>IFERROR(INDEX('INFO-OEE'!E17:CL17,
       MATCH(C3, 'INFO-OEE'!E9:CL9, 0)),"")</f>
        <v>0.8</v>
      </c>
      <c r="D4" s="135"/>
      <c r="E4" s="136"/>
      <c r="F4" s="136"/>
      <c r="G4" s="136"/>
      <c r="H4" s="125"/>
      <c r="I4" s="137"/>
      <c r="J4" s="131"/>
      <c r="K4" s="132"/>
      <c r="L4" s="138"/>
      <c r="M4" s="89"/>
    </row>
    <row r="5" spans="2:13" ht="30" customHeight="1">
      <c r="B5" s="139" t="s">
        <v>4</v>
      </c>
      <c r="C5" s="140"/>
      <c r="D5" s="141"/>
      <c r="E5" s="141"/>
      <c r="F5" s="141"/>
      <c r="G5" s="141"/>
      <c r="H5" s="141"/>
      <c r="I5" s="141"/>
      <c r="J5" s="141"/>
      <c r="K5" s="141"/>
      <c r="L5" s="142"/>
    </row>
    <row r="6" spans="2:13" ht="30" customHeight="1">
      <c r="B6" s="143" t="s">
        <v>5</v>
      </c>
      <c r="C6" s="407" t="s">
        <v>205</v>
      </c>
      <c r="D6" s="407"/>
      <c r="E6" s="144" t="s">
        <v>6</v>
      </c>
      <c r="F6" s="407"/>
      <c r="G6" s="407"/>
      <c r="H6" s="141"/>
      <c r="I6" s="141"/>
      <c r="J6" s="141"/>
      <c r="K6" s="30"/>
      <c r="L6" s="145"/>
    </row>
    <row r="7" spans="2:13" ht="30" customHeight="1">
      <c r="B7" s="143" t="s">
        <v>7</v>
      </c>
      <c r="C7" s="407"/>
      <c r="D7" s="407"/>
      <c r="E7" s="144" t="s">
        <v>62</v>
      </c>
      <c r="F7" s="408"/>
      <c r="G7" s="408"/>
      <c r="H7" s="141"/>
      <c r="I7" s="141"/>
      <c r="J7" s="141"/>
      <c r="K7" s="30"/>
      <c r="L7" s="145"/>
    </row>
    <row r="8" spans="2:13" ht="30" customHeight="1" thickBot="1">
      <c r="B8" s="146"/>
      <c r="C8" s="147"/>
      <c r="D8" s="148"/>
      <c r="E8" s="148"/>
      <c r="F8" s="30"/>
      <c r="G8" s="30"/>
      <c r="H8" s="149"/>
      <c r="I8" s="149"/>
      <c r="J8" s="149"/>
      <c r="K8" s="30"/>
      <c r="L8" s="145"/>
    </row>
    <row r="9" spans="2:13" ht="30" customHeight="1" thickBot="1">
      <c r="B9" s="67" t="s">
        <v>9</v>
      </c>
      <c r="C9" s="190" t="s">
        <v>63</v>
      </c>
      <c r="D9" s="190" t="s">
        <v>64</v>
      </c>
      <c r="E9" s="190" t="s">
        <v>65</v>
      </c>
      <c r="F9" s="190" t="s">
        <v>66</v>
      </c>
      <c r="G9" s="190" t="s">
        <v>67</v>
      </c>
      <c r="H9" s="319" t="s">
        <v>68</v>
      </c>
      <c r="I9" s="319"/>
      <c r="J9" s="319"/>
      <c r="K9" s="319"/>
      <c r="L9" s="191" t="s">
        <v>98</v>
      </c>
    </row>
    <row r="10" spans="2:13" ht="30" customHeight="1">
      <c r="B10" s="404" t="s">
        <v>88</v>
      </c>
      <c r="C10" s="405" t="s">
        <v>89</v>
      </c>
      <c r="D10" s="231" t="s">
        <v>127</v>
      </c>
      <c r="E10" s="218"/>
      <c r="F10" s="219" t="str">
        <f>IF(D10="","","kW")</f>
        <v>kW</v>
      </c>
      <c r="G10" s="220">
        <f>IF(D10="","",IFERROR(INDEX('[4]INFO-Consumo'!$F$9:$F$95,
       MATCH(D10, '[4]INFO-Consumo'!$D$9:$D$95, 0)),""))</f>
        <v>1</v>
      </c>
      <c r="H10" s="401"/>
      <c r="I10" s="402"/>
      <c r="J10" s="402"/>
      <c r="K10" s="403"/>
      <c r="L10" s="400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0.30316793172398854</v>
      </c>
    </row>
    <row r="11" spans="2:13" ht="30" customHeight="1">
      <c r="B11" s="392"/>
      <c r="C11" s="393"/>
      <c r="D11" s="221" t="str">
        <f>IF(D10="", "Seleccionar Maquinaria ↑", "Carga Promedio de Uso de " &amp; D10)</f>
        <v>Carga Promedio de Uso de PD52 POACHER</v>
      </c>
      <c r="E11" s="222"/>
      <c r="F11" s="223" t="str">
        <f>IF(ISERROR(FIND("Seleccionar", D11)), "%", "")</f>
        <v>%</v>
      </c>
      <c r="G11" s="289">
        <f>IF(D10="","",IFERROR(
    INDEX('[4]INFO-Consumo'!I:I,
           MATCH(D10, '[4]INFO-Consumo'!D:D, 0)
    ),
""))</f>
        <v>0.6</v>
      </c>
      <c r="H11" s="384"/>
      <c r="I11" s="384"/>
      <c r="J11" s="384"/>
      <c r="K11" s="384"/>
      <c r="L11" s="399"/>
    </row>
    <row r="12" spans="2:13" ht="30" customHeight="1">
      <c r="B12" s="392"/>
      <c r="C12" s="393"/>
      <c r="D12" s="232" t="s">
        <v>173</v>
      </c>
      <c r="E12" s="222"/>
      <c r="F12" s="223" t="str">
        <f>IF(D12="","","kW")</f>
        <v>kW</v>
      </c>
      <c r="G12" s="224">
        <f>IFERROR(INDEX('[4]INFO-Ponderacion'!$S$9:$S$13,
       MATCH(D12,'[4]INFO-Ponderacion'!$C$9:$C$13, 0)),"")</f>
        <v>2.4095999999999997</v>
      </c>
      <c r="H12" s="286"/>
      <c r="I12" s="287"/>
      <c r="J12" s="287"/>
      <c r="K12" s="288"/>
      <c r="L12" s="399"/>
    </row>
    <row r="13" spans="2:13" ht="30" customHeight="1">
      <c r="B13" s="392"/>
      <c r="C13" s="393"/>
      <c r="D13" s="221" t="str">
        <f>IF(D12="", "Seleccionar Area ↑", "Tarifa Electrica ")</f>
        <v xml:space="preserve">Tarifa Electrica </v>
      </c>
      <c r="E13" s="222"/>
      <c r="F13" s="223" t="str">
        <f>IF(D12="","","$/kWh")</f>
        <v>$/kWh</v>
      </c>
      <c r="G13" s="228">
        <f>IF(D12="","",'INFO-Direc'!$G$9)</f>
        <v>5.2613958629577628E-2</v>
      </c>
      <c r="H13" s="384"/>
      <c r="I13" s="384"/>
      <c r="J13" s="384"/>
      <c r="K13" s="384"/>
      <c r="L13" s="399"/>
    </row>
    <row r="14" spans="2:13" ht="30" customHeight="1">
      <c r="B14" s="392"/>
      <c r="C14" s="393"/>
      <c r="D14" s="229" t="str">
        <f>IF(D12="", "Seleccionar Area ↑", "Costo Electrico Fijo de " &amp; D12)</f>
        <v>Costo Electrico Fijo de Ensamble</v>
      </c>
      <c r="E14" s="222"/>
      <c r="F14" s="223" t="str">
        <f>IF(D12="","","$/h")</f>
        <v>$/h</v>
      </c>
      <c r="G14" s="290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0.14482096183241172</v>
      </c>
      <c r="H14" s="385"/>
      <c r="I14" s="386"/>
      <c r="J14" s="386"/>
      <c r="K14" s="387"/>
      <c r="L14" s="399"/>
    </row>
    <row r="15" spans="2:13" ht="30" customHeight="1">
      <c r="B15" s="389"/>
      <c r="C15" s="391"/>
      <c r="D15" s="229" t="s">
        <v>85</v>
      </c>
      <c r="E15" s="230"/>
      <c r="F15" s="223" t="str">
        <f>IF(D12="","","$/h")</f>
        <v>$/h</v>
      </c>
      <c r="G15" s="233"/>
      <c r="H15" s="385"/>
      <c r="I15" s="386"/>
      <c r="J15" s="386"/>
      <c r="K15" s="387"/>
      <c r="L15" s="398"/>
    </row>
    <row r="16" spans="2:13" ht="30" customHeight="1">
      <c r="B16" s="388" t="s">
        <v>90</v>
      </c>
      <c r="C16" s="394" t="s">
        <v>89</v>
      </c>
      <c r="D16" s="232"/>
      <c r="E16" s="222"/>
      <c r="F16" s="223" t="str">
        <f>IF(D16="","","$/L")</f>
        <v/>
      </c>
      <c r="G16" s="228" t="str">
        <f>IFERROR(INDEX('INFO-Direc'!$G$9:$G$25,
       MATCH(D16, 'INFO-Direc'!$D$9:$D$25, 0)),"")</f>
        <v/>
      </c>
      <c r="H16" s="384"/>
      <c r="I16" s="384"/>
      <c r="J16" s="384"/>
      <c r="K16" s="384"/>
      <c r="L16" s="397" t="str">
        <f>IF(AND(D16="", D18=""), "",
    IFERROR(
        IFERROR(G16*G17,0)
        + IFERROR(G18*G19,0)
        + IFERROR(G20,0),
    "")
)</f>
        <v/>
      </c>
    </row>
    <row r="17" spans="2:12" ht="30" customHeight="1">
      <c r="B17" s="392"/>
      <c r="C17" s="395"/>
      <c r="D17" s="221" t="str">
        <f>IF(D16="", "Seleccionar Lubricante ↑", "Consumo de " &amp; D16)</f>
        <v>Seleccionar Lubricante ↑</v>
      </c>
      <c r="E17" s="222"/>
      <c r="F17" s="223" t="str">
        <f>IF(ISERROR(FIND("Seleccionar", D17)), "L/h", "")</f>
        <v/>
      </c>
      <c r="G17" s="234"/>
      <c r="H17" s="384"/>
      <c r="I17" s="384"/>
      <c r="J17" s="384"/>
      <c r="K17" s="384"/>
      <c r="L17" s="399"/>
    </row>
    <row r="18" spans="2:12" ht="30" customHeight="1">
      <c r="B18" s="392"/>
      <c r="C18" s="395"/>
      <c r="D18" s="232"/>
      <c r="E18" s="222"/>
      <c r="F18" s="223" t="str">
        <f>IF(D18="","","$/L")</f>
        <v/>
      </c>
      <c r="G18" s="228" t="str">
        <f>IFERROR(INDEX('INFO-Direc'!$G$9:$G$25,
       MATCH(D18, 'INFO-Direc'!$D$9:$D$25, 0)),"")</f>
        <v/>
      </c>
      <c r="H18" s="385"/>
      <c r="I18" s="386"/>
      <c r="J18" s="386"/>
      <c r="K18" s="387"/>
      <c r="L18" s="399"/>
    </row>
    <row r="19" spans="2:12" ht="30" customHeight="1">
      <c r="B19" s="392"/>
      <c r="C19" s="395"/>
      <c r="D19" s="221" t="str">
        <f>IF(D18="", "Seleccionar Lubricante ↑", "Consumo de " &amp; D18)</f>
        <v>Seleccionar Lubricante ↑</v>
      </c>
      <c r="E19" s="222"/>
      <c r="F19" s="223" t="str">
        <f>IF(ISERROR(FIND("Seleccionar", D19)), "L/h", "")</f>
        <v/>
      </c>
      <c r="G19" s="234"/>
      <c r="H19" s="385"/>
      <c r="I19" s="386"/>
      <c r="J19" s="386"/>
      <c r="K19" s="387"/>
      <c r="L19" s="399"/>
    </row>
    <row r="20" spans="2:12" ht="30" customHeight="1">
      <c r="B20" s="389"/>
      <c r="C20" s="396"/>
      <c r="D20" s="221" t="s">
        <v>85</v>
      </c>
      <c r="E20" s="222"/>
      <c r="F20" s="223" t="str">
        <f>IF(OR(D16&lt;&gt;"", D18&lt;&gt;""), "$/h", "")</f>
        <v/>
      </c>
      <c r="G20" s="233"/>
      <c r="H20" s="384"/>
      <c r="I20" s="384"/>
      <c r="J20" s="384"/>
      <c r="K20" s="384"/>
      <c r="L20" s="398"/>
    </row>
    <row r="21" spans="2:12" ht="30" customHeight="1">
      <c r="B21" s="388" t="s">
        <v>92</v>
      </c>
      <c r="C21" s="390" t="s">
        <v>89</v>
      </c>
      <c r="D21" s="232"/>
      <c r="E21" s="222"/>
      <c r="F21" s="223" t="str">
        <f>IF(D21="","","kW")</f>
        <v/>
      </c>
      <c r="G21" s="228" t="str">
        <f>IFERROR(INDEX('INFO-Direc'!$G$9:$G$25,
       MATCH(D21, 'INFO-Direc'!$D$9:$D$25, 0)),"")</f>
        <v/>
      </c>
      <c r="H21" s="385"/>
      <c r="I21" s="386"/>
      <c r="J21" s="386"/>
      <c r="K21" s="387"/>
      <c r="L21" s="397" t="str">
        <f>IFERROR(G21*G13*G22+G23+G24,"")</f>
        <v/>
      </c>
    </row>
    <row r="22" spans="2:12" ht="30" customHeight="1">
      <c r="B22" s="392"/>
      <c r="C22" s="393"/>
      <c r="D22" s="221" t="str">
        <f>IF(D21="", "Seleccionar Compresor ↑", "Carga Promedio de Uso de " &amp; D21)</f>
        <v>Seleccionar Compresor ↑</v>
      </c>
      <c r="E22" s="222"/>
      <c r="F22" s="223" t="str">
        <f>IF(ISERROR(FIND("Seleccionar", D22)), "%", "")</f>
        <v/>
      </c>
      <c r="G22" s="289" t="str">
        <f>IF(D21="","",IFERROR(
    INDEX('[4]INFO-Consumo'!I:I,
           MATCH(D21, '[4]INFO-Consumo'!D:D, 0)
    ),
""))</f>
        <v/>
      </c>
      <c r="H22" s="384"/>
      <c r="I22" s="384"/>
      <c r="J22" s="384"/>
      <c r="K22" s="384"/>
      <c r="L22" s="399"/>
    </row>
    <row r="23" spans="2:12" ht="30" customHeight="1">
      <c r="B23" s="392"/>
      <c r="C23" s="393"/>
      <c r="D23" s="235" t="str">
        <f>IF(D21="", "Seleccionar Compresor ↑", "Costo de Repuestos " &amp; D21)</f>
        <v>Seleccionar Compresor ↑</v>
      </c>
      <c r="E23" s="222"/>
      <c r="F23" s="223" t="str">
        <f>IF(ISERROR(FIND("Seleccionar", D23)), "$/h", "")</f>
        <v/>
      </c>
      <c r="G23" s="236" t="str">
        <f>IF(D21="","", SUM(IF(ISNUMBER(FIND("Compresor", 'INFO-Mant'!D9:D26)), 'INFO-Mant'!G9:G26 / 'INFO-Mant'!H9:H26, 0)))</f>
        <v/>
      </c>
      <c r="H23" s="385"/>
      <c r="I23" s="386"/>
      <c r="J23" s="386"/>
      <c r="K23" s="387"/>
      <c r="L23" s="399"/>
    </row>
    <row r="24" spans="2:12" ht="30" customHeight="1">
      <c r="B24" s="389"/>
      <c r="C24" s="391"/>
      <c r="D24" s="221" t="s">
        <v>85</v>
      </c>
      <c r="E24" s="222"/>
      <c r="F24" s="223" t="str">
        <f>IF(D21="","","$/h")</f>
        <v/>
      </c>
      <c r="G24" s="233"/>
      <c r="H24" s="384"/>
      <c r="I24" s="384"/>
      <c r="J24" s="384"/>
      <c r="K24" s="384"/>
      <c r="L24" s="398"/>
    </row>
    <row r="25" spans="2:12" ht="30" customHeight="1">
      <c r="B25" s="388" t="s">
        <v>94</v>
      </c>
      <c r="C25" s="390" t="s">
        <v>89</v>
      </c>
      <c r="D25" s="232"/>
      <c r="E25" s="222"/>
      <c r="F25" s="223" t="str">
        <f>IF(D25="","","$/L")</f>
        <v/>
      </c>
      <c r="G25" s="228" t="str">
        <f>IFERROR(INDEX('INFO-Direc'!$G$9:$G$25,
       MATCH(D25, 'INFO-Direc'!$D$9:$D$25, 0)),"")</f>
        <v/>
      </c>
      <c r="H25" s="384"/>
      <c r="I25" s="384"/>
      <c r="J25" s="384"/>
      <c r="K25" s="384"/>
      <c r="L25" s="381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92"/>
      <c r="C26" s="393"/>
      <c r="D26" s="221" t="str">
        <f>IF(D25="", "Seleccionar Refrigerante ↑", "Consumo de " &amp; D25)</f>
        <v>Seleccionar Refrigerante ↑</v>
      </c>
      <c r="E26" s="222"/>
      <c r="F26" s="223" t="str">
        <f>IF(ISERROR(FIND("Seleccionar", D26)), "L/Año", "")</f>
        <v/>
      </c>
      <c r="G26" s="238"/>
      <c r="H26" s="384"/>
      <c r="I26" s="384"/>
      <c r="J26" s="384"/>
      <c r="K26" s="384"/>
      <c r="L26" s="382"/>
    </row>
    <row r="27" spans="2:12" ht="30" customHeight="1">
      <c r="B27" s="392"/>
      <c r="C27" s="393"/>
      <c r="D27" s="232"/>
      <c r="E27" s="222"/>
      <c r="F27" s="223" t="str">
        <f>IF(D27="","","$/L")</f>
        <v/>
      </c>
      <c r="G27" s="228" t="str">
        <f>IFERROR(INDEX('INFO-Direc'!$G$9:$G$25,
       MATCH(D27, 'INFO-Direc'!$D$9:$D$25, 0)),"")</f>
        <v/>
      </c>
      <c r="H27" s="385"/>
      <c r="I27" s="386"/>
      <c r="J27" s="386"/>
      <c r="K27" s="387"/>
      <c r="L27" s="382"/>
    </row>
    <row r="28" spans="2:12" ht="30" customHeight="1">
      <c r="B28" s="392"/>
      <c r="C28" s="393"/>
      <c r="D28" s="221" t="str">
        <f>IF(D27="", "Seleccionar Refrigerante ↑", "Consumo de " &amp; D27)</f>
        <v>Seleccionar Refrigerante ↑</v>
      </c>
      <c r="E28" s="222"/>
      <c r="F28" s="223" t="str">
        <f>IF(ISERROR(FIND("Seleccionar", D28)), "L/Año", "")</f>
        <v/>
      </c>
      <c r="G28" s="239"/>
      <c r="H28" s="385"/>
      <c r="I28" s="386"/>
      <c r="J28" s="386"/>
      <c r="K28" s="387"/>
      <c r="L28" s="382"/>
    </row>
    <row r="29" spans="2:12" ht="30" customHeight="1">
      <c r="B29" s="389"/>
      <c r="C29" s="391"/>
      <c r="D29" s="221" t="s">
        <v>85</v>
      </c>
      <c r="E29" s="222"/>
      <c r="F29" s="223" t="str">
        <f>IF(OR(D25&lt;&gt;"", D27&lt;&gt;""), "$/h", "")</f>
        <v/>
      </c>
      <c r="G29" s="233"/>
      <c r="H29" s="384"/>
      <c r="I29" s="384"/>
      <c r="J29" s="384"/>
      <c r="K29" s="384"/>
      <c r="L29" s="383"/>
    </row>
    <row r="30" spans="2:12" s="152" customFormat="1" ht="30" customHeight="1">
      <c r="B30" s="388" t="s">
        <v>168</v>
      </c>
      <c r="C30" s="394" t="s">
        <v>89</v>
      </c>
      <c r="D30" s="232"/>
      <c r="E30" s="222"/>
      <c r="F30" s="223" t="str">
        <f>IF(D30="","","$/L")</f>
        <v/>
      </c>
      <c r="G30" s="228" t="str">
        <f>IFERROR(INDEX('INFO-Direc'!$G$9:$G$25,
       MATCH(D30, 'INFO-Direc'!$D$9:$D$25, 0)),"")</f>
        <v/>
      </c>
      <c r="H30" s="384"/>
      <c r="I30" s="384"/>
      <c r="J30" s="384"/>
      <c r="K30" s="384"/>
      <c r="L30" s="381" t="str">
        <f>IF(
    AND(D30="", D32=""),
    "",
    IFERROR(
        IFERROR(G30 / (INDEX('INFO-OEE'!$E$18:$CA$18,
                               MATCH(#REF!, 'INFO-OEE'!$E$9:$CA$9, 0)) * 12), 0)
        * G31
        +
        IFERROR(G32 / (INDEX('INFO-OEE'!$E$18:$CA$18,
                               MATCH(#REF!, 'INFO-OEE'!$E$9:$CA$9, 0)) * 12), 0)
        * G33
        +
        IFERROR(G34, 0),
    "")
)</f>
        <v/>
      </c>
    </row>
    <row r="31" spans="2:12" s="152" customFormat="1" ht="30" customHeight="1">
      <c r="B31" s="392"/>
      <c r="C31" s="395"/>
      <c r="D31" s="221" t="str">
        <f>IF(D30="", "Seleccionar Solvente ↑", "Consumo de " &amp; D30)</f>
        <v>Seleccionar Solvente ↑</v>
      </c>
      <c r="E31" s="222"/>
      <c r="F31" s="223" t="str">
        <f>IF(ISERROR(FIND("Seleccionar", D31)), "L/Año", "")</f>
        <v/>
      </c>
      <c r="G31" s="234"/>
      <c r="H31" s="384"/>
      <c r="I31" s="384"/>
      <c r="J31" s="384"/>
      <c r="K31" s="384"/>
      <c r="L31" s="382"/>
    </row>
    <row r="32" spans="2:12" s="152" customFormat="1" ht="30" customHeight="1">
      <c r="B32" s="392"/>
      <c r="C32" s="395"/>
      <c r="D32" s="232"/>
      <c r="E32" s="222"/>
      <c r="F32" s="223" t="str">
        <f>IF(D32="","","$/L")</f>
        <v/>
      </c>
      <c r="G32" s="228" t="str">
        <f>IFERROR(INDEX('INFO-Direc'!$G$9:$G$25,
       MATCH(D32, 'INFO-Direc'!$D$9:$D$25, 0)),"")</f>
        <v/>
      </c>
      <c r="H32" s="385"/>
      <c r="I32" s="386"/>
      <c r="J32" s="386"/>
      <c r="K32" s="387"/>
      <c r="L32" s="382"/>
    </row>
    <row r="33" spans="2:12" s="152" customFormat="1" ht="30" customHeight="1">
      <c r="B33" s="392"/>
      <c r="C33" s="395"/>
      <c r="D33" s="221" t="str">
        <f>IF(D32="", "Seleccionar Solvente ↑", "Consumo de " &amp; D32)</f>
        <v>Seleccionar Solvente ↑</v>
      </c>
      <c r="E33" s="222"/>
      <c r="F33" s="223" t="str">
        <f>IF(ISERROR(FIND("Seleccionar", D33)), "L/Año", "")</f>
        <v/>
      </c>
      <c r="G33" s="234"/>
      <c r="H33" s="385"/>
      <c r="I33" s="386"/>
      <c r="J33" s="386"/>
      <c r="K33" s="387"/>
      <c r="L33" s="382"/>
    </row>
    <row r="34" spans="2:12" s="152" customFormat="1" ht="30" customHeight="1">
      <c r="B34" s="389"/>
      <c r="C34" s="396"/>
      <c r="D34" s="221" t="s">
        <v>85</v>
      </c>
      <c r="E34" s="222"/>
      <c r="F34" s="223" t="str">
        <f>IF(OR(D30&lt;&gt;"", D32&lt;&gt;""), "$/h", "")</f>
        <v/>
      </c>
      <c r="G34" s="233"/>
      <c r="H34" s="384"/>
      <c r="I34" s="384"/>
      <c r="J34" s="384"/>
      <c r="K34" s="384"/>
      <c r="L34" s="383"/>
    </row>
    <row r="35" spans="2:12" ht="30" customHeight="1">
      <c r="B35" s="388" t="s">
        <v>100</v>
      </c>
      <c r="C35" s="390" t="s">
        <v>89</v>
      </c>
      <c r="D35" s="221" t="str">
        <f>IF(D12="", "Seleccionar Area ↑", "Costo de Operarios")</f>
        <v>Costo de Operarios</v>
      </c>
      <c r="E35" s="222"/>
      <c r="F35" s="223" t="str">
        <f>IF(D12="","","$/mes")</f>
        <v>$/mes</v>
      </c>
      <c r="G35" s="237">
        <f>IF(D12="","",IFERROR(
    INDEX('INFO-Personal'!$E$26:$CA$26,
           MATCH($C$3, 'INFO-Personal'!$E$9:$CA$9, 0)
    ),
""))</f>
        <v>631.29763832752622</v>
      </c>
      <c r="H35" s="384"/>
      <c r="I35" s="384"/>
      <c r="J35" s="384"/>
      <c r="K35" s="384"/>
      <c r="L35" s="397">
        <f>IFERROR(
    (G35 / INDEX('INFO-OEE'!$E$18:$CA$18,
                  MATCH($C$3, 'INFO-OEE'!$E$9:$CA$9, 0)))
    + G36,
"")</f>
        <v>4.4836479994852709</v>
      </c>
    </row>
    <row r="36" spans="2:12" ht="30" customHeight="1">
      <c r="B36" s="389"/>
      <c r="C36" s="391"/>
      <c r="D36" s="221" t="s">
        <v>85</v>
      </c>
      <c r="E36" s="222"/>
      <c r="F36" s="223" t="str">
        <f>IF(D12="","","$/h")</f>
        <v>$/h</v>
      </c>
      <c r="G36" s="240"/>
      <c r="H36" s="384"/>
      <c r="I36" s="384"/>
      <c r="J36" s="384"/>
      <c r="K36" s="384"/>
      <c r="L36" s="398"/>
    </row>
    <row r="37" spans="2:12" ht="30" customHeight="1">
      <c r="B37" s="241"/>
      <c r="C37" s="242"/>
      <c r="D37" s="243"/>
      <c r="E37" s="242"/>
      <c r="F37" s="244"/>
      <c r="G37" s="245"/>
      <c r="H37" s="409"/>
      <c r="I37" s="409"/>
      <c r="J37" s="409"/>
      <c r="K37" s="409"/>
      <c r="L37" s="246"/>
    </row>
    <row r="38" spans="2:12" ht="30" customHeight="1">
      <c r="B38" s="388" t="s">
        <v>16</v>
      </c>
      <c r="C38" s="390" t="s">
        <v>69</v>
      </c>
      <c r="D38" s="221" t="str">
        <f>IF(D12="", "Seleccionar Area ↑", "Costo de Supervisores")</f>
        <v>Costo de Supervisores</v>
      </c>
      <c r="E38" s="222"/>
      <c r="F38" s="247" t="str">
        <f>IF(D12="","","$/mes")</f>
        <v>$/mes</v>
      </c>
      <c r="G38" s="237">
        <f>IF(D12="","",IFERROR(
    INDEX('INFO-Personal'!$E$27:$CA$27,
           MATCH($C$3, 'INFO-Personal'!$E$9:$CA$9, 0)
    ),
""))</f>
        <v>51.241933194853928</v>
      </c>
      <c r="H38" s="385"/>
      <c r="I38" s="386"/>
      <c r="J38" s="386"/>
      <c r="K38" s="387"/>
      <c r="L38" s="397">
        <f>IFERROR(
    (G38 / INDEX('INFO-OEE'!$E$18:$CA$18,
                  MATCH($C$3, 'INFO-OEE'!$E$9:$CA$9, 0)))
    + G39,
"")</f>
        <v>0.36393418462254207</v>
      </c>
    </row>
    <row r="39" spans="2:12" ht="30" customHeight="1">
      <c r="B39" s="392"/>
      <c r="C39" s="393"/>
      <c r="D39" s="221" t="s">
        <v>85</v>
      </c>
      <c r="E39" s="222"/>
      <c r="F39" s="223" t="str">
        <f>IF(D12="","","$/h")</f>
        <v>$/h</v>
      </c>
      <c r="G39" s="240"/>
      <c r="H39" s="385"/>
      <c r="I39" s="386"/>
      <c r="J39" s="386"/>
      <c r="K39" s="387"/>
      <c r="L39" s="399"/>
    </row>
    <row r="40" spans="2:12" ht="30" customHeight="1">
      <c r="B40" s="388" t="s">
        <v>101</v>
      </c>
      <c r="C40" s="390" t="s">
        <v>69</v>
      </c>
      <c r="D40" s="221" t="str">
        <f>IF(D12="", "Seleccionar Area ↑", "Costo de Mant. Preventivo")</f>
        <v>Costo de Mant. Preventivo</v>
      </c>
      <c r="E40" s="222"/>
      <c r="F40" s="247" t="str">
        <f>IF(D12="","","$/mes")</f>
        <v>$/mes</v>
      </c>
      <c r="G40" s="237">
        <f>IF(D12="","",IFERROR(
    INDEX('INFO-Personal'!$E$28:$CA$28,
           MATCH($C$3, 'INFO-Personal'!$E$9:$CA$9, 0)
    ),
""))</f>
        <v>3.4161288796569287</v>
      </c>
      <c r="H40" s="385"/>
      <c r="I40" s="386"/>
      <c r="J40" s="386"/>
      <c r="K40" s="387"/>
      <c r="L40" s="397">
        <f>IF(D12="","",SUM(
    IFERROR((G40+G41) / INDEX('INFO-OEE'!$E$18:$CA$18, MATCH(C3, 'INFO-OEE'!$E$9:$CA$9, 0)), 0),
    IFERROR(G42 / G43, 0),
    IFERROR(G44 / G45, 0),
    IFERROR(G46 / G47, 0),
    IFERROR(G48, 0)
))</f>
        <v>0.27449741271484929</v>
      </c>
    </row>
    <row r="41" spans="2:12" ht="30" customHeight="1">
      <c r="B41" s="392"/>
      <c r="C41" s="393"/>
      <c r="D41" s="221" t="str">
        <f>IF(D12="", "Seleccionar Area ↑", "Costo de Mant. Correctivo")</f>
        <v>Costo de Mant. Correctivo</v>
      </c>
      <c r="E41" s="222"/>
      <c r="F41" s="247" t="str">
        <f>IF(D12="","","$/mes")</f>
        <v>$/mes</v>
      </c>
      <c r="G41" s="237">
        <f>IF(D12="","",IFERROR(
    INDEX('INFO-Personal'!$E$29:$CA$29,
           MATCH($C$3, 'INFO-Personal'!$E$9:$CA$9, 0)
    ),
""))</f>
        <v>35.233106830593854</v>
      </c>
      <c r="H41" s="385"/>
      <c r="I41" s="386"/>
      <c r="J41" s="386"/>
      <c r="K41" s="387"/>
      <c r="L41" s="399"/>
    </row>
    <row r="42" spans="2:12" ht="30" customHeight="1">
      <c r="B42" s="392"/>
      <c r="C42" s="393"/>
      <c r="D42" s="232"/>
      <c r="E42" s="222"/>
      <c r="F42" s="223" t="str">
        <f>IF(D42="","","$/u")</f>
        <v/>
      </c>
      <c r="G42" s="237" t="str">
        <f>IFERROR(INDEX('INFO-Mant'!$G$9:$G$26,
       MATCH(D42, 'INFO-Mant'!$D$9:$D$26, 0)),"")</f>
        <v/>
      </c>
      <c r="H42" s="385"/>
      <c r="I42" s="386"/>
      <c r="J42" s="386"/>
      <c r="K42" s="387"/>
      <c r="L42" s="399"/>
    </row>
    <row r="43" spans="2:12" ht="30" customHeight="1">
      <c r="B43" s="392"/>
      <c r="C43" s="393"/>
      <c r="D43" s="221" t="str">
        <f>IF(D42="", "Seleccionar Repuesto ↑", "Vida Util de " &amp; D42)</f>
        <v>Seleccionar Repuesto ↑</v>
      </c>
      <c r="E43" s="222"/>
      <c r="F43" s="223" t="str">
        <f>IF(ISERROR(FIND("Seleccionar", D43)), "Horas/u", "")</f>
        <v/>
      </c>
      <c r="G43" s="238"/>
      <c r="H43" s="385"/>
      <c r="I43" s="386"/>
      <c r="J43" s="386"/>
      <c r="K43" s="387"/>
      <c r="L43" s="399"/>
    </row>
    <row r="44" spans="2:12" ht="30" customHeight="1">
      <c r="B44" s="392"/>
      <c r="C44" s="393"/>
      <c r="D44" s="232"/>
      <c r="E44" s="222"/>
      <c r="F44" s="223" t="str">
        <f>IF(D44="","","$/u")</f>
        <v/>
      </c>
      <c r="G44" s="237" t="str">
        <f>IFERROR(INDEX('INFO-Mant'!$G$9:$G$26,
       MATCH(D44, 'INFO-Mant'!$D$9:$D$26, 0)),"")</f>
        <v/>
      </c>
      <c r="H44" s="385"/>
      <c r="I44" s="386"/>
      <c r="J44" s="386"/>
      <c r="K44" s="387"/>
      <c r="L44" s="399"/>
    </row>
    <row r="45" spans="2:12" ht="30" customHeight="1">
      <c r="B45" s="392"/>
      <c r="C45" s="393"/>
      <c r="D45" s="221" t="str">
        <f>IF(D44="", "Seleccionar Repuesto ↑", "Vida Util de " &amp; D44)</f>
        <v>Seleccionar Repuesto ↑</v>
      </c>
      <c r="E45" s="222"/>
      <c r="F45" s="223" t="str">
        <f>IF(ISERROR(FIND("Seleccionar", D45)), "Horas/u", "")</f>
        <v/>
      </c>
      <c r="G45" s="238"/>
      <c r="H45" s="385"/>
      <c r="I45" s="386"/>
      <c r="J45" s="386"/>
      <c r="K45" s="387"/>
      <c r="L45" s="399"/>
    </row>
    <row r="46" spans="2:12" ht="30" customHeight="1">
      <c r="B46" s="392"/>
      <c r="C46" s="393"/>
      <c r="D46" s="232"/>
      <c r="E46" s="222"/>
      <c r="F46" s="223" t="str">
        <f>IF(D46="","","$/u")</f>
        <v/>
      </c>
      <c r="G46" s="237" t="str">
        <f>IFERROR(INDEX('INFO-Mant'!$G$9:$G$26,
       MATCH(D46, 'INFO-Mant'!$D$9:$D$26, 0)),"")</f>
        <v/>
      </c>
      <c r="H46" s="385"/>
      <c r="I46" s="386"/>
      <c r="J46" s="386"/>
      <c r="K46" s="387"/>
      <c r="L46" s="399"/>
    </row>
    <row r="47" spans="2:12" ht="33" customHeight="1">
      <c r="B47" s="392"/>
      <c r="C47" s="393"/>
      <c r="D47" s="221" t="str">
        <f>IF(D46="", "Seleccionar Repuesto ↑", "Vida Util de " &amp; D46)</f>
        <v>Seleccionar Repuesto ↑</v>
      </c>
      <c r="E47" s="222"/>
      <c r="F47" s="223" t="str">
        <f>IF(ISERROR(FIND("Seleccionar", D47)), "Horas/u", "")</f>
        <v/>
      </c>
      <c r="G47" s="240"/>
      <c r="H47" s="385"/>
      <c r="I47" s="386"/>
      <c r="J47" s="386"/>
      <c r="K47" s="387"/>
      <c r="L47" s="399"/>
    </row>
    <row r="48" spans="2:12" ht="30" customHeight="1">
      <c r="B48" s="389"/>
      <c r="C48" s="391"/>
      <c r="D48" s="221" t="s">
        <v>85</v>
      </c>
      <c r="E48" s="222"/>
      <c r="F48" s="223" t="str">
        <f>IF(D12="","","$/h")</f>
        <v>$/h</v>
      </c>
      <c r="G48" s="240"/>
      <c r="H48" s="385"/>
      <c r="I48" s="386"/>
      <c r="J48" s="386"/>
      <c r="K48" s="387"/>
      <c r="L48" s="398"/>
    </row>
    <row r="49" spans="2:12" ht="30" customHeight="1">
      <c r="B49" s="248"/>
      <c r="C49" s="249"/>
      <c r="D49" s="250"/>
      <c r="E49" s="249"/>
      <c r="F49" s="251"/>
      <c r="G49" s="252"/>
      <c r="H49" s="249"/>
      <c r="I49" s="249"/>
      <c r="J49" s="249"/>
      <c r="K49" s="249"/>
      <c r="L49" s="253"/>
    </row>
    <row r="50" spans="2:12" ht="30" customHeight="1">
      <c r="B50" s="388" t="s">
        <v>102</v>
      </c>
      <c r="C50" s="394" t="s">
        <v>103</v>
      </c>
      <c r="D50" s="232"/>
      <c r="E50" s="222"/>
      <c r="F50" s="223" t="str">
        <f>IF(D50="","","$/h")</f>
        <v/>
      </c>
      <c r="G50" s="23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410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410"/>
      <c r="J50" s="410"/>
      <c r="K50" s="410"/>
      <c r="L50" s="255" t="str">
        <f ca="1">G50</f>
        <v/>
      </c>
    </row>
    <row r="51" spans="2:12" ht="30" customHeight="1">
      <c r="B51" s="392"/>
      <c r="C51" s="395"/>
      <c r="D51" s="232"/>
      <c r="E51" s="254"/>
      <c r="F51" s="223" t="str">
        <f>IF(D51="","","$/h")</f>
        <v/>
      </c>
      <c r="G51" s="23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410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410"/>
      <c r="J51" s="410"/>
      <c r="K51" s="410"/>
      <c r="L51" s="255" t="str">
        <f ca="1">G51</f>
        <v/>
      </c>
    </row>
    <row r="52" spans="2:12" ht="30" customHeight="1">
      <c r="B52" s="392"/>
      <c r="C52" s="395"/>
      <c r="D52" s="232"/>
      <c r="E52" s="222"/>
      <c r="F52" s="223" t="str">
        <f t="shared" ref="F52:F54" si="0">IF(D52="","","$/h")</f>
        <v/>
      </c>
      <c r="G52" s="23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410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410"/>
      <c r="J52" s="410"/>
      <c r="K52" s="410"/>
      <c r="L52" s="255" t="str">
        <f ca="1">G52</f>
        <v/>
      </c>
    </row>
    <row r="53" spans="2:12" ht="30" customHeight="1">
      <c r="B53" s="392"/>
      <c r="C53" s="395"/>
      <c r="D53" s="232"/>
      <c r="E53" s="222"/>
      <c r="F53" s="223" t="str">
        <f t="shared" si="0"/>
        <v/>
      </c>
      <c r="G53" s="23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410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410"/>
      <c r="J53" s="410"/>
      <c r="K53" s="410"/>
      <c r="L53" s="255" t="str">
        <f ca="1">G53</f>
        <v/>
      </c>
    </row>
    <row r="54" spans="2:12" ht="30" customHeight="1">
      <c r="B54" s="389"/>
      <c r="C54" s="396"/>
      <c r="D54" s="232"/>
      <c r="E54" s="222"/>
      <c r="F54" s="223" t="str">
        <f t="shared" si="0"/>
        <v/>
      </c>
      <c r="G54" s="23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410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410"/>
      <c r="J54" s="410"/>
      <c r="K54" s="410"/>
      <c r="L54" s="255" t="str">
        <f ca="1">G54</f>
        <v/>
      </c>
    </row>
    <row r="55" spans="2:12" ht="30" customHeight="1">
      <c r="B55" s="146"/>
      <c r="C55" s="147"/>
      <c r="D55" s="411"/>
      <c r="E55" s="411"/>
      <c r="F55" s="30"/>
      <c r="G55" s="30"/>
      <c r="H55" s="149"/>
      <c r="I55" s="149"/>
      <c r="J55" s="149"/>
      <c r="K55" s="30"/>
      <c r="L55" s="145"/>
    </row>
    <row r="56" spans="2:12" ht="30" customHeight="1" thickBot="1">
      <c r="B56" s="153" t="s">
        <v>39</v>
      </c>
      <c r="C56" s="330"/>
      <c r="D56" s="330"/>
      <c r="E56" s="154" t="s">
        <v>23</v>
      </c>
      <c r="F56" s="368"/>
      <c r="G56" s="368"/>
      <c r="H56" s="141"/>
      <c r="I56" s="141"/>
      <c r="J56" s="141"/>
      <c r="K56" s="256"/>
      <c r="L56" s="257"/>
    </row>
    <row r="57" spans="2:12" ht="30" customHeight="1" thickBot="1">
      <c r="B57" s="155"/>
      <c r="C57" s="156"/>
      <c r="D57" s="156"/>
      <c r="E57" s="156"/>
      <c r="F57" s="378"/>
      <c r="G57" s="378"/>
      <c r="H57" s="157"/>
      <c r="I57" s="157"/>
      <c r="J57" s="157"/>
      <c r="K57" s="258" t="s">
        <v>106</v>
      </c>
      <c r="L57" s="259">
        <f ca="1">IFERROR(SUM(L19:L54),"")</f>
        <v>5.1220795968226618</v>
      </c>
    </row>
    <row r="59" spans="2:12" ht="30" customHeight="1">
      <c r="C59" s="117"/>
    </row>
  </sheetData>
  <sheetProtection algorithmName="SHA-512" hashValue="HRoMYOJeC8i+ILghhEf4NT2ysGXPCeZhfBokKvL7lSmDLCTnT39q4uNDnAgS3Z4pv2gyWixd4rzAqzJqrfXk9A==" saltValue="t5Dc2QD8y7x1MRtI5cH2OQ==" spinCount="100000" sheet="1" objects="1" scenarios="1" selectLockedCells="1"/>
  <mergeCells count="80">
    <mergeCell ref="D55:E55"/>
    <mergeCell ref="C56:D56"/>
    <mergeCell ref="F56:G56"/>
    <mergeCell ref="F57:G57"/>
    <mergeCell ref="B50:B54"/>
    <mergeCell ref="C50:C54"/>
    <mergeCell ref="H50:K50"/>
    <mergeCell ref="H51:K51"/>
    <mergeCell ref="H52:K52"/>
    <mergeCell ref="H53:K53"/>
    <mergeCell ref="H54:K54"/>
    <mergeCell ref="L38:L39"/>
    <mergeCell ref="B40:B48"/>
    <mergeCell ref="C40:C48"/>
    <mergeCell ref="L40:L48"/>
    <mergeCell ref="H44:K44"/>
    <mergeCell ref="H45:K45"/>
    <mergeCell ref="H46:K46"/>
    <mergeCell ref="H47:K47"/>
    <mergeCell ref="H48:K48"/>
    <mergeCell ref="H39:K39"/>
    <mergeCell ref="H40:K40"/>
    <mergeCell ref="H41:K41"/>
    <mergeCell ref="H42:K42"/>
    <mergeCell ref="H43:K43"/>
    <mergeCell ref="B38:B39"/>
    <mergeCell ref="C38:C39"/>
    <mergeCell ref="B10:B15"/>
    <mergeCell ref="C10:C15"/>
    <mergeCell ref="B16:B20"/>
    <mergeCell ref="C16:C20"/>
    <mergeCell ref="B21:B24"/>
    <mergeCell ref="C21:C24"/>
    <mergeCell ref="H38:K38"/>
    <mergeCell ref="H34:K34"/>
    <mergeCell ref="H35:K35"/>
    <mergeCell ref="H36:K36"/>
    <mergeCell ref="H37:K37"/>
    <mergeCell ref="B35:B36"/>
    <mergeCell ref="C35:C36"/>
    <mergeCell ref="L35:L36"/>
    <mergeCell ref="H30:K30"/>
    <mergeCell ref="H31:K31"/>
    <mergeCell ref="H32:K32"/>
    <mergeCell ref="H33:K33"/>
    <mergeCell ref="B30:B34"/>
    <mergeCell ref="C30:C34"/>
    <mergeCell ref="L30:L34"/>
    <mergeCell ref="B25:B29"/>
    <mergeCell ref="C25:C29"/>
    <mergeCell ref="L25:L29"/>
    <mergeCell ref="H23:K23"/>
    <mergeCell ref="H24:K24"/>
    <mergeCell ref="H25:K25"/>
    <mergeCell ref="L21:L24"/>
    <mergeCell ref="H29:K29"/>
    <mergeCell ref="H26:K26"/>
    <mergeCell ref="H27:K27"/>
    <mergeCell ref="H28:K28"/>
    <mergeCell ref="H20:K20"/>
    <mergeCell ref="H21:K21"/>
    <mergeCell ref="H22:K22"/>
    <mergeCell ref="L16:L20"/>
    <mergeCell ref="H16:K16"/>
    <mergeCell ref="H17:K17"/>
    <mergeCell ref="H18:K18"/>
    <mergeCell ref="H19:K19"/>
    <mergeCell ref="H13:K13"/>
    <mergeCell ref="H15:K15"/>
    <mergeCell ref="L10:L15"/>
    <mergeCell ref="H9:K9"/>
    <mergeCell ref="H10:K10"/>
    <mergeCell ref="H11:K11"/>
    <mergeCell ref="H14:K14"/>
    <mergeCell ref="C3:D3"/>
    <mergeCell ref="F3:G3"/>
    <mergeCell ref="C6:D6"/>
    <mergeCell ref="F6:G6"/>
    <mergeCell ref="C7:D7"/>
    <mergeCell ref="F7:G7"/>
  </mergeCells>
  <dataValidations count="9">
    <dataValidation allowBlank="1" showInputMessage="1" showErrorMessage="1" prompt="Escriba comentarios en las celdas de la derecha." sqref="C59"/>
    <dataValidation type="list" allowBlank="1" showInputMessage="1" showErrorMessage="1" sqref="D51:D54">
      <formula1>Herramientas_Ensamble</formula1>
    </dataValidation>
    <dataValidation type="list" allowBlank="1" showInputMessage="1" showErrorMessage="1" sqref="D12">
      <formula1>Areas_Ensamble</formula1>
    </dataValidation>
    <dataValidation type="list" allowBlank="1" showInputMessage="1" showErrorMessage="1" sqref="D16 D18">
      <formula1>Lubricantes_Ensamble</formula1>
    </dataValidation>
    <dataValidation type="list" allowBlank="1" showInputMessage="1" showErrorMessage="1" sqref="D21">
      <formula1>AireComprimido_Ensamble</formula1>
    </dataValidation>
    <dataValidation type="list" allowBlank="1" showInputMessage="1" showErrorMessage="1" sqref="D25 D27">
      <formula1>Refrigerantes_Ensamble</formula1>
    </dataValidation>
    <dataValidation type="list" allowBlank="1" showInputMessage="1" showErrorMessage="1" sqref="D30 D32">
      <formula1>Solvente_Ensamble</formula1>
    </dataValidation>
    <dataValidation type="list" allowBlank="1" showInputMessage="1" showErrorMessage="1" sqref="D42 D44 D46">
      <formula1>Repuestos_Ensamble</formula1>
    </dataValidation>
    <dataValidation type="list" allowBlank="1" showInputMessage="1" showErrorMessage="1" sqref="D10 D50">
      <formula1>Maquinaria_Ensamble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54</xdr:row>
                    <xdr:rowOff>333375</xdr:rowOff>
                  </from>
                  <to>
                    <xdr:col>1</xdr:col>
                    <xdr:colOff>1762125</xdr:colOff>
                    <xdr:row>55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4">
    <tabColor rgb="FF0070C0"/>
    <pageSetUpPr autoPageBreaks="0" fitToPage="1"/>
  </sheetPr>
  <dimension ref="B1:M59"/>
  <sheetViews>
    <sheetView showGridLines="0" topLeftCell="A7" zoomScale="80" zoomScaleNormal="80" workbookViewId="0">
      <selection activeCell="D10" sqref="D10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3.140625" style="80" bestFit="1" customWidth="1"/>
    <col min="5" max="5" width="20.5703125" style="80" customWidth="1"/>
    <col min="6" max="6" width="16.5703125" style="80" bestFit="1" customWidth="1"/>
    <col min="7" max="7" width="19.7109375" style="80" bestFit="1" customWidth="1"/>
    <col min="8" max="8" width="15.28515625" style="80" customWidth="1"/>
    <col min="9" max="10" width="17" style="80" customWidth="1"/>
    <col min="11" max="11" width="28.42578125" style="80" customWidth="1"/>
    <col min="12" max="12" width="20.7109375" style="80" customWidth="1"/>
    <col min="13" max="13" width="2.7109375" style="80" customWidth="1"/>
    <col min="14" max="16384" width="9.140625" style="80"/>
  </cols>
  <sheetData>
    <row r="1" spans="2:13" ht="12" customHeight="1" thickBot="1"/>
    <row r="2" spans="2:13" ht="30" customHeight="1">
      <c r="B2" s="126" t="s">
        <v>95</v>
      </c>
      <c r="C2" s="127"/>
      <c r="D2" s="128"/>
      <c r="E2" s="128"/>
      <c r="F2" s="128"/>
      <c r="G2" s="128"/>
      <c r="H2" s="128"/>
      <c r="I2" s="128"/>
      <c r="J2" s="128"/>
      <c r="K2" s="128"/>
      <c r="L2" s="129"/>
    </row>
    <row r="3" spans="2:13" ht="30" customHeight="1">
      <c r="B3" s="130" t="s">
        <v>96</v>
      </c>
      <c r="C3" s="406" t="s">
        <v>128</v>
      </c>
      <c r="D3" s="406"/>
      <c r="E3" s="125" t="s">
        <v>3</v>
      </c>
      <c r="F3" s="356">
        <f ca="1">TODAY()</f>
        <v>46020</v>
      </c>
      <c r="G3" s="356"/>
      <c r="H3" s="125" t="s">
        <v>61</v>
      </c>
      <c r="I3" s="162">
        <f>'INFO-Direc'!H3</f>
        <v>1445</v>
      </c>
      <c r="J3" s="131"/>
      <c r="K3" s="132"/>
      <c r="L3" s="133"/>
      <c r="M3" s="134"/>
    </row>
    <row r="4" spans="2:13" ht="30" customHeight="1">
      <c r="B4" s="130" t="s">
        <v>97</v>
      </c>
      <c r="C4" s="160">
        <f>IFERROR(INDEX('INFO-OEE'!E17:CL17,
       MATCH(C3, 'INFO-OEE'!E9:CL9, 0)),"")</f>
        <v>0.8</v>
      </c>
      <c r="D4" s="135"/>
      <c r="E4" s="136"/>
      <c r="F4" s="136"/>
      <c r="G4" s="136"/>
      <c r="H4" s="125"/>
      <c r="I4" s="137"/>
      <c r="J4" s="131"/>
      <c r="K4" s="132"/>
      <c r="L4" s="138"/>
      <c r="M4" s="89"/>
    </row>
    <row r="5" spans="2:13" ht="30" customHeight="1">
      <c r="B5" s="139" t="s">
        <v>4</v>
      </c>
      <c r="C5" s="140"/>
      <c r="D5" s="141"/>
      <c r="E5" s="141"/>
      <c r="F5" s="141"/>
      <c r="G5" s="141"/>
      <c r="H5" s="141"/>
      <c r="I5" s="141"/>
      <c r="J5" s="141"/>
      <c r="K5" s="141"/>
      <c r="L5" s="142"/>
    </row>
    <row r="6" spans="2:13" ht="30" customHeight="1">
      <c r="B6" s="143" t="s">
        <v>5</v>
      </c>
      <c r="C6" s="407" t="s">
        <v>208</v>
      </c>
      <c r="D6" s="407"/>
      <c r="E6" s="144" t="s">
        <v>6</v>
      </c>
      <c r="F6" s="407"/>
      <c r="G6" s="407"/>
      <c r="H6" s="141"/>
      <c r="I6" s="141"/>
      <c r="J6" s="141"/>
      <c r="K6" s="30"/>
      <c r="L6" s="145"/>
    </row>
    <row r="7" spans="2:13" ht="30" customHeight="1">
      <c r="B7" s="143" t="s">
        <v>7</v>
      </c>
      <c r="C7" s="407"/>
      <c r="D7" s="407"/>
      <c r="E7" s="144" t="s">
        <v>62</v>
      </c>
      <c r="F7" s="408"/>
      <c r="G7" s="408"/>
      <c r="H7" s="141"/>
      <c r="I7" s="141"/>
      <c r="J7" s="141"/>
      <c r="K7" s="30"/>
      <c r="L7" s="145"/>
    </row>
    <row r="8" spans="2:13" ht="30" customHeight="1" thickBot="1">
      <c r="B8" s="146"/>
      <c r="C8" s="147"/>
      <c r="D8" s="148"/>
      <c r="E8" s="148"/>
      <c r="F8" s="30"/>
      <c r="G8" s="30"/>
      <c r="H8" s="149"/>
      <c r="I8" s="149"/>
      <c r="J8" s="149"/>
      <c r="K8" s="30"/>
      <c r="L8" s="145"/>
    </row>
    <row r="9" spans="2:13" ht="30" customHeight="1" thickBot="1">
      <c r="B9" s="67" t="s">
        <v>9</v>
      </c>
      <c r="C9" s="190" t="s">
        <v>63</v>
      </c>
      <c r="D9" s="190" t="s">
        <v>64</v>
      </c>
      <c r="E9" s="190" t="s">
        <v>65</v>
      </c>
      <c r="F9" s="190" t="s">
        <v>66</v>
      </c>
      <c r="G9" s="190" t="s">
        <v>67</v>
      </c>
      <c r="H9" s="319" t="s">
        <v>68</v>
      </c>
      <c r="I9" s="319"/>
      <c r="J9" s="319"/>
      <c r="K9" s="319"/>
      <c r="L9" s="191" t="s">
        <v>98</v>
      </c>
    </row>
    <row r="10" spans="2:13" ht="30" customHeight="1">
      <c r="B10" s="404" t="s">
        <v>88</v>
      </c>
      <c r="C10" s="405" t="s">
        <v>89</v>
      </c>
      <c r="D10" s="231" t="s">
        <v>128</v>
      </c>
      <c r="E10" s="218"/>
      <c r="F10" s="219" t="str">
        <f>IF(D10="","","kW")</f>
        <v>kW</v>
      </c>
      <c r="G10" s="220">
        <f>IF(D10="","",IFERROR(INDEX('[4]INFO-Consumo'!$F$9:$F$95,
       MATCH(D10, '[4]INFO-Consumo'!$D$9:$D$95, 0)),""))</f>
        <v>1</v>
      </c>
      <c r="H10" s="401"/>
      <c r="I10" s="402"/>
      <c r="J10" s="402"/>
      <c r="K10" s="403"/>
      <c r="L10" s="400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0.30316793172398854</v>
      </c>
    </row>
    <row r="11" spans="2:13" ht="30" customHeight="1">
      <c r="B11" s="392"/>
      <c r="C11" s="393"/>
      <c r="D11" s="221" t="str">
        <f>IF(D10="", "Seleccionar Maquinaria ↑", "Carga Promedio de Uso de " &amp; D10)</f>
        <v>Carga Promedio de Uso de RADIAL X095B</v>
      </c>
      <c r="E11" s="222"/>
      <c r="F11" s="223" t="str">
        <f>IF(ISERROR(FIND("Seleccionar", D11)), "%", "")</f>
        <v>%</v>
      </c>
      <c r="G11" s="289">
        <f>IF(D10="","",IFERROR(
    INDEX('[4]INFO-Consumo'!I:I,
           MATCH(D10, '[4]INFO-Consumo'!D:D, 0)
    ),
""))</f>
        <v>0.6</v>
      </c>
      <c r="H11" s="384"/>
      <c r="I11" s="384"/>
      <c r="J11" s="384"/>
      <c r="K11" s="384"/>
      <c r="L11" s="399"/>
    </row>
    <row r="12" spans="2:13" ht="30" customHeight="1">
      <c r="B12" s="392"/>
      <c r="C12" s="393"/>
      <c r="D12" s="232" t="s">
        <v>173</v>
      </c>
      <c r="E12" s="222"/>
      <c r="F12" s="223" t="str">
        <f>IF(D12="","","kW")</f>
        <v>kW</v>
      </c>
      <c r="G12" s="224">
        <f>IFERROR(INDEX('[4]INFO-Ponderacion'!$S$9:$S$13,
       MATCH(D12,'[4]INFO-Ponderacion'!$C$9:$C$13, 0)),"")</f>
        <v>2.4095999999999997</v>
      </c>
      <c r="H12" s="286"/>
      <c r="I12" s="287"/>
      <c r="J12" s="287"/>
      <c r="K12" s="288"/>
      <c r="L12" s="399"/>
    </row>
    <row r="13" spans="2:13" ht="30" customHeight="1">
      <c r="B13" s="392"/>
      <c r="C13" s="393"/>
      <c r="D13" s="221" t="str">
        <f>IF(D12="", "Seleccionar Area ↑", "Tarifa Electrica ")</f>
        <v xml:space="preserve">Tarifa Electrica </v>
      </c>
      <c r="E13" s="222"/>
      <c r="F13" s="223" t="str">
        <f>IF(D12="","","$/kWh")</f>
        <v>$/kWh</v>
      </c>
      <c r="G13" s="228">
        <f>IF(D12="","",'INFO-Direc'!$G$9)</f>
        <v>5.2613958629577628E-2</v>
      </c>
      <c r="H13" s="384"/>
      <c r="I13" s="384"/>
      <c r="J13" s="384"/>
      <c r="K13" s="384"/>
      <c r="L13" s="399"/>
    </row>
    <row r="14" spans="2:13" ht="30" customHeight="1">
      <c r="B14" s="392"/>
      <c r="C14" s="393"/>
      <c r="D14" s="229" t="str">
        <f>IF(D12="", "Seleccionar Area ↑", "Costo Electrico Fijo de " &amp; D12)</f>
        <v>Costo Electrico Fijo de Ensamble</v>
      </c>
      <c r="E14" s="222"/>
      <c r="F14" s="223" t="str">
        <f>IF(D12="","","$/h")</f>
        <v>$/h</v>
      </c>
      <c r="G14" s="290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0.14482096183241172</v>
      </c>
      <c r="H14" s="385"/>
      <c r="I14" s="386"/>
      <c r="J14" s="386"/>
      <c r="K14" s="387"/>
      <c r="L14" s="399"/>
    </row>
    <row r="15" spans="2:13" ht="30" customHeight="1">
      <c r="B15" s="389"/>
      <c r="C15" s="391"/>
      <c r="D15" s="229" t="s">
        <v>85</v>
      </c>
      <c r="E15" s="230"/>
      <c r="F15" s="223" t="str">
        <f>IF(D12="","","$/h")</f>
        <v>$/h</v>
      </c>
      <c r="G15" s="233"/>
      <c r="H15" s="385"/>
      <c r="I15" s="386"/>
      <c r="J15" s="386"/>
      <c r="K15" s="387"/>
      <c r="L15" s="398"/>
    </row>
    <row r="16" spans="2:13" ht="30" customHeight="1">
      <c r="B16" s="388" t="s">
        <v>90</v>
      </c>
      <c r="C16" s="394" t="s">
        <v>89</v>
      </c>
      <c r="D16" s="232"/>
      <c r="E16" s="222"/>
      <c r="F16" s="223" t="str">
        <f>IF(D16="","","$/L")</f>
        <v/>
      </c>
      <c r="G16" s="228" t="str">
        <f>IFERROR(INDEX('INFO-Direc'!$G$9:$G$25,
       MATCH(D16, 'INFO-Direc'!$D$9:$D$25, 0)),"")</f>
        <v/>
      </c>
      <c r="H16" s="384"/>
      <c r="I16" s="384"/>
      <c r="J16" s="384"/>
      <c r="K16" s="384"/>
      <c r="L16" s="397" t="str">
        <f>IF(AND(D16="", D18=""), "",
    IFERROR(
        IFERROR(G16*G17,0)
        + IFERROR(G18*G19,0)
        + IFERROR(G20,0),
    "")
)</f>
        <v/>
      </c>
    </row>
    <row r="17" spans="2:12" ht="30" customHeight="1">
      <c r="B17" s="392"/>
      <c r="C17" s="395"/>
      <c r="D17" s="221" t="str">
        <f>IF(D16="", "Seleccionar Lubricante ↑", "Consumo de " &amp; D16)</f>
        <v>Seleccionar Lubricante ↑</v>
      </c>
      <c r="E17" s="222"/>
      <c r="F17" s="223" t="str">
        <f>IF(ISERROR(FIND("Seleccionar", D17)), "L/h", "")</f>
        <v/>
      </c>
      <c r="G17" s="234"/>
      <c r="H17" s="384"/>
      <c r="I17" s="384"/>
      <c r="J17" s="384"/>
      <c r="K17" s="384"/>
      <c r="L17" s="399"/>
    </row>
    <row r="18" spans="2:12" ht="30" customHeight="1">
      <c r="B18" s="392"/>
      <c r="C18" s="395"/>
      <c r="D18" s="232"/>
      <c r="E18" s="222"/>
      <c r="F18" s="223" t="str">
        <f>IF(D18="","","$/L")</f>
        <v/>
      </c>
      <c r="G18" s="228" t="str">
        <f>IFERROR(INDEX('INFO-Direc'!$G$9:$G$25,
       MATCH(D18, 'INFO-Direc'!$D$9:$D$25, 0)),"")</f>
        <v/>
      </c>
      <c r="H18" s="385"/>
      <c r="I18" s="386"/>
      <c r="J18" s="386"/>
      <c r="K18" s="387"/>
      <c r="L18" s="399"/>
    </row>
    <row r="19" spans="2:12" ht="30" customHeight="1">
      <c r="B19" s="392"/>
      <c r="C19" s="395"/>
      <c r="D19" s="221" t="str">
        <f>IF(D18="", "Seleccionar Lubricante ↑", "Consumo de " &amp; D18)</f>
        <v>Seleccionar Lubricante ↑</v>
      </c>
      <c r="E19" s="222"/>
      <c r="F19" s="223" t="str">
        <f>IF(ISERROR(FIND("Seleccionar", D19)), "L/h", "")</f>
        <v/>
      </c>
      <c r="G19" s="234"/>
      <c r="H19" s="385"/>
      <c r="I19" s="386"/>
      <c r="J19" s="386"/>
      <c r="K19" s="387"/>
      <c r="L19" s="399"/>
    </row>
    <row r="20" spans="2:12" ht="30" customHeight="1">
      <c r="B20" s="389"/>
      <c r="C20" s="396"/>
      <c r="D20" s="221" t="s">
        <v>85</v>
      </c>
      <c r="E20" s="222"/>
      <c r="F20" s="223" t="str">
        <f>IF(OR(D16&lt;&gt;"", D18&lt;&gt;""), "$/h", "")</f>
        <v/>
      </c>
      <c r="G20" s="233"/>
      <c r="H20" s="384"/>
      <c r="I20" s="384"/>
      <c r="J20" s="384"/>
      <c r="K20" s="384"/>
      <c r="L20" s="398"/>
    </row>
    <row r="21" spans="2:12" ht="30" customHeight="1">
      <c r="B21" s="388" t="s">
        <v>92</v>
      </c>
      <c r="C21" s="390" t="s">
        <v>89</v>
      </c>
      <c r="D21" s="232" t="s">
        <v>138</v>
      </c>
      <c r="E21" s="222"/>
      <c r="F21" s="223" t="str">
        <f>IF(D21="","","kW")</f>
        <v>kW</v>
      </c>
      <c r="G21" s="228">
        <f>IFERROR(INDEX('INFO-Direc'!$G$9:$G$25,
       MATCH(D21, 'INFO-Direc'!$D$9:$D$25, 0)),"")</f>
        <v>56</v>
      </c>
      <c r="H21" s="385"/>
      <c r="I21" s="386"/>
      <c r="J21" s="386"/>
      <c r="K21" s="387"/>
      <c r="L21" s="397">
        <f>IFERROR(G21*G13*G22+G23+G24,"")</f>
        <v>1.8303340099538083</v>
      </c>
    </row>
    <row r="22" spans="2:12" ht="30" customHeight="1">
      <c r="B22" s="392"/>
      <c r="C22" s="393"/>
      <c r="D22" s="221" t="str">
        <f>IF(D21="", "Seleccionar Compresor ↑", "Carga Promedio de Uso de " &amp; D21)</f>
        <v>Carga Promedio de Uso de Compresor</v>
      </c>
      <c r="E22" s="222"/>
      <c r="F22" s="223" t="str">
        <f>IF(ISERROR(FIND("Seleccionar", D22)), "%", "")</f>
        <v>%</v>
      </c>
      <c r="G22" s="289">
        <f>IF(D21="","",IFERROR(
    INDEX('[4]INFO-Consumo'!I:I,
           MATCH(D21, '[4]INFO-Consumo'!D:D, 0)
    ),
""))</f>
        <v>0.6</v>
      </c>
      <c r="H22" s="384"/>
      <c r="I22" s="384"/>
      <c r="J22" s="384"/>
      <c r="K22" s="384"/>
      <c r="L22" s="399"/>
    </row>
    <row r="23" spans="2:12" ht="30" customHeight="1">
      <c r="B23" s="392"/>
      <c r="C23" s="393"/>
      <c r="D23" s="235" t="str">
        <f>IF(D21="", "Seleccionar Compresor ↑", "Costo de Repuestos " &amp; D21)</f>
        <v>Costo de Repuestos Compresor</v>
      </c>
      <c r="E23" s="222"/>
      <c r="F23" s="223" t="str">
        <f>IF(ISERROR(FIND("Seleccionar", D23)), "$/h", "")</f>
        <v>$/h</v>
      </c>
      <c r="G23" s="236">
        <f>IF(D21="","", SUM(IF(ISNUMBER(FIND("Compresor", 'INFO-Mant'!D9:D26)), 'INFO-Mant'!G9:G26 / 'INFO-Mant'!H9:H26, 0)))</f>
        <v>6.2505000000000005E-2</v>
      </c>
      <c r="H23" s="385"/>
      <c r="I23" s="386"/>
      <c r="J23" s="386"/>
      <c r="K23" s="387"/>
      <c r="L23" s="399"/>
    </row>
    <row r="24" spans="2:12" ht="30" customHeight="1">
      <c r="B24" s="389"/>
      <c r="C24" s="391"/>
      <c r="D24" s="221" t="s">
        <v>85</v>
      </c>
      <c r="E24" s="222"/>
      <c r="F24" s="223" t="str">
        <f>IF(D21="","","$/h")</f>
        <v>$/h</v>
      </c>
      <c r="G24" s="233"/>
      <c r="H24" s="384"/>
      <c r="I24" s="384"/>
      <c r="J24" s="384"/>
      <c r="K24" s="384"/>
      <c r="L24" s="398"/>
    </row>
    <row r="25" spans="2:12" ht="30" customHeight="1">
      <c r="B25" s="388" t="s">
        <v>94</v>
      </c>
      <c r="C25" s="390" t="s">
        <v>89</v>
      </c>
      <c r="D25" s="232"/>
      <c r="E25" s="222"/>
      <c r="F25" s="223" t="str">
        <f>IF(D25="","","$/L")</f>
        <v/>
      </c>
      <c r="G25" s="228" t="str">
        <f>IFERROR(INDEX('INFO-Direc'!$G$9:$G$25,
       MATCH(D25, 'INFO-Direc'!$D$9:$D$25, 0)),"")</f>
        <v/>
      </c>
      <c r="H25" s="384"/>
      <c r="I25" s="384"/>
      <c r="J25" s="384"/>
      <c r="K25" s="384"/>
      <c r="L25" s="381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92"/>
      <c r="C26" s="393"/>
      <c r="D26" s="221" t="str">
        <f>IF(D25="", "Seleccionar Refrigerante ↑", "Consumo de " &amp; D25)</f>
        <v>Seleccionar Refrigerante ↑</v>
      </c>
      <c r="E26" s="222"/>
      <c r="F26" s="223" t="str">
        <f>IF(ISERROR(FIND("Seleccionar", D26)), "L/Año", "")</f>
        <v/>
      </c>
      <c r="G26" s="238"/>
      <c r="H26" s="384"/>
      <c r="I26" s="384"/>
      <c r="J26" s="384"/>
      <c r="K26" s="384"/>
      <c r="L26" s="382"/>
    </row>
    <row r="27" spans="2:12" ht="30" customHeight="1">
      <c r="B27" s="392"/>
      <c r="C27" s="393"/>
      <c r="D27" s="232"/>
      <c r="E27" s="222"/>
      <c r="F27" s="223" t="str">
        <f>IF(D27="","","$/L")</f>
        <v/>
      </c>
      <c r="G27" s="228" t="str">
        <f>IFERROR(INDEX('INFO-Direc'!$G$9:$G$25,
       MATCH(D27, 'INFO-Direc'!$D$9:$D$25, 0)),"")</f>
        <v/>
      </c>
      <c r="H27" s="385"/>
      <c r="I27" s="386"/>
      <c r="J27" s="386"/>
      <c r="K27" s="387"/>
      <c r="L27" s="382"/>
    </row>
    <row r="28" spans="2:12" ht="30" customHeight="1">
      <c r="B28" s="392"/>
      <c r="C28" s="393"/>
      <c r="D28" s="221" t="str">
        <f>IF(D27="", "Seleccionar Refrigerante ↑", "Consumo de " &amp; D27)</f>
        <v>Seleccionar Refrigerante ↑</v>
      </c>
      <c r="E28" s="222"/>
      <c r="F28" s="223" t="str">
        <f>IF(ISERROR(FIND("Seleccionar", D28)), "L/Año", "")</f>
        <v/>
      </c>
      <c r="G28" s="239"/>
      <c r="H28" s="385"/>
      <c r="I28" s="386"/>
      <c r="J28" s="386"/>
      <c r="K28" s="387"/>
      <c r="L28" s="382"/>
    </row>
    <row r="29" spans="2:12" ht="30" customHeight="1">
      <c r="B29" s="389"/>
      <c r="C29" s="391"/>
      <c r="D29" s="221" t="s">
        <v>85</v>
      </c>
      <c r="E29" s="222"/>
      <c r="F29" s="223" t="str">
        <f>IF(OR(D25&lt;&gt;"", D27&lt;&gt;""), "$/h", "")</f>
        <v/>
      </c>
      <c r="G29" s="233"/>
      <c r="H29" s="384"/>
      <c r="I29" s="384"/>
      <c r="J29" s="384"/>
      <c r="K29" s="384"/>
      <c r="L29" s="383"/>
    </row>
    <row r="30" spans="2:12" s="152" customFormat="1" ht="30" customHeight="1">
      <c r="B30" s="388" t="s">
        <v>168</v>
      </c>
      <c r="C30" s="394" t="s">
        <v>89</v>
      </c>
      <c r="D30" s="232"/>
      <c r="E30" s="222"/>
      <c r="F30" s="223" t="str">
        <f>IF(D30="","","$/L")</f>
        <v/>
      </c>
      <c r="G30" s="228" t="str">
        <f>IFERROR(INDEX('INFO-Direc'!$G$9:$G$25,
       MATCH(D30, 'INFO-Direc'!$D$9:$D$25, 0)),"")</f>
        <v/>
      </c>
      <c r="H30" s="384"/>
      <c r="I30" s="384"/>
      <c r="J30" s="384"/>
      <c r="K30" s="384"/>
      <c r="L30" s="381" t="str">
        <f>IF(
    AND(D30="", D32=""),
    "",
    IFERROR(
        IFERROR(G30 / (INDEX('INFO-OEE'!$E$18:$CA$18,
                               MATCH(#REF!, 'INFO-OEE'!$E$9:$CA$9, 0)) * 12), 0)
        * G31
        +
        IFERROR(G32 / (INDEX('INFO-OEE'!$E$18:$CA$18,
                               MATCH(#REF!, 'INFO-OEE'!$E$9:$CA$9, 0)) * 12), 0)
        * G33
        +
        IFERROR(G34, 0),
    "")
)</f>
        <v/>
      </c>
    </row>
    <row r="31" spans="2:12" s="152" customFormat="1" ht="30" customHeight="1">
      <c r="B31" s="392"/>
      <c r="C31" s="395"/>
      <c r="D31" s="221" t="str">
        <f>IF(D30="", "Seleccionar Solvente ↑", "Consumo de " &amp; D30)</f>
        <v>Seleccionar Solvente ↑</v>
      </c>
      <c r="E31" s="222"/>
      <c r="F31" s="223" t="str">
        <f>IF(ISERROR(FIND("Seleccionar", D31)), "L/Año", "")</f>
        <v/>
      </c>
      <c r="G31" s="234"/>
      <c r="H31" s="384"/>
      <c r="I31" s="384"/>
      <c r="J31" s="384"/>
      <c r="K31" s="384"/>
      <c r="L31" s="382"/>
    </row>
    <row r="32" spans="2:12" s="152" customFormat="1" ht="30" customHeight="1">
      <c r="B32" s="392"/>
      <c r="C32" s="395"/>
      <c r="D32" s="232"/>
      <c r="E32" s="222"/>
      <c r="F32" s="223" t="str">
        <f>IF(D32="","","$/L")</f>
        <v/>
      </c>
      <c r="G32" s="228" t="str">
        <f>IFERROR(INDEX('INFO-Direc'!$G$9:$G$25,
       MATCH(D32, 'INFO-Direc'!$D$9:$D$25, 0)),"")</f>
        <v/>
      </c>
      <c r="H32" s="385"/>
      <c r="I32" s="386"/>
      <c r="J32" s="386"/>
      <c r="K32" s="387"/>
      <c r="L32" s="382"/>
    </row>
    <row r="33" spans="2:12" s="152" customFormat="1" ht="30" customHeight="1">
      <c r="B33" s="392"/>
      <c r="C33" s="395"/>
      <c r="D33" s="221" t="str">
        <f>IF(D32="", "Seleccionar Solvente ↑", "Consumo de " &amp; D32)</f>
        <v>Seleccionar Solvente ↑</v>
      </c>
      <c r="E33" s="222"/>
      <c r="F33" s="223" t="str">
        <f>IF(ISERROR(FIND("Seleccionar", D33)), "L/Año", "")</f>
        <v/>
      </c>
      <c r="G33" s="234"/>
      <c r="H33" s="385"/>
      <c r="I33" s="386"/>
      <c r="J33" s="386"/>
      <c r="K33" s="387"/>
      <c r="L33" s="382"/>
    </row>
    <row r="34" spans="2:12" s="152" customFormat="1" ht="30" customHeight="1">
      <c r="B34" s="389"/>
      <c r="C34" s="396"/>
      <c r="D34" s="221" t="s">
        <v>85</v>
      </c>
      <c r="E34" s="222"/>
      <c r="F34" s="223" t="str">
        <f>IF(OR(D30&lt;&gt;"", D32&lt;&gt;""), "$/h", "")</f>
        <v/>
      </c>
      <c r="G34" s="233"/>
      <c r="H34" s="384"/>
      <c r="I34" s="384"/>
      <c r="J34" s="384"/>
      <c r="K34" s="384"/>
      <c r="L34" s="383"/>
    </row>
    <row r="35" spans="2:12" ht="30" customHeight="1">
      <c r="B35" s="388" t="s">
        <v>100</v>
      </c>
      <c r="C35" s="390" t="s">
        <v>89</v>
      </c>
      <c r="D35" s="221" t="str">
        <f>IF(D12="", "Seleccionar Area ↑", "Costo de Operarios")</f>
        <v>Costo de Operarios</v>
      </c>
      <c r="E35" s="222"/>
      <c r="F35" s="223" t="str">
        <f>IF(D12="","","$/mes")</f>
        <v>$/mes</v>
      </c>
      <c r="G35" s="237">
        <f>IF(D12="","",IFERROR(
    INDEX('INFO-Personal'!$E$26:$CA$26,
           MATCH($C$3, 'INFO-Personal'!$E$9:$CA$9, 0)
    ),
""))</f>
        <v>689.2079965156795</v>
      </c>
      <c r="H35" s="384"/>
      <c r="I35" s="384"/>
      <c r="J35" s="384"/>
      <c r="K35" s="384"/>
      <c r="L35" s="397">
        <f>IFERROR(
    (G35 / INDEX('INFO-OEE'!$E$18:$CA$18,
                  MATCH($C$3, 'INFO-OEE'!$E$9:$CA$9, 0)))
    + G36,
"")</f>
        <v>4.8949431570715873</v>
      </c>
    </row>
    <row r="36" spans="2:12" ht="30" customHeight="1">
      <c r="B36" s="389"/>
      <c r="C36" s="391"/>
      <c r="D36" s="221" t="s">
        <v>85</v>
      </c>
      <c r="E36" s="222"/>
      <c r="F36" s="223" t="str">
        <f>IF(D12="","","$/h")</f>
        <v>$/h</v>
      </c>
      <c r="G36" s="240"/>
      <c r="H36" s="384"/>
      <c r="I36" s="384"/>
      <c r="J36" s="384"/>
      <c r="K36" s="384"/>
      <c r="L36" s="398"/>
    </row>
    <row r="37" spans="2:12" ht="30" customHeight="1">
      <c r="B37" s="241"/>
      <c r="C37" s="242"/>
      <c r="D37" s="243"/>
      <c r="E37" s="242"/>
      <c r="F37" s="244"/>
      <c r="G37" s="245"/>
      <c r="H37" s="409"/>
      <c r="I37" s="409"/>
      <c r="J37" s="409"/>
      <c r="K37" s="409"/>
      <c r="L37" s="246"/>
    </row>
    <row r="38" spans="2:12" ht="30" customHeight="1">
      <c r="B38" s="388" t="s">
        <v>16</v>
      </c>
      <c r="C38" s="390" t="s">
        <v>69</v>
      </c>
      <c r="D38" s="221" t="str">
        <f>IF(D12="", "Seleccionar Area ↑", "Costo de Supervisores")</f>
        <v>Costo de Supervisores</v>
      </c>
      <c r="E38" s="222"/>
      <c r="F38" s="247" t="str">
        <f>IF(D12="","","$/mes")</f>
        <v>$/mes</v>
      </c>
      <c r="G38" s="237">
        <f>IF(D12="","",IFERROR(
    INDEX('INFO-Personal'!$E$27:$CA$27,
           MATCH($C$3, 'INFO-Personal'!$E$9:$CA$9, 0)
    ),
""))</f>
        <v>51.241933194853928</v>
      </c>
      <c r="H38" s="385"/>
      <c r="I38" s="386"/>
      <c r="J38" s="386"/>
      <c r="K38" s="387"/>
      <c r="L38" s="397">
        <f>IFERROR(
    (G38 / INDEX('INFO-OEE'!$E$18:$CA$18,
                  MATCH($C$3, 'INFO-OEE'!$E$9:$CA$9, 0)))
    + G39,
"")</f>
        <v>0.36393418462254207</v>
      </c>
    </row>
    <row r="39" spans="2:12" ht="30" customHeight="1">
      <c r="B39" s="392"/>
      <c r="C39" s="393"/>
      <c r="D39" s="221" t="s">
        <v>85</v>
      </c>
      <c r="E39" s="222"/>
      <c r="F39" s="223" t="str">
        <f>IF(D12="","","$/h")</f>
        <v>$/h</v>
      </c>
      <c r="G39" s="240"/>
      <c r="H39" s="385"/>
      <c r="I39" s="386"/>
      <c r="J39" s="386"/>
      <c r="K39" s="387"/>
      <c r="L39" s="399"/>
    </row>
    <row r="40" spans="2:12" ht="30" customHeight="1">
      <c r="B40" s="388" t="s">
        <v>101</v>
      </c>
      <c r="C40" s="390" t="s">
        <v>69</v>
      </c>
      <c r="D40" s="221" t="str">
        <f>IF(D12="", "Seleccionar Area ↑", "Costo de Mant. Preventivo")</f>
        <v>Costo de Mant. Preventivo</v>
      </c>
      <c r="E40" s="222"/>
      <c r="F40" s="247" t="str">
        <f>IF(D12="","","$/mes")</f>
        <v>$/mes</v>
      </c>
      <c r="G40" s="237">
        <f>IF(D12="","",IFERROR(
    INDEX('INFO-Personal'!$E$28:$CA$28,
           MATCH($C$3, 'INFO-Personal'!$E$9:$CA$9, 0)
    ),
""))</f>
        <v>3.4161288796569287</v>
      </c>
      <c r="H40" s="385"/>
      <c r="I40" s="386"/>
      <c r="J40" s="386"/>
      <c r="K40" s="387"/>
      <c r="L40" s="397">
        <f>IF(D12="","",SUM(
    IFERROR((G40+G41) / INDEX('INFO-OEE'!$E$18:$CA$18, MATCH(C3, 'INFO-OEE'!$E$9:$CA$9, 0)), 0),
    IFERROR(G42 / G43, 0),
    IFERROR(G44 / G45, 0),
    IFERROR(G46 / G47, 0),
    IFERROR(G48, 0)
))</f>
        <v>0.27449741271484929</v>
      </c>
    </row>
    <row r="41" spans="2:12" ht="30" customHeight="1">
      <c r="B41" s="392"/>
      <c r="C41" s="393"/>
      <c r="D41" s="221" t="str">
        <f>IF(D12="", "Seleccionar Area ↑", "Costo de Mant. Correctivo")</f>
        <v>Costo de Mant. Correctivo</v>
      </c>
      <c r="E41" s="222"/>
      <c r="F41" s="247" t="str">
        <f>IF(D12="","","$/mes")</f>
        <v>$/mes</v>
      </c>
      <c r="G41" s="237">
        <f>IF(D12="","",IFERROR(
    INDEX('INFO-Personal'!$E$29:$CA$29,
           MATCH($C$3, 'INFO-Personal'!$E$9:$CA$9, 0)
    ),
""))</f>
        <v>35.233106830593854</v>
      </c>
      <c r="H41" s="385"/>
      <c r="I41" s="386"/>
      <c r="J41" s="386"/>
      <c r="K41" s="387"/>
      <c r="L41" s="399"/>
    </row>
    <row r="42" spans="2:12" ht="30" customHeight="1">
      <c r="B42" s="392"/>
      <c r="C42" s="393"/>
      <c r="D42" s="232"/>
      <c r="E42" s="222"/>
      <c r="F42" s="223" t="str">
        <f>IF(D42="","","$/u")</f>
        <v/>
      </c>
      <c r="G42" s="237" t="str">
        <f>IFERROR(INDEX('INFO-Mant'!$G$9:$G$26,
       MATCH(D42, 'INFO-Mant'!$D$9:$D$26, 0)),"")</f>
        <v/>
      </c>
      <c r="H42" s="385"/>
      <c r="I42" s="386"/>
      <c r="J42" s="386"/>
      <c r="K42" s="387"/>
      <c r="L42" s="399"/>
    </row>
    <row r="43" spans="2:12" ht="30" customHeight="1">
      <c r="B43" s="392"/>
      <c r="C43" s="393"/>
      <c r="D43" s="221" t="str">
        <f>IF(D42="", "Seleccionar Repuesto ↑", "Vida Util de " &amp; D42)</f>
        <v>Seleccionar Repuesto ↑</v>
      </c>
      <c r="E43" s="222"/>
      <c r="F43" s="223" t="str">
        <f>IF(ISERROR(FIND("Seleccionar", D43)), "Horas/u", "")</f>
        <v/>
      </c>
      <c r="G43" s="238"/>
      <c r="H43" s="385"/>
      <c r="I43" s="386"/>
      <c r="J43" s="386"/>
      <c r="K43" s="387"/>
      <c r="L43" s="399"/>
    </row>
    <row r="44" spans="2:12" ht="30" customHeight="1">
      <c r="B44" s="392"/>
      <c r="C44" s="393"/>
      <c r="D44" s="232"/>
      <c r="E44" s="222"/>
      <c r="F44" s="223" t="str">
        <f>IF(D44="","","$/u")</f>
        <v/>
      </c>
      <c r="G44" s="237" t="str">
        <f>IFERROR(INDEX('INFO-Mant'!$G$9:$G$26,
       MATCH(D44, 'INFO-Mant'!$D$9:$D$26, 0)),"")</f>
        <v/>
      </c>
      <c r="H44" s="385"/>
      <c r="I44" s="386"/>
      <c r="J44" s="386"/>
      <c r="K44" s="387"/>
      <c r="L44" s="399"/>
    </row>
    <row r="45" spans="2:12" ht="30" customHeight="1">
      <c r="B45" s="392"/>
      <c r="C45" s="393"/>
      <c r="D45" s="221" t="str">
        <f>IF(D44="", "Seleccionar Repuesto ↑", "Vida Util de " &amp; D44)</f>
        <v>Seleccionar Repuesto ↑</v>
      </c>
      <c r="E45" s="222"/>
      <c r="F45" s="223" t="str">
        <f>IF(ISERROR(FIND("Seleccionar", D45)), "Horas/u", "")</f>
        <v/>
      </c>
      <c r="G45" s="238"/>
      <c r="H45" s="385"/>
      <c r="I45" s="386"/>
      <c r="J45" s="386"/>
      <c r="K45" s="387"/>
      <c r="L45" s="399"/>
    </row>
    <row r="46" spans="2:12" ht="30" customHeight="1">
      <c r="B46" s="392"/>
      <c r="C46" s="393"/>
      <c r="D46" s="232"/>
      <c r="E46" s="222"/>
      <c r="F46" s="223" t="str">
        <f>IF(D46="","","$/u")</f>
        <v/>
      </c>
      <c r="G46" s="237" t="str">
        <f>IFERROR(INDEX('INFO-Mant'!$G$9:$G$26,
       MATCH(D46, 'INFO-Mant'!$D$9:$D$26, 0)),"")</f>
        <v/>
      </c>
      <c r="H46" s="385"/>
      <c r="I46" s="386"/>
      <c r="J46" s="386"/>
      <c r="K46" s="387"/>
      <c r="L46" s="399"/>
    </row>
    <row r="47" spans="2:12" ht="34.5" customHeight="1">
      <c r="B47" s="392"/>
      <c r="C47" s="393"/>
      <c r="D47" s="221" t="str">
        <f>IF(D46="", "Seleccionar Repuesto ↑", "Vida Util de " &amp; D46)</f>
        <v>Seleccionar Repuesto ↑</v>
      </c>
      <c r="E47" s="222"/>
      <c r="F47" s="223" t="str">
        <f>IF(ISERROR(FIND("Seleccionar", D47)), "Horas/u", "")</f>
        <v/>
      </c>
      <c r="G47" s="240"/>
      <c r="H47" s="385"/>
      <c r="I47" s="386"/>
      <c r="J47" s="386"/>
      <c r="K47" s="387"/>
      <c r="L47" s="399"/>
    </row>
    <row r="48" spans="2:12" ht="30" customHeight="1">
      <c r="B48" s="389"/>
      <c r="C48" s="391"/>
      <c r="D48" s="221" t="s">
        <v>85</v>
      </c>
      <c r="E48" s="222"/>
      <c r="F48" s="223" t="str">
        <f>IF(D12="","","$/h")</f>
        <v>$/h</v>
      </c>
      <c r="G48" s="240"/>
      <c r="H48" s="385"/>
      <c r="I48" s="386"/>
      <c r="J48" s="386"/>
      <c r="K48" s="387"/>
      <c r="L48" s="398"/>
    </row>
    <row r="49" spans="2:12" ht="30" customHeight="1">
      <c r="B49" s="248"/>
      <c r="C49" s="249"/>
      <c r="D49" s="250"/>
      <c r="E49" s="249"/>
      <c r="F49" s="251"/>
      <c r="G49" s="252"/>
      <c r="H49" s="249"/>
      <c r="I49" s="249"/>
      <c r="J49" s="249"/>
      <c r="K49" s="249"/>
      <c r="L49" s="253"/>
    </row>
    <row r="50" spans="2:12" ht="30" customHeight="1">
      <c r="B50" s="388" t="s">
        <v>102</v>
      </c>
      <c r="C50" s="394" t="s">
        <v>103</v>
      </c>
      <c r="D50" s="232"/>
      <c r="E50" s="222"/>
      <c r="F50" s="223" t="str">
        <f>IF(D50="","","$/h")</f>
        <v/>
      </c>
      <c r="G50" s="23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410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410"/>
      <c r="J50" s="410"/>
      <c r="K50" s="410"/>
      <c r="L50" s="255" t="str">
        <f ca="1">G50</f>
        <v/>
      </c>
    </row>
    <row r="51" spans="2:12" ht="30" customHeight="1">
      <c r="B51" s="392"/>
      <c r="C51" s="395"/>
      <c r="D51" s="232"/>
      <c r="E51" s="254"/>
      <c r="F51" s="223" t="str">
        <f>IF(D51="","","$/h")</f>
        <v/>
      </c>
      <c r="G51" s="23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410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410"/>
      <c r="J51" s="410"/>
      <c r="K51" s="410"/>
      <c r="L51" s="255" t="str">
        <f ca="1">G51</f>
        <v/>
      </c>
    </row>
    <row r="52" spans="2:12" ht="30" customHeight="1">
      <c r="B52" s="392"/>
      <c r="C52" s="395"/>
      <c r="D52" s="232"/>
      <c r="E52" s="222"/>
      <c r="F52" s="223" t="str">
        <f t="shared" ref="F52:F54" si="0">IF(D52="","","$/h")</f>
        <v/>
      </c>
      <c r="G52" s="23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410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410"/>
      <c r="J52" s="410"/>
      <c r="K52" s="410"/>
      <c r="L52" s="255" t="str">
        <f ca="1">G52</f>
        <v/>
      </c>
    </row>
    <row r="53" spans="2:12" ht="30" customHeight="1">
      <c r="B53" s="392"/>
      <c r="C53" s="395"/>
      <c r="D53" s="232"/>
      <c r="E53" s="222"/>
      <c r="F53" s="223" t="str">
        <f t="shared" si="0"/>
        <v/>
      </c>
      <c r="G53" s="23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410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410"/>
      <c r="J53" s="410"/>
      <c r="K53" s="410"/>
      <c r="L53" s="255" t="str">
        <f ca="1">G53</f>
        <v/>
      </c>
    </row>
    <row r="54" spans="2:12" ht="30" customHeight="1">
      <c r="B54" s="389"/>
      <c r="C54" s="396"/>
      <c r="D54" s="232"/>
      <c r="E54" s="222"/>
      <c r="F54" s="223" t="str">
        <f t="shared" si="0"/>
        <v/>
      </c>
      <c r="G54" s="23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410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410"/>
      <c r="J54" s="410"/>
      <c r="K54" s="410"/>
      <c r="L54" s="255" t="str">
        <f ca="1">G54</f>
        <v/>
      </c>
    </row>
    <row r="55" spans="2:12" ht="30" customHeight="1">
      <c r="B55" s="146"/>
      <c r="C55" s="147"/>
      <c r="D55" s="411"/>
      <c r="E55" s="411"/>
      <c r="F55" s="30"/>
      <c r="G55" s="30"/>
      <c r="H55" s="149"/>
      <c r="I55" s="149"/>
      <c r="J55" s="149"/>
      <c r="K55" s="30"/>
      <c r="L55" s="145"/>
    </row>
    <row r="56" spans="2:12" ht="30" customHeight="1" thickBot="1">
      <c r="B56" s="153" t="s">
        <v>39</v>
      </c>
      <c r="C56" s="330" t="s">
        <v>176</v>
      </c>
      <c r="D56" s="330"/>
      <c r="E56" s="154" t="s">
        <v>23</v>
      </c>
      <c r="F56" s="368"/>
      <c r="G56" s="368"/>
      <c r="H56" s="141"/>
      <c r="I56" s="141"/>
      <c r="J56" s="141"/>
      <c r="K56" s="256"/>
      <c r="L56" s="257"/>
    </row>
    <row r="57" spans="2:12" ht="30" customHeight="1" thickBot="1">
      <c r="B57" s="155"/>
      <c r="C57" s="156"/>
      <c r="D57" s="156"/>
      <c r="E57" s="156"/>
      <c r="F57" s="378"/>
      <c r="G57" s="378"/>
      <c r="H57" s="157"/>
      <c r="I57" s="157"/>
      <c r="J57" s="157"/>
      <c r="K57" s="258" t="s">
        <v>106</v>
      </c>
      <c r="L57" s="259">
        <f ca="1">IFERROR(SUM(L19:L54),"")</f>
        <v>7.3637087643627863</v>
      </c>
    </row>
    <row r="59" spans="2:12" ht="30" customHeight="1">
      <c r="C59" s="117"/>
    </row>
  </sheetData>
  <sheetProtection algorithmName="SHA-512" hashValue="jORQmyOe54QHmzC+mF5z85BS4OxjFteYgNFcSKLpLCeSvL1WWRFaElhdV7g9B9ydD/wMjfZowGle15Lh2kzt1w==" saltValue="jHAdI6nIPZVRF/4EvpuJtg==" spinCount="100000" sheet="1" objects="1" scenarios="1" selectLockedCells="1"/>
  <mergeCells count="80">
    <mergeCell ref="D55:E55"/>
    <mergeCell ref="C56:D56"/>
    <mergeCell ref="F56:G56"/>
    <mergeCell ref="F57:G57"/>
    <mergeCell ref="B50:B54"/>
    <mergeCell ref="C50:C54"/>
    <mergeCell ref="H50:K50"/>
    <mergeCell ref="H51:K51"/>
    <mergeCell ref="H52:K52"/>
    <mergeCell ref="H53:K53"/>
    <mergeCell ref="H54:K54"/>
    <mergeCell ref="L38:L39"/>
    <mergeCell ref="B40:B48"/>
    <mergeCell ref="C40:C48"/>
    <mergeCell ref="L40:L48"/>
    <mergeCell ref="H44:K44"/>
    <mergeCell ref="H45:K45"/>
    <mergeCell ref="H46:K46"/>
    <mergeCell ref="H47:K47"/>
    <mergeCell ref="H48:K48"/>
    <mergeCell ref="H39:K39"/>
    <mergeCell ref="H40:K40"/>
    <mergeCell ref="H41:K41"/>
    <mergeCell ref="H42:K42"/>
    <mergeCell ref="H43:K43"/>
    <mergeCell ref="B38:B39"/>
    <mergeCell ref="C38:C39"/>
    <mergeCell ref="B10:B15"/>
    <mergeCell ref="C10:C15"/>
    <mergeCell ref="B16:B20"/>
    <mergeCell ref="C16:C20"/>
    <mergeCell ref="B21:B24"/>
    <mergeCell ref="C21:C24"/>
    <mergeCell ref="H38:K38"/>
    <mergeCell ref="H34:K34"/>
    <mergeCell ref="H35:K35"/>
    <mergeCell ref="H36:K36"/>
    <mergeCell ref="H37:K37"/>
    <mergeCell ref="B35:B36"/>
    <mergeCell ref="C35:C36"/>
    <mergeCell ref="L35:L36"/>
    <mergeCell ref="H30:K30"/>
    <mergeCell ref="H31:K31"/>
    <mergeCell ref="H32:K32"/>
    <mergeCell ref="H33:K33"/>
    <mergeCell ref="B30:B34"/>
    <mergeCell ref="C30:C34"/>
    <mergeCell ref="L30:L34"/>
    <mergeCell ref="B25:B29"/>
    <mergeCell ref="C25:C29"/>
    <mergeCell ref="L25:L29"/>
    <mergeCell ref="H23:K23"/>
    <mergeCell ref="H24:K24"/>
    <mergeCell ref="H25:K25"/>
    <mergeCell ref="L21:L24"/>
    <mergeCell ref="H29:K29"/>
    <mergeCell ref="H26:K26"/>
    <mergeCell ref="H27:K27"/>
    <mergeCell ref="H28:K28"/>
    <mergeCell ref="H20:K20"/>
    <mergeCell ref="H21:K21"/>
    <mergeCell ref="H22:K22"/>
    <mergeCell ref="L16:L20"/>
    <mergeCell ref="H16:K16"/>
    <mergeCell ref="H17:K17"/>
    <mergeCell ref="H18:K18"/>
    <mergeCell ref="H19:K19"/>
    <mergeCell ref="H13:K13"/>
    <mergeCell ref="H15:K15"/>
    <mergeCell ref="L10:L15"/>
    <mergeCell ref="H9:K9"/>
    <mergeCell ref="H10:K10"/>
    <mergeCell ref="H11:K11"/>
    <mergeCell ref="H14:K14"/>
    <mergeCell ref="C3:D3"/>
    <mergeCell ref="F3:G3"/>
    <mergeCell ref="C6:D6"/>
    <mergeCell ref="F6:G6"/>
    <mergeCell ref="C7:D7"/>
    <mergeCell ref="F7:G7"/>
  </mergeCells>
  <dataValidations count="9">
    <dataValidation type="list" allowBlank="1" showInputMessage="1" showErrorMessage="1" sqref="D51:D54">
      <formula1>Herramientas_Ensamble</formula1>
    </dataValidation>
    <dataValidation allowBlank="1" showInputMessage="1" showErrorMessage="1" prompt="Escriba comentarios en las celdas de la derecha." sqref="C59"/>
    <dataValidation type="list" allowBlank="1" showInputMessage="1" showErrorMessage="1" sqref="D10 D50">
      <formula1>Maquinaria_Ensamble</formula1>
    </dataValidation>
    <dataValidation type="list" allowBlank="1" showInputMessage="1" showErrorMessage="1" sqref="D42 D44 D46">
      <formula1>Repuestos_Ensamble</formula1>
    </dataValidation>
    <dataValidation type="list" allowBlank="1" showInputMessage="1" showErrorMessage="1" sqref="D30 D32">
      <formula1>Solvente_Ensamble</formula1>
    </dataValidation>
    <dataValidation type="list" allowBlank="1" showInputMessage="1" showErrorMessage="1" sqref="D25 D27">
      <formula1>Refrigerantes_Ensamble</formula1>
    </dataValidation>
    <dataValidation type="list" allowBlank="1" showInputMessage="1" showErrorMessage="1" sqref="D21">
      <formula1>AireComprimido_Ensamble</formula1>
    </dataValidation>
    <dataValidation type="list" allowBlank="1" showInputMessage="1" showErrorMessage="1" sqref="D16 D18">
      <formula1>Lubricantes_Ensamble</formula1>
    </dataValidation>
    <dataValidation type="list" allowBlank="1" showInputMessage="1" showErrorMessage="1" sqref="D12">
      <formula1>Areas_Ensamble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54</xdr:row>
                    <xdr:rowOff>333375</xdr:rowOff>
                  </from>
                  <to>
                    <xdr:col>1</xdr:col>
                    <xdr:colOff>1762125</xdr:colOff>
                    <xdr:row>55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5">
    <tabColor rgb="FF0070C0"/>
    <pageSetUpPr autoPageBreaks="0" fitToPage="1"/>
  </sheetPr>
  <dimension ref="B1:M59"/>
  <sheetViews>
    <sheetView showGridLines="0" topLeftCell="A16" zoomScale="80" zoomScaleNormal="80" workbookViewId="0">
      <selection activeCell="D30" sqref="D30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3.140625" style="80" bestFit="1" customWidth="1"/>
    <col min="5" max="5" width="20.5703125" style="80" customWidth="1"/>
    <col min="6" max="6" width="16.5703125" style="80" bestFit="1" customWidth="1"/>
    <col min="7" max="7" width="19.7109375" style="80" bestFit="1" customWidth="1"/>
    <col min="8" max="8" width="15.28515625" style="80" customWidth="1"/>
    <col min="9" max="10" width="17" style="80" customWidth="1"/>
    <col min="11" max="11" width="28.42578125" style="80" customWidth="1"/>
    <col min="12" max="12" width="20.7109375" style="80" customWidth="1"/>
    <col min="13" max="13" width="2.7109375" style="80" customWidth="1"/>
    <col min="14" max="16384" width="9.140625" style="80"/>
  </cols>
  <sheetData>
    <row r="1" spans="2:13" ht="12" customHeight="1" thickBot="1"/>
    <row r="2" spans="2:13" ht="30" customHeight="1">
      <c r="B2" s="126" t="s">
        <v>95</v>
      </c>
      <c r="C2" s="127"/>
      <c r="D2" s="128"/>
      <c r="E2" s="128"/>
      <c r="F2" s="128"/>
      <c r="G2" s="128"/>
      <c r="H2" s="128"/>
      <c r="I2" s="128"/>
      <c r="J2" s="128"/>
      <c r="K2" s="128"/>
      <c r="L2" s="129"/>
    </row>
    <row r="3" spans="2:13" ht="30" customHeight="1">
      <c r="B3" s="130" t="s">
        <v>96</v>
      </c>
      <c r="C3" s="406" t="s">
        <v>129</v>
      </c>
      <c r="D3" s="406"/>
      <c r="E3" s="125" t="s">
        <v>3</v>
      </c>
      <c r="F3" s="356">
        <f ca="1">TODAY()</f>
        <v>46020</v>
      </c>
      <c r="G3" s="356"/>
      <c r="H3" s="125" t="s">
        <v>61</v>
      </c>
      <c r="I3" s="162">
        <f>'INFO-Direc'!H3</f>
        <v>1445</v>
      </c>
      <c r="J3" s="131"/>
      <c r="K3" s="132"/>
      <c r="L3" s="133"/>
      <c r="M3" s="134"/>
    </row>
    <row r="4" spans="2:13" ht="30" customHeight="1">
      <c r="B4" s="130" t="s">
        <v>97</v>
      </c>
      <c r="C4" s="160">
        <f>IFERROR(INDEX('INFO-OEE'!E17:CL17,
       MATCH(C3, 'INFO-OEE'!E9:CL9, 0)),"")</f>
        <v>0.8</v>
      </c>
      <c r="D4" s="135"/>
      <c r="E4" s="136"/>
      <c r="F4" s="136"/>
      <c r="G4" s="136"/>
      <c r="H4" s="125"/>
      <c r="I4" s="137"/>
      <c r="J4" s="131"/>
      <c r="K4" s="132"/>
      <c r="L4" s="138"/>
      <c r="M4" s="89"/>
    </row>
    <row r="5" spans="2:13" ht="30" customHeight="1">
      <c r="B5" s="139" t="s">
        <v>4</v>
      </c>
      <c r="C5" s="140"/>
      <c r="D5" s="141"/>
      <c r="E5" s="141"/>
      <c r="F5" s="141"/>
      <c r="G5" s="141"/>
      <c r="H5" s="141"/>
      <c r="I5" s="141"/>
      <c r="J5" s="141"/>
      <c r="K5" s="141"/>
      <c r="L5" s="142"/>
    </row>
    <row r="6" spans="2:13" ht="30" customHeight="1">
      <c r="B6" s="143" t="s">
        <v>5</v>
      </c>
      <c r="C6" s="407"/>
      <c r="D6" s="407"/>
      <c r="E6" s="144" t="s">
        <v>6</v>
      </c>
      <c r="F6" s="407"/>
      <c r="G6" s="407"/>
      <c r="H6" s="141"/>
      <c r="I6" s="141"/>
      <c r="J6" s="141"/>
      <c r="K6" s="30"/>
      <c r="L6" s="145"/>
    </row>
    <row r="7" spans="2:13" ht="30" customHeight="1">
      <c r="B7" s="143" t="s">
        <v>7</v>
      </c>
      <c r="C7" s="407"/>
      <c r="D7" s="407"/>
      <c r="E7" s="144" t="s">
        <v>62</v>
      </c>
      <c r="F7" s="408"/>
      <c r="G7" s="408"/>
      <c r="H7" s="141"/>
      <c r="I7" s="141"/>
      <c r="J7" s="141"/>
      <c r="K7" s="30"/>
      <c r="L7" s="145"/>
    </row>
    <row r="8" spans="2:13" ht="30" customHeight="1" thickBot="1">
      <c r="B8" s="146"/>
      <c r="C8" s="147"/>
      <c r="D8" s="148"/>
      <c r="E8" s="148"/>
      <c r="F8" s="30"/>
      <c r="G8" s="30"/>
      <c r="H8" s="149"/>
      <c r="I8" s="149"/>
      <c r="J8" s="149"/>
      <c r="K8" s="30"/>
      <c r="L8" s="145"/>
    </row>
    <row r="9" spans="2:13" ht="30" customHeight="1" thickBot="1">
      <c r="B9" s="67" t="s">
        <v>9</v>
      </c>
      <c r="C9" s="190" t="s">
        <v>63</v>
      </c>
      <c r="D9" s="190" t="s">
        <v>64</v>
      </c>
      <c r="E9" s="190" t="s">
        <v>65</v>
      </c>
      <c r="F9" s="190" t="s">
        <v>66</v>
      </c>
      <c r="G9" s="190" t="s">
        <v>67</v>
      </c>
      <c r="H9" s="319" t="s">
        <v>68</v>
      </c>
      <c r="I9" s="319"/>
      <c r="J9" s="319"/>
      <c r="K9" s="319"/>
      <c r="L9" s="191" t="s">
        <v>98</v>
      </c>
    </row>
    <row r="10" spans="2:13" ht="30" customHeight="1">
      <c r="B10" s="404" t="s">
        <v>88</v>
      </c>
      <c r="C10" s="405" t="s">
        <v>89</v>
      </c>
      <c r="D10" s="231" t="s">
        <v>129</v>
      </c>
      <c r="E10" s="218"/>
      <c r="F10" s="219" t="str">
        <f>IF(D10="","","kW")</f>
        <v>kW</v>
      </c>
      <c r="G10" s="220">
        <f>IF(D10="","",IFERROR(INDEX('[4]INFO-Consumo'!$F$9:$F$95,
       MATCH(D10, '[4]INFO-Consumo'!$D$9:$D$95, 0)),""))</f>
        <v>1</v>
      </c>
      <c r="H10" s="401"/>
      <c r="I10" s="402"/>
      <c r="J10" s="402"/>
      <c r="K10" s="403"/>
      <c r="L10" s="400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0.30316793172398854</v>
      </c>
    </row>
    <row r="11" spans="2:13" ht="30" customHeight="1">
      <c r="B11" s="392"/>
      <c r="C11" s="393"/>
      <c r="D11" s="221" t="str">
        <f>IF(D10="", "Seleccionar Maquinaria ↑", "Carga Promedio de Uso de " &amp; D10)</f>
        <v>Carga Promedio de Uso de LAVADO MANUAL PMT25-36</v>
      </c>
      <c r="E11" s="222"/>
      <c r="F11" s="223" t="str">
        <f>IF(ISERROR(FIND("Seleccionar", D11)), "%", "")</f>
        <v>%</v>
      </c>
      <c r="G11" s="289">
        <f>IF(D10="","",IFERROR(
    INDEX('[4]INFO-Consumo'!I:I,
           MATCH(D10, '[4]INFO-Consumo'!D:D, 0)
    ),
""))</f>
        <v>0.6</v>
      </c>
      <c r="H11" s="384"/>
      <c r="I11" s="384"/>
      <c r="J11" s="384"/>
      <c r="K11" s="384"/>
      <c r="L11" s="399"/>
    </row>
    <row r="12" spans="2:13" ht="30" customHeight="1">
      <c r="B12" s="392"/>
      <c r="C12" s="393"/>
      <c r="D12" s="232" t="s">
        <v>173</v>
      </c>
      <c r="E12" s="222"/>
      <c r="F12" s="223" t="str">
        <f>IF(D12="","","kW")</f>
        <v>kW</v>
      </c>
      <c r="G12" s="224">
        <f>IFERROR(INDEX('[4]INFO-Ponderacion'!$S$9:$S$13,
       MATCH(D12,'[4]INFO-Ponderacion'!$C$9:$C$13, 0)),"")</f>
        <v>2.4095999999999997</v>
      </c>
      <c r="H12" s="286"/>
      <c r="I12" s="287"/>
      <c r="J12" s="287"/>
      <c r="K12" s="288"/>
      <c r="L12" s="399"/>
    </row>
    <row r="13" spans="2:13" ht="30" customHeight="1">
      <c r="B13" s="392"/>
      <c r="C13" s="393"/>
      <c r="D13" s="221" t="str">
        <f>IF(D12="", "Seleccionar Area ↑", "Tarifa Electrica ")</f>
        <v xml:space="preserve">Tarifa Electrica </v>
      </c>
      <c r="E13" s="222"/>
      <c r="F13" s="223" t="str">
        <f>IF(D12="","","$/kWh")</f>
        <v>$/kWh</v>
      </c>
      <c r="G13" s="228">
        <f>IF(D12="","",'INFO-Direc'!$G$9)</f>
        <v>5.2613958629577628E-2</v>
      </c>
      <c r="H13" s="384"/>
      <c r="I13" s="384"/>
      <c r="J13" s="384"/>
      <c r="K13" s="384"/>
      <c r="L13" s="399"/>
    </row>
    <row r="14" spans="2:13" ht="30" customHeight="1">
      <c r="B14" s="392"/>
      <c r="C14" s="393"/>
      <c r="D14" s="229" t="str">
        <f>IF(D12="", "Seleccionar Area ↑", "Costo Electrico Fijo de " &amp; D12)</f>
        <v>Costo Electrico Fijo de Ensamble</v>
      </c>
      <c r="E14" s="222"/>
      <c r="F14" s="223" t="str">
        <f>IF(D12="","","$/h")</f>
        <v>$/h</v>
      </c>
      <c r="G14" s="290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0.14482096183241172</v>
      </c>
      <c r="H14" s="385"/>
      <c r="I14" s="386"/>
      <c r="J14" s="386"/>
      <c r="K14" s="387"/>
      <c r="L14" s="399"/>
    </row>
    <row r="15" spans="2:13" ht="30" customHeight="1">
      <c r="B15" s="389"/>
      <c r="C15" s="391"/>
      <c r="D15" s="229" t="s">
        <v>85</v>
      </c>
      <c r="E15" s="230"/>
      <c r="F15" s="223" t="str">
        <f>IF(D12="","","$/h")</f>
        <v>$/h</v>
      </c>
      <c r="G15" s="233"/>
      <c r="H15" s="385"/>
      <c r="I15" s="386"/>
      <c r="J15" s="386"/>
      <c r="K15" s="387"/>
      <c r="L15" s="398"/>
    </row>
    <row r="16" spans="2:13" ht="30" customHeight="1">
      <c r="B16" s="388" t="s">
        <v>90</v>
      </c>
      <c r="C16" s="394" t="s">
        <v>89</v>
      </c>
      <c r="D16" s="232"/>
      <c r="E16" s="222"/>
      <c r="F16" s="223" t="str">
        <f>IF(D16="","","$/L")</f>
        <v/>
      </c>
      <c r="G16" s="228" t="str">
        <f>IFERROR(INDEX('INFO-Direc'!$G$9:$G$25,
       MATCH(D16, 'INFO-Direc'!$D$9:$D$25, 0)),"")</f>
        <v/>
      </c>
      <c r="H16" s="384"/>
      <c r="I16" s="384"/>
      <c r="J16" s="384"/>
      <c r="K16" s="384"/>
      <c r="L16" s="397" t="str">
        <f>IF(AND(D16="", D18=""), "",
    IFERROR(
        IFERROR(G16*G17,0)
        + IFERROR(G18*G19,0)
        + IFERROR(G20,0),
    "")
)</f>
        <v/>
      </c>
    </row>
    <row r="17" spans="2:12" ht="30" customHeight="1">
      <c r="B17" s="392"/>
      <c r="C17" s="395"/>
      <c r="D17" s="221" t="str">
        <f>IF(D16="", "Seleccionar Lubricante ↑", "Consumo de " &amp; D16)</f>
        <v>Seleccionar Lubricante ↑</v>
      </c>
      <c r="E17" s="222"/>
      <c r="F17" s="223" t="str">
        <f>IF(ISERROR(FIND("Seleccionar", D17)), "L/h", "")</f>
        <v/>
      </c>
      <c r="G17" s="234"/>
      <c r="H17" s="384"/>
      <c r="I17" s="384"/>
      <c r="J17" s="384"/>
      <c r="K17" s="384"/>
      <c r="L17" s="399"/>
    </row>
    <row r="18" spans="2:12" ht="30" customHeight="1">
      <c r="B18" s="392"/>
      <c r="C18" s="395"/>
      <c r="D18" s="232"/>
      <c r="E18" s="222"/>
      <c r="F18" s="223" t="str">
        <f>IF(D18="","","$/L")</f>
        <v/>
      </c>
      <c r="G18" s="228" t="str">
        <f>IFERROR(INDEX('INFO-Direc'!$G$9:$G$25,
       MATCH(D18, 'INFO-Direc'!$D$9:$D$25, 0)),"")</f>
        <v/>
      </c>
      <c r="H18" s="385"/>
      <c r="I18" s="386"/>
      <c r="J18" s="386"/>
      <c r="K18" s="387"/>
      <c r="L18" s="399"/>
    </row>
    <row r="19" spans="2:12" ht="30" customHeight="1">
      <c r="B19" s="392"/>
      <c r="C19" s="395"/>
      <c r="D19" s="221" t="str">
        <f>IF(D18="", "Seleccionar Lubricante ↑", "Consumo de " &amp; D18)</f>
        <v>Seleccionar Lubricante ↑</v>
      </c>
      <c r="E19" s="222"/>
      <c r="F19" s="223" t="str">
        <f>IF(ISERROR(FIND("Seleccionar", D19)), "L/h", "")</f>
        <v/>
      </c>
      <c r="G19" s="234"/>
      <c r="H19" s="385"/>
      <c r="I19" s="386"/>
      <c r="J19" s="386"/>
      <c r="K19" s="387"/>
      <c r="L19" s="399"/>
    </row>
    <row r="20" spans="2:12" ht="30" customHeight="1">
      <c r="B20" s="389"/>
      <c r="C20" s="396"/>
      <c r="D20" s="221" t="s">
        <v>85</v>
      </c>
      <c r="E20" s="222"/>
      <c r="F20" s="223" t="str">
        <f>IF(OR(D16&lt;&gt;"", D18&lt;&gt;""), "$/h", "")</f>
        <v/>
      </c>
      <c r="G20" s="233"/>
      <c r="H20" s="384"/>
      <c r="I20" s="384"/>
      <c r="J20" s="384"/>
      <c r="K20" s="384"/>
      <c r="L20" s="398"/>
    </row>
    <row r="21" spans="2:12" ht="30" customHeight="1">
      <c r="B21" s="388" t="s">
        <v>92</v>
      </c>
      <c r="C21" s="390" t="s">
        <v>89</v>
      </c>
      <c r="D21" s="232"/>
      <c r="E21" s="222"/>
      <c r="F21" s="223" t="str">
        <f>IF(D21="","","kW")</f>
        <v/>
      </c>
      <c r="G21" s="228" t="str">
        <f>IFERROR(INDEX('INFO-Direc'!$G$9:$G$25,
       MATCH(D21, 'INFO-Direc'!$D$9:$D$25, 0)),"")</f>
        <v/>
      </c>
      <c r="H21" s="385"/>
      <c r="I21" s="386"/>
      <c r="J21" s="386"/>
      <c r="K21" s="387"/>
      <c r="L21" s="397" t="str">
        <f>IFERROR(G21*G13*G22+G23+G24,"")</f>
        <v/>
      </c>
    </row>
    <row r="22" spans="2:12" ht="30" customHeight="1">
      <c r="B22" s="392"/>
      <c r="C22" s="393"/>
      <c r="D22" s="221" t="str">
        <f>IF(D21="", "Seleccionar Compresor ↑", "Carga Promedio de Uso de " &amp; D21)</f>
        <v>Seleccionar Compresor ↑</v>
      </c>
      <c r="E22" s="222"/>
      <c r="F22" s="223" t="str">
        <f>IF(ISERROR(FIND("Seleccionar", D22)), "%", "")</f>
        <v/>
      </c>
      <c r="G22" s="289" t="str">
        <f>IF(D21="","",IFERROR(
    INDEX('[4]INFO-Consumo'!I:I,
           MATCH(D21, '[4]INFO-Consumo'!D:D, 0)
    ),
""))</f>
        <v/>
      </c>
      <c r="H22" s="384"/>
      <c r="I22" s="384"/>
      <c r="J22" s="384"/>
      <c r="K22" s="384"/>
      <c r="L22" s="399"/>
    </row>
    <row r="23" spans="2:12" ht="30" customHeight="1">
      <c r="B23" s="392"/>
      <c r="C23" s="393"/>
      <c r="D23" s="235" t="str">
        <f>IF(D21="", "Seleccionar Compresor ↑", "Costo de Repuestos " &amp; D21)</f>
        <v>Seleccionar Compresor ↑</v>
      </c>
      <c r="E23" s="222"/>
      <c r="F23" s="223" t="str">
        <f>IF(ISERROR(FIND("Seleccionar", D23)), "$/h", "")</f>
        <v/>
      </c>
      <c r="G23" s="236" t="str">
        <f>IF(D21="","", SUM(IF(ISNUMBER(FIND("Compresor", 'INFO-Mant'!D9:D26)), 'INFO-Mant'!G9:G26 / 'INFO-Mant'!H9:H26, 0)))</f>
        <v/>
      </c>
      <c r="H23" s="385"/>
      <c r="I23" s="386"/>
      <c r="J23" s="386"/>
      <c r="K23" s="387"/>
      <c r="L23" s="399"/>
    </row>
    <row r="24" spans="2:12" ht="30" customHeight="1">
      <c r="B24" s="389"/>
      <c r="C24" s="391"/>
      <c r="D24" s="221" t="s">
        <v>85</v>
      </c>
      <c r="E24" s="222"/>
      <c r="F24" s="223" t="str">
        <f>IF(D21="","","$/h")</f>
        <v/>
      </c>
      <c r="G24" s="233"/>
      <c r="H24" s="384"/>
      <c r="I24" s="384"/>
      <c r="J24" s="384"/>
      <c r="K24" s="384"/>
      <c r="L24" s="398"/>
    </row>
    <row r="25" spans="2:12" ht="30" customHeight="1">
      <c r="B25" s="388" t="s">
        <v>94</v>
      </c>
      <c r="C25" s="390" t="s">
        <v>89</v>
      </c>
      <c r="D25" s="232"/>
      <c r="E25" s="222"/>
      <c r="F25" s="223" t="str">
        <f>IF(D25="","","$/L")</f>
        <v/>
      </c>
      <c r="G25" s="228" t="str">
        <f>IFERROR(INDEX('INFO-Direc'!$G$9:$G$25,
       MATCH(D25, 'INFO-Direc'!$D$9:$D$25, 0)),"")</f>
        <v/>
      </c>
      <c r="H25" s="384"/>
      <c r="I25" s="384"/>
      <c r="J25" s="384"/>
      <c r="K25" s="384"/>
      <c r="L25" s="381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92"/>
      <c r="C26" s="393"/>
      <c r="D26" s="221" t="str">
        <f>IF(D25="", "Seleccionar Refrigerante ↑", "Consumo de " &amp; D25)</f>
        <v>Seleccionar Refrigerante ↑</v>
      </c>
      <c r="E26" s="222"/>
      <c r="F26" s="223" t="str">
        <f>IF(ISERROR(FIND("Seleccionar", D26)), "L/Año", "")</f>
        <v/>
      </c>
      <c r="G26" s="238"/>
      <c r="H26" s="384"/>
      <c r="I26" s="384"/>
      <c r="J26" s="384"/>
      <c r="K26" s="384"/>
      <c r="L26" s="382"/>
    </row>
    <row r="27" spans="2:12" ht="30" customHeight="1">
      <c r="B27" s="392"/>
      <c r="C27" s="393"/>
      <c r="D27" s="232"/>
      <c r="E27" s="222"/>
      <c r="F27" s="223" t="str">
        <f>IF(D27="","","$/L")</f>
        <v/>
      </c>
      <c r="G27" s="228" t="str">
        <f>IFERROR(INDEX('INFO-Direc'!$G$9:$G$25,
       MATCH(D27, 'INFO-Direc'!$D$9:$D$25, 0)),"")</f>
        <v/>
      </c>
      <c r="H27" s="385"/>
      <c r="I27" s="386"/>
      <c r="J27" s="386"/>
      <c r="K27" s="387"/>
      <c r="L27" s="382"/>
    </row>
    <row r="28" spans="2:12" ht="30" customHeight="1">
      <c r="B28" s="392"/>
      <c r="C28" s="393"/>
      <c r="D28" s="221" t="str">
        <f>IF(D27="", "Seleccionar Refrigerante ↑", "Consumo de " &amp; D27)</f>
        <v>Seleccionar Refrigerante ↑</v>
      </c>
      <c r="E28" s="222"/>
      <c r="F28" s="223" t="str">
        <f>IF(ISERROR(FIND("Seleccionar", D28)), "L/Año", "")</f>
        <v/>
      </c>
      <c r="G28" s="239"/>
      <c r="H28" s="385"/>
      <c r="I28" s="386"/>
      <c r="J28" s="386"/>
      <c r="K28" s="387"/>
      <c r="L28" s="382"/>
    </row>
    <row r="29" spans="2:12" ht="30" customHeight="1">
      <c r="B29" s="389"/>
      <c r="C29" s="391"/>
      <c r="D29" s="221" t="s">
        <v>85</v>
      </c>
      <c r="E29" s="222"/>
      <c r="F29" s="223" t="str">
        <f>IF(OR(D25&lt;&gt;"", D27&lt;&gt;""), "$/h", "")</f>
        <v/>
      </c>
      <c r="G29" s="233"/>
      <c r="H29" s="384"/>
      <c r="I29" s="384"/>
      <c r="J29" s="384"/>
      <c r="K29" s="384"/>
      <c r="L29" s="383"/>
    </row>
    <row r="30" spans="2:12" s="152" customFormat="1" ht="30" customHeight="1">
      <c r="B30" s="388" t="s">
        <v>168</v>
      </c>
      <c r="C30" s="394" t="s">
        <v>89</v>
      </c>
      <c r="D30" s="232" t="s">
        <v>155</v>
      </c>
      <c r="E30" s="222"/>
      <c r="F30" s="223" t="str">
        <f>IF(D30="","","$/L")</f>
        <v>$/L</v>
      </c>
      <c r="G30" s="228">
        <f>IFERROR(INDEX('INFO-Direc'!$G$9:$G$25,
       MATCH(D30, 'INFO-Direc'!$D$9:$D$25, 0)),"")</f>
        <v>1.2463157894736843</v>
      </c>
      <c r="H30" s="384"/>
      <c r="I30" s="384"/>
      <c r="J30" s="384"/>
      <c r="K30" s="384"/>
      <c r="L30" s="381">
        <f>IF(
    AND(D30="", D32=""),
    "",
    IFERROR(
        IFERROR(G30 / (INDEX('INFO-OEE'!$E$18:$CA$18,
                               MATCH(#REF!, 'INFO-OEE'!$E$9:$CA$9, 0)) * 12), 0)
        * G31
        +
        IFERROR(G32 / (INDEX('INFO-OEE'!$E$18:$CA$18,
                               MATCH(#REF!, 'INFO-OEE'!$E$9:$CA$9, 0)) * 12), 0)
        * G33
        +
        IFERROR(G34, 0),
    "")
)</f>
        <v>0</v>
      </c>
    </row>
    <row r="31" spans="2:12" s="152" customFormat="1" ht="30" customHeight="1">
      <c r="B31" s="392"/>
      <c r="C31" s="395"/>
      <c r="D31" s="221" t="str">
        <f>IF(D30="", "Seleccionar Solvente ↑", "Consumo de " &amp; D30)</f>
        <v>Consumo de Solvente 261</v>
      </c>
      <c r="E31" s="222"/>
      <c r="F31" s="223" t="str">
        <f>IF(ISERROR(FIND("Seleccionar", D31)), "L/Año", "")</f>
        <v>L/Año</v>
      </c>
      <c r="G31" s="234"/>
      <c r="H31" s="384"/>
      <c r="I31" s="384"/>
      <c r="J31" s="384"/>
      <c r="K31" s="384"/>
      <c r="L31" s="382"/>
    </row>
    <row r="32" spans="2:12" s="152" customFormat="1" ht="30" customHeight="1">
      <c r="B32" s="392"/>
      <c r="C32" s="395"/>
      <c r="D32" s="232"/>
      <c r="E32" s="222"/>
      <c r="F32" s="223" t="str">
        <f>IF(D32="","","$/L")</f>
        <v/>
      </c>
      <c r="G32" s="228" t="str">
        <f>IFERROR(INDEX('INFO-Direc'!$G$9:$G$25,
       MATCH(D32, 'INFO-Direc'!$D$9:$D$25, 0)),"")</f>
        <v/>
      </c>
      <c r="H32" s="385"/>
      <c r="I32" s="386"/>
      <c r="J32" s="386"/>
      <c r="K32" s="387"/>
      <c r="L32" s="382"/>
    </row>
    <row r="33" spans="2:12" s="152" customFormat="1" ht="30" customHeight="1">
      <c r="B33" s="392"/>
      <c r="C33" s="395"/>
      <c r="D33" s="221" t="str">
        <f>IF(D32="", "Seleccionar Solvente ↑", "Consumo de " &amp; D32)</f>
        <v>Seleccionar Solvente ↑</v>
      </c>
      <c r="E33" s="222"/>
      <c r="F33" s="223" t="str">
        <f>IF(ISERROR(FIND("Seleccionar", D33)), "L/Año", "")</f>
        <v/>
      </c>
      <c r="G33" s="234"/>
      <c r="H33" s="385"/>
      <c r="I33" s="386"/>
      <c r="J33" s="386"/>
      <c r="K33" s="387"/>
      <c r="L33" s="382"/>
    </row>
    <row r="34" spans="2:12" s="152" customFormat="1" ht="30" customHeight="1">
      <c r="B34" s="389"/>
      <c r="C34" s="396"/>
      <c r="D34" s="221" t="s">
        <v>85</v>
      </c>
      <c r="E34" s="222"/>
      <c r="F34" s="223" t="str">
        <f>IF(OR(D30&lt;&gt;"", D32&lt;&gt;""), "$/h", "")</f>
        <v>$/h</v>
      </c>
      <c r="G34" s="233"/>
      <c r="H34" s="384"/>
      <c r="I34" s="384"/>
      <c r="J34" s="384"/>
      <c r="K34" s="384"/>
      <c r="L34" s="383"/>
    </row>
    <row r="35" spans="2:12" ht="30" customHeight="1">
      <c r="B35" s="388" t="s">
        <v>100</v>
      </c>
      <c r="C35" s="390" t="s">
        <v>89</v>
      </c>
      <c r="D35" s="221" t="str">
        <f>IF(D12="", "Seleccionar Area ↑", "Costo de Operarios")</f>
        <v>Costo de Operarios</v>
      </c>
      <c r="E35" s="222"/>
      <c r="F35" s="223" t="str">
        <f>IF(D12="","","$/mes")</f>
        <v>$/mes</v>
      </c>
      <c r="G35" s="237">
        <f>IF(D12="","",IFERROR(
    INDEX('INFO-Personal'!$E$26:$CA$26,
           MATCH($C$3, 'INFO-Personal'!$E$9:$CA$9, 0)
    ),
""))</f>
        <v>631.29763832752622</v>
      </c>
      <c r="H35" s="384"/>
      <c r="I35" s="384"/>
      <c r="J35" s="384"/>
      <c r="K35" s="384"/>
      <c r="L35" s="397">
        <f>IFERROR(
    (G35 / INDEX('INFO-OEE'!$E$18:$CA$18,
                  MATCH($C$3, 'INFO-OEE'!$E$9:$CA$9, 0)))
    + G36,
"")</f>
        <v>4.4836479994852709</v>
      </c>
    </row>
    <row r="36" spans="2:12" ht="30" customHeight="1">
      <c r="B36" s="389"/>
      <c r="C36" s="391"/>
      <c r="D36" s="221" t="s">
        <v>85</v>
      </c>
      <c r="E36" s="222"/>
      <c r="F36" s="223" t="str">
        <f>IF(D12="","","$/h")</f>
        <v>$/h</v>
      </c>
      <c r="G36" s="240"/>
      <c r="H36" s="384"/>
      <c r="I36" s="384"/>
      <c r="J36" s="384"/>
      <c r="K36" s="384"/>
      <c r="L36" s="398"/>
    </row>
    <row r="37" spans="2:12" ht="30" customHeight="1">
      <c r="B37" s="241"/>
      <c r="C37" s="242"/>
      <c r="D37" s="243"/>
      <c r="E37" s="242"/>
      <c r="F37" s="244"/>
      <c r="G37" s="245"/>
      <c r="H37" s="409"/>
      <c r="I37" s="409"/>
      <c r="J37" s="409"/>
      <c r="K37" s="409"/>
      <c r="L37" s="246"/>
    </row>
    <row r="38" spans="2:12" ht="30" customHeight="1">
      <c r="B38" s="388" t="s">
        <v>16</v>
      </c>
      <c r="C38" s="390" t="s">
        <v>69</v>
      </c>
      <c r="D38" s="221" t="str">
        <f>IF(D12="", "Seleccionar Area ↑", "Costo de Supervisores")</f>
        <v>Costo de Supervisores</v>
      </c>
      <c r="E38" s="222"/>
      <c r="F38" s="247" t="str">
        <f>IF(D12="","","$/mes")</f>
        <v>$/mes</v>
      </c>
      <c r="G38" s="237">
        <f>IF(D12="","",IFERROR(
    INDEX('INFO-Personal'!$E$27:$CA$27,
           MATCH($C$3, 'INFO-Personal'!$E$9:$CA$9, 0)
    ),
""))</f>
        <v>51.241933194853928</v>
      </c>
      <c r="H38" s="385"/>
      <c r="I38" s="386"/>
      <c r="J38" s="386"/>
      <c r="K38" s="387"/>
      <c r="L38" s="397">
        <f>IFERROR(
    (G38 / INDEX('INFO-OEE'!$E$18:$CA$18,
                  MATCH($C$3, 'INFO-OEE'!$E$9:$CA$9, 0)))
    + G39,
"")</f>
        <v>0.36393418462254207</v>
      </c>
    </row>
    <row r="39" spans="2:12" ht="30" customHeight="1">
      <c r="B39" s="392"/>
      <c r="C39" s="393"/>
      <c r="D39" s="221" t="s">
        <v>85</v>
      </c>
      <c r="E39" s="222"/>
      <c r="F39" s="223" t="str">
        <f>IF(D12="","","$/h")</f>
        <v>$/h</v>
      </c>
      <c r="G39" s="240"/>
      <c r="H39" s="385"/>
      <c r="I39" s="386"/>
      <c r="J39" s="386"/>
      <c r="K39" s="387"/>
      <c r="L39" s="399"/>
    </row>
    <row r="40" spans="2:12" ht="30" customHeight="1">
      <c r="B40" s="388" t="s">
        <v>101</v>
      </c>
      <c r="C40" s="390" t="s">
        <v>69</v>
      </c>
      <c r="D40" s="221" t="str">
        <f>IF(D12="", "Seleccionar Area ↑", "Costo de Mant. Preventivo")</f>
        <v>Costo de Mant. Preventivo</v>
      </c>
      <c r="E40" s="222"/>
      <c r="F40" s="247" t="str">
        <f>IF(D12="","","$/mes")</f>
        <v>$/mes</v>
      </c>
      <c r="G40" s="237">
        <f>IF(D12="","",IFERROR(
    INDEX('INFO-Personal'!$E$28:$CA$28,
           MATCH($C$3, 'INFO-Personal'!$E$9:$CA$9, 0)
    ),
""))</f>
        <v>3.4161288796569287</v>
      </c>
      <c r="H40" s="385"/>
      <c r="I40" s="386"/>
      <c r="J40" s="386"/>
      <c r="K40" s="387"/>
      <c r="L40" s="397">
        <f>IF(D12="","",SUM(
    IFERROR((G40+G41) / INDEX('INFO-OEE'!$E$18:$CA$18, MATCH(C3, 'INFO-OEE'!$E$9:$CA$9, 0)), 0),
    IFERROR(G42 / G43, 0),
    IFERROR(G44 / G45, 0),
    IFERROR(G46 / G47, 0),
    IFERROR(G48, 0)
))</f>
        <v>0.27449741271484929</v>
      </c>
    </row>
    <row r="41" spans="2:12" ht="30" customHeight="1">
      <c r="B41" s="392"/>
      <c r="C41" s="393"/>
      <c r="D41" s="221" t="str">
        <f>IF(D12="", "Seleccionar Area ↑", "Costo de Mant. Correctivo")</f>
        <v>Costo de Mant. Correctivo</v>
      </c>
      <c r="E41" s="222"/>
      <c r="F41" s="247" t="str">
        <f>IF(D12="","","$/mes")</f>
        <v>$/mes</v>
      </c>
      <c r="G41" s="237">
        <f>IF(D12="","",IFERROR(
    INDEX('INFO-Personal'!$E$29:$CA$29,
           MATCH($C$3, 'INFO-Personal'!$E$9:$CA$9, 0)
    ),
""))</f>
        <v>35.233106830593854</v>
      </c>
      <c r="H41" s="385"/>
      <c r="I41" s="386"/>
      <c r="J41" s="386"/>
      <c r="K41" s="387"/>
      <c r="L41" s="399"/>
    </row>
    <row r="42" spans="2:12" ht="30" customHeight="1">
      <c r="B42" s="392"/>
      <c r="C42" s="393"/>
      <c r="D42" s="232"/>
      <c r="E42" s="222"/>
      <c r="F42" s="223" t="str">
        <f>IF(D42="","","$/u")</f>
        <v/>
      </c>
      <c r="G42" s="237" t="str">
        <f>IFERROR(INDEX('INFO-Mant'!$G$9:$G$26,
       MATCH(D42, 'INFO-Mant'!$D$9:$D$26, 0)),"")</f>
        <v/>
      </c>
      <c r="H42" s="385"/>
      <c r="I42" s="386"/>
      <c r="J42" s="386"/>
      <c r="K42" s="387"/>
      <c r="L42" s="399"/>
    </row>
    <row r="43" spans="2:12" ht="30" customHeight="1">
      <c r="B43" s="392"/>
      <c r="C43" s="393"/>
      <c r="D43" s="221" t="str">
        <f>IF(D42="", "Seleccionar Repuesto ↑", "Vida Util de " &amp; D42)</f>
        <v>Seleccionar Repuesto ↑</v>
      </c>
      <c r="E43" s="222"/>
      <c r="F43" s="223" t="str">
        <f>IF(ISERROR(FIND("Seleccionar", D43)), "Horas/u", "")</f>
        <v/>
      </c>
      <c r="G43" s="238"/>
      <c r="H43" s="385"/>
      <c r="I43" s="386"/>
      <c r="J43" s="386"/>
      <c r="K43" s="387"/>
      <c r="L43" s="399"/>
    </row>
    <row r="44" spans="2:12" ht="30" customHeight="1">
      <c r="B44" s="392"/>
      <c r="C44" s="393"/>
      <c r="D44" s="232"/>
      <c r="E44" s="222"/>
      <c r="F44" s="223" t="str">
        <f>IF(D44="","","$/u")</f>
        <v/>
      </c>
      <c r="G44" s="237" t="str">
        <f>IFERROR(INDEX('INFO-Mant'!$G$9:$G$26,
       MATCH(D44, 'INFO-Mant'!$D$9:$D$26, 0)),"")</f>
        <v/>
      </c>
      <c r="H44" s="385"/>
      <c r="I44" s="386"/>
      <c r="J44" s="386"/>
      <c r="K44" s="387"/>
      <c r="L44" s="399"/>
    </row>
    <row r="45" spans="2:12" ht="30" customHeight="1">
      <c r="B45" s="392"/>
      <c r="C45" s="393"/>
      <c r="D45" s="221" t="str">
        <f>IF(D44="", "Seleccionar Repuesto ↑", "Vida Util de " &amp; D44)</f>
        <v>Seleccionar Repuesto ↑</v>
      </c>
      <c r="E45" s="222"/>
      <c r="F45" s="223" t="str">
        <f>IF(ISERROR(FIND("Seleccionar", D45)), "Horas/u", "")</f>
        <v/>
      </c>
      <c r="G45" s="238"/>
      <c r="H45" s="385"/>
      <c r="I45" s="386"/>
      <c r="J45" s="386"/>
      <c r="K45" s="387"/>
      <c r="L45" s="399"/>
    </row>
    <row r="46" spans="2:12" ht="30" customHeight="1">
      <c r="B46" s="392"/>
      <c r="C46" s="393"/>
      <c r="D46" s="232"/>
      <c r="E46" s="222"/>
      <c r="F46" s="223" t="str">
        <f>IF(D46="","","$/u")</f>
        <v/>
      </c>
      <c r="G46" s="237" t="str">
        <f>IFERROR(INDEX('INFO-Mant'!$G$9:$G$26,
       MATCH(D46, 'INFO-Mant'!$D$9:$D$26, 0)),"")</f>
        <v/>
      </c>
      <c r="H46" s="385"/>
      <c r="I46" s="386"/>
      <c r="J46" s="386"/>
      <c r="K46" s="387"/>
      <c r="L46" s="399"/>
    </row>
    <row r="47" spans="2:12" ht="30" customHeight="1">
      <c r="B47" s="392"/>
      <c r="C47" s="393"/>
      <c r="D47" s="221" t="str">
        <f>IF(D46="", "Seleccionar Repuesto ↑", "Vida Util de " &amp; D46)</f>
        <v>Seleccionar Repuesto ↑</v>
      </c>
      <c r="E47" s="222"/>
      <c r="F47" s="223" t="str">
        <f>IF(ISERROR(FIND("Seleccionar", D47)), "Horas/u", "")</f>
        <v/>
      </c>
      <c r="G47" s="240"/>
      <c r="H47" s="385"/>
      <c r="I47" s="386"/>
      <c r="J47" s="386"/>
      <c r="K47" s="387"/>
      <c r="L47" s="399"/>
    </row>
    <row r="48" spans="2:12" ht="30" customHeight="1">
      <c r="B48" s="389"/>
      <c r="C48" s="391"/>
      <c r="D48" s="221" t="s">
        <v>85</v>
      </c>
      <c r="E48" s="222"/>
      <c r="F48" s="223" t="str">
        <f>IF(D12="","","$/h")</f>
        <v>$/h</v>
      </c>
      <c r="G48" s="240"/>
      <c r="H48" s="385"/>
      <c r="I48" s="386"/>
      <c r="J48" s="386"/>
      <c r="K48" s="387"/>
      <c r="L48" s="398"/>
    </row>
    <row r="49" spans="2:12" ht="30" customHeight="1">
      <c r="B49" s="248"/>
      <c r="C49" s="249"/>
      <c r="D49" s="250"/>
      <c r="E49" s="249"/>
      <c r="F49" s="251"/>
      <c r="G49" s="252"/>
      <c r="H49" s="249"/>
      <c r="I49" s="249"/>
      <c r="J49" s="249"/>
      <c r="K49" s="249"/>
      <c r="L49" s="253"/>
    </row>
    <row r="50" spans="2:12" ht="30" customHeight="1">
      <c r="B50" s="388" t="s">
        <v>102</v>
      </c>
      <c r="C50" s="394" t="s">
        <v>103</v>
      </c>
      <c r="D50" s="232"/>
      <c r="E50" s="222"/>
      <c r="F50" s="223" t="str">
        <f>IF(D50="","","$/h")</f>
        <v/>
      </c>
      <c r="G50" s="23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410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410"/>
      <c r="J50" s="410"/>
      <c r="K50" s="410"/>
      <c r="L50" s="255" t="str">
        <f ca="1">G50</f>
        <v/>
      </c>
    </row>
    <row r="51" spans="2:12" ht="30" customHeight="1">
      <c r="B51" s="392"/>
      <c r="C51" s="395"/>
      <c r="D51" s="232"/>
      <c r="E51" s="254"/>
      <c r="F51" s="223" t="str">
        <f>IF(D51="","","$/h")</f>
        <v/>
      </c>
      <c r="G51" s="23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410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410"/>
      <c r="J51" s="410"/>
      <c r="K51" s="410"/>
      <c r="L51" s="255" t="str">
        <f ca="1">G51</f>
        <v/>
      </c>
    </row>
    <row r="52" spans="2:12" ht="30" customHeight="1">
      <c r="B52" s="392"/>
      <c r="C52" s="395"/>
      <c r="D52" s="232"/>
      <c r="E52" s="222"/>
      <c r="F52" s="223" t="str">
        <f t="shared" ref="F52:F54" si="0">IF(D52="","","$/h")</f>
        <v/>
      </c>
      <c r="G52" s="23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410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410"/>
      <c r="J52" s="410"/>
      <c r="K52" s="410"/>
      <c r="L52" s="255" t="str">
        <f ca="1">G52</f>
        <v/>
      </c>
    </row>
    <row r="53" spans="2:12" ht="30" customHeight="1">
      <c r="B53" s="392"/>
      <c r="C53" s="395"/>
      <c r="D53" s="232"/>
      <c r="E53" s="222"/>
      <c r="F53" s="223" t="str">
        <f t="shared" si="0"/>
        <v/>
      </c>
      <c r="G53" s="23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410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410"/>
      <c r="J53" s="410"/>
      <c r="K53" s="410"/>
      <c r="L53" s="255" t="str">
        <f ca="1">G53</f>
        <v/>
      </c>
    </row>
    <row r="54" spans="2:12" ht="30" customHeight="1">
      <c r="B54" s="389"/>
      <c r="C54" s="396"/>
      <c r="D54" s="232"/>
      <c r="E54" s="222"/>
      <c r="F54" s="223" t="str">
        <f t="shared" si="0"/>
        <v/>
      </c>
      <c r="G54" s="23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410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410"/>
      <c r="J54" s="410"/>
      <c r="K54" s="410"/>
      <c r="L54" s="255" t="str">
        <f ca="1">G54</f>
        <v/>
      </c>
    </row>
    <row r="55" spans="2:12" ht="30" customHeight="1">
      <c r="B55" s="146"/>
      <c r="C55" s="147"/>
      <c r="D55" s="411"/>
      <c r="E55" s="411"/>
      <c r="F55" s="30"/>
      <c r="G55" s="30"/>
      <c r="H55" s="149"/>
      <c r="I55" s="149"/>
      <c r="J55" s="149"/>
      <c r="K55" s="30"/>
      <c r="L55" s="145"/>
    </row>
    <row r="56" spans="2:12" ht="30" customHeight="1" thickBot="1">
      <c r="B56" s="153" t="s">
        <v>39</v>
      </c>
      <c r="C56" s="330"/>
      <c r="D56" s="330"/>
      <c r="E56" s="154" t="s">
        <v>23</v>
      </c>
      <c r="F56" s="368"/>
      <c r="G56" s="368"/>
      <c r="H56" s="141"/>
      <c r="I56" s="141"/>
      <c r="J56" s="141"/>
      <c r="K56" s="256"/>
      <c r="L56" s="257"/>
    </row>
    <row r="57" spans="2:12" ht="30" customHeight="1" thickBot="1">
      <c r="B57" s="155"/>
      <c r="C57" s="156"/>
      <c r="D57" s="156"/>
      <c r="E57" s="156"/>
      <c r="F57" s="378"/>
      <c r="G57" s="378"/>
      <c r="H57" s="157"/>
      <c r="I57" s="157"/>
      <c r="J57" s="157"/>
      <c r="K57" s="258" t="s">
        <v>106</v>
      </c>
      <c r="L57" s="259">
        <f ca="1">IFERROR(SUM(L19:L54),"")</f>
        <v>5.1220795968226618</v>
      </c>
    </row>
    <row r="59" spans="2:12" ht="30" customHeight="1">
      <c r="C59" s="117"/>
    </row>
  </sheetData>
  <sheetProtection selectLockedCells="1"/>
  <mergeCells count="80">
    <mergeCell ref="D55:E55"/>
    <mergeCell ref="C56:D56"/>
    <mergeCell ref="F56:G56"/>
    <mergeCell ref="F57:G57"/>
    <mergeCell ref="B50:B54"/>
    <mergeCell ref="C50:C54"/>
    <mergeCell ref="H50:K50"/>
    <mergeCell ref="H51:K51"/>
    <mergeCell ref="H52:K52"/>
    <mergeCell ref="H53:K53"/>
    <mergeCell ref="H54:K54"/>
    <mergeCell ref="L38:L39"/>
    <mergeCell ref="B40:B48"/>
    <mergeCell ref="C40:C48"/>
    <mergeCell ref="L40:L48"/>
    <mergeCell ref="H44:K44"/>
    <mergeCell ref="H45:K45"/>
    <mergeCell ref="H46:K46"/>
    <mergeCell ref="H47:K47"/>
    <mergeCell ref="H48:K48"/>
    <mergeCell ref="H39:K39"/>
    <mergeCell ref="H40:K40"/>
    <mergeCell ref="H41:K41"/>
    <mergeCell ref="H42:K42"/>
    <mergeCell ref="H43:K43"/>
    <mergeCell ref="B38:B39"/>
    <mergeCell ref="C38:C39"/>
    <mergeCell ref="B10:B15"/>
    <mergeCell ref="C10:C15"/>
    <mergeCell ref="B16:B20"/>
    <mergeCell ref="C16:C20"/>
    <mergeCell ref="B21:B24"/>
    <mergeCell ref="C21:C24"/>
    <mergeCell ref="H38:K38"/>
    <mergeCell ref="H34:K34"/>
    <mergeCell ref="H35:K35"/>
    <mergeCell ref="H36:K36"/>
    <mergeCell ref="H37:K37"/>
    <mergeCell ref="B35:B36"/>
    <mergeCell ref="C35:C36"/>
    <mergeCell ref="L35:L36"/>
    <mergeCell ref="H30:K30"/>
    <mergeCell ref="H31:K31"/>
    <mergeCell ref="H32:K32"/>
    <mergeCell ref="H33:K33"/>
    <mergeCell ref="B30:B34"/>
    <mergeCell ref="C30:C34"/>
    <mergeCell ref="L30:L34"/>
    <mergeCell ref="B25:B29"/>
    <mergeCell ref="C25:C29"/>
    <mergeCell ref="L25:L29"/>
    <mergeCell ref="H23:K23"/>
    <mergeCell ref="H24:K24"/>
    <mergeCell ref="H25:K25"/>
    <mergeCell ref="L21:L24"/>
    <mergeCell ref="H29:K29"/>
    <mergeCell ref="H26:K26"/>
    <mergeCell ref="H27:K27"/>
    <mergeCell ref="H28:K28"/>
    <mergeCell ref="H20:K20"/>
    <mergeCell ref="H21:K21"/>
    <mergeCell ref="H22:K22"/>
    <mergeCell ref="L16:L20"/>
    <mergeCell ref="H16:K16"/>
    <mergeCell ref="H17:K17"/>
    <mergeCell ref="H18:K18"/>
    <mergeCell ref="H19:K19"/>
    <mergeCell ref="H13:K13"/>
    <mergeCell ref="H15:K15"/>
    <mergeCell ref="L10:L15"/>
    <mergeCell ref="H9:K9"/>
    <mergeCell ref="H10:K10"/>
    <mergeCell ref="H11:K11"/>
    <mergeCell ref="H14:K14"/>
    <mergeCell ref="C3:D3"/>
    <mergeCell ref="F3:G3"/>
    <mergeCell ref="C6:D6"/>
    <mergeCell ref="F6:G6"/>
    <mergeCell ref="C7:D7"/>
    <mergeCell ref="F7:G7"/>
  </mergeCells>
  <dataValidations count="9">
    <dataValidation allowBlank="1" showInputMessage="1" showErrorMessage="1" prompt="Escriba comentarios en las celdas de la derecha." sqref="C59"/>
    <dataValidation type="list" allowBlank="1" showInputMessage="1" showErrorMessage="1" sqref="D51:D54">
      <formula1>Herramientas_Ensamble</formula1>
    </dataValidation>
    <dataValidation type="list" allowBlank="1" showInputMessage="1" showErrorMessage="1" sqref="D12">
      <formula1>Areas_Ensamble</formula1>
    </dataValidation>
    <dataValidation type="list" allowBlank="1" showInputMessage="1" showErrorMessage="1" sqref="D16 D18">
      <formula1>Lubricantes_Ensamble</formula1>
    </dataValidation>
    <dataValidation type="list" allowBlank="1" showInputMessage="1" showErrorMessage="1" sqref="D21">
      <formula1>AireComprimido_Ensamble</formula1>
    </dataValidation>
    <dataValidation type="list" allowBlank="1" showInputMessage="1" showErrorMessage="1" sqref="D25 D27">
      <formula1>Refrigerantes_Ensamble</formula1>
    </dataValidation>
    <dataValidation type="list" allowBlank="1" showInputMessage="1" showErrorMessage="1" sqref="D30 D32">
      <formula1>Solvente_Ensamble</formula1>
    </dataValidation>
    <dataValidation type="list" allowBlank="1" showInputMessage="1" showErrorMessage="1" sqref="D42 D44 D46">
      <formula1>Repuestos_Ensamble</formula1>
    </dataValidation>
    <dataValidation type="list" allowBlank="1" showInputMessage="1" showErrorMessage="1" sqref="D10 D50">
      <formula1>Maquinaria_Ensamble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54</xdr:row>
                    <xdr:rowOff>333375</xdr:rowOff>
                  </from>
                  <to>
                    <xdr:col>1</xdr:col>
                    <xdr:colOff>1762125</xdr:colOff>
                    <xdr:row>55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6">
    <tabColor rgb="FF0070C0"/>
    <pageSetUpPr autoPageBreaks="0" fitToPage="1"/>
  </sheetPr>
  <dimension ref="B1:M59"/>
  <sheetViews>
    <sheetView showGridLines="0" topLeftCell="A19" zoomScale="80" zoomScaleNormal="80" workbookViewId="0">
      <selection activeCell="D21" sqref="D21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3.140625" style="80" bestFit="1" customWidth="1"/>
    <col min="5" max="5" width="20.5703125" style="80" customWidth="1"/>
    <col min="6" max="6" width="16.5703125" style="80" bestFit="1" customWidth="1"/>
    <col min="7" max="7" width="19.7109375" style="80" bestFit="1" customWidth="1"/>
    <col min="8" max="8" width="15.28515625" style="80" customWidth="1"/>
    <col min="9" max="10" width="17" style="80" customWidth="1"/>
    <col min="11" max="11" width="28.42578125" style="80" customWidth="1"/>
    <col min="12" max="12" width="20.7109375" style="80" customWidth="1"/>
    <col min="13" max="13" width="2.7109375" style="80" customWidth="1"/>
    <col min="14" max="16384" width="9.140625" style="80"/>
  </cols>
  <sheetData>
    <row r="1" spans="2:13" ht="12" customHeight="1" thickBot="1"/>
    <row r="2" spans="2:13" ht="30" customHeight="1">
      <c r="B2" s="126" t="s">
        <v>95</v>
      </c>
      <c r="C2" s="127"/>
      <c r="D2" s="128"/>
      <c r="E2" s="128"/>
      <c r="F2" s="128"/>
      <c r="G2" s="128"/>
      <c r="H2" s="128"/>
      <c r="I2" s="128"/>
      <c r="J2" s="128"/>
      <c r="K2" s="128"/>
      <c r="L2" s="129"/>
    </row>
    <row r="3" spans="2:13" ht="30" customHeight="1">
      <c r="B3" s="130" t="s">
        <v>96</v>
      </c>
      <c r="C3" s="406" t="s">
        <v>130</v>
      </c>
      <c r="D3" s="406"/>
      <c r="E3" s="125" t="s">
        <v>3</v>
      </c>
      <c r="F3" s="356">
        <f ca="1">TODAY()</f>
        <v>46020</v>
      </c>
      <c r="G3" s="356"/>
      <c r="H3" s="125" t="s">
        <v>61</v>
      </c>
      <c r="I3" s="162">
        <f>'INFO-Direc'!H3</f>
        <v>1445</v>
      </c>
      <c r="J3" s="131"/>
      <c r="K3" s="132"/>
      <c r="L3" s="133"/>
      <c r="M3" s="134"/>
    </row>
    <row r="4" spans="2:13" ht="30" customHeight="1">
      <c r="B4" s="130" t="s">
        <v>97</v>
      </c>
      <c r="C4" s="160">
        <f>IFERROR(INDEX('INFO-OEE'!E17:CL17,
       MATCH(C3, 'INFO-OEE'!E9:CL9, 0)),"")</f>
        <v>0.8</v>
      </c>
      <c r="D4" s="135"/>
      <c r="E4" s="136"/>
      <c r="F4" s="136"/>
      <c r="G4" s="136"/>
      <c r="H4" s="125"/>
      <c r="I4" s="137"/>
      <c r="J4" s="131"/>
      <c r="K4" s="132"/>
      <c r="L4" s="138"/>
      <c r="M4" s="89"/>
    </row>
    <row r="5" spans="2:13" ht="30" customHeight="1">
      <c r="B5" s="139" t="s">
        <v>4</v>
      </c>
      <c r="C5" s="140"/>
      <c r="D5" s="141"/>
      <c r="E5" s="141"/>
      <c r="F5" s="141"/>
      <c r="G5" s="141"/>
      <c r="H5" s="141"/>
      <c r="I5" s="141"/>
      <c r="J5" s="141"/>
      <c r="K5" s="141"/>
      <c r="L5" s="142"/>
    </row>
    <row r="6" spans="2:13" ht="30" customHeight="1">
      <c r="B6" s="143" t="s">
        <v>5</v>
      </c>
      <c r="C6" s="407"/>
      <c r="D6" s="407"/>
      <c r="E6" s="144" t="s">
        <v>6</v>
      </c>
      <c r="F6" s="407"/>
      <c r="G6" s="407"/>
      <c r="H6" s="141"/>
      <c r="I6" s="141"/>
      <c r="J6" s="141"/>
      <c r="K6" s="30"/>
      <c r="L6" s="145"/>
    </row>
    <row r="7" spans="2:13" ht="30" customHeight="1">
      <c r="B7" s="143" t="s">
        <v>7</v>
      </c>
      <c r="C7" s="407"/>
      <c r="D7" s="407"/>
      <c r="E7" s="144" t="s">
        <v>62</v>
      </c>
      <c r="F7" s="408"/>
      <c r="G7" s="408"/>
      <c r="H7" s="141"/>
      <c r="I7" s="141"/>
      <c r="J7" s="141"/>
      <c r="K7" s="30"/>
      <c r="L7" s="145"/>
    </row>
    <row r="8" spans="2:13" ht="30" customHeight="1" thickBot="1">
      <c r="B8" s="146"/>
      <c r="C8" s="147"/>
      <c r="D8" s="148"/>
      <c r="E8" s="148"/>
      <c r="F8" s="30"/>
      <c r="G8" s="30"/>
      <c r="H8" s="149"/>
      <c r="I8" s="149"/>
      <c r="J8" s="149"/>
      <c r="K8" s="30"/>
      <c r="L8" s="145"/>
    </row>
    <row r="9" spans="2:13" ht="30" customHeight="1" thickBot="1">
      <c r="B9" s="67" t="s">
        <v>9</v>
      </c>
      <c r="C9" s="190" t="s">
        <v>63</v>
      </c>
      <c r="D9" s="190" t="s">
        <v>64</v>
      </c>
      <c r="E9" s="190" t="s">
        <v>65</v>
      </c>
      <c r="F9" s="190" t="s">
        <v>66</v>
      </c>
      <c r="G9" s="190" t="s">
        <v>67</v>
      </c>
      <c r="H9" s="319" t="s">
        <v>68</v>
      </c>
      <c r="I9" s="319"/>
      <c r="J9" s="319"/>
      <c r="K9" s="319"/>
      <c r="L9" s="191" t="s">
        <v>98</v>
      </c>
    </row>
    <row r="10" spans="2:13" ht="30" customHeight="1">
      <c r="B10" s="404" t="s">
        <v>88</v>
      </c>
      <c r="C10" s="405" t="s">
        <v>89</v>
      </c>
      <c r="D10" s="231" t="s">
        <v>130</v>
      </c>
      <c r="E10" s="218"/>
      <c r="F10" s="219" t="str">
        <f>IF(D10="","","kW")</f>
        <v>kW</v>
      </c>
      <c r="G10" s="220">
        <f>IF(D10="","",IFERROR(INDEX('[4]INFO-Consumo'!$F$9:$F$95,
       MATCH(D10, '[4]INFO-Consumo'!$D$9:$D$95, 0)),""))</f>
        <v>1</v>
      </c>
      <c r="H10" s="401"/>
      <c r="I10" s="402"/>
      <c r="J10" s="402"/>
      <c r="K10" s="403"/>
      <c r="L10" s="400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0.30316793172398854</v>
      </c>
    </row>
    <row r="11" spans="2:13" ht="30" customHeight="1">
      <c r="B11" s="392"/>
      <c r="C11" s="393"/>
      <c r="D11" s="221" t="str">
        <f>IF(D10="", "Seleccionar Maquinaria ↑", "Carga Promedio de Uso de " &amp; D10)</f>
        <v>Carga Promedio de Uso de HERMANADORA MANUAL IM248</v>
      </c>
      <c r="E11" s="222"/>
      <c r="F11" s="223" t="str">
        <f>IF(ISERROR(FIND("Seleccionar", D11)), "%", "")</f>
        <v>%</v>
      </c>
      <c r="G11" s="289">
        <f>IF(D10="","",IFERROR(
    INDEX('[4]INFO-Consumo'!I:I,
           MATCH(D10, '[4]INFO-Consumo'!D:D, 0)
    ),
""))</f>
        <v>0.6</v>
      </c>
      <c r="H11" s="384"/>
      <c r="I11" s="384"/>
      <c r="J11" s="384"/>
      <c r="K11" s="384"/>
      <c r="L11" s="399"/>
    </row>
    <row r="12" spans="2:13" ht="30" customHeight="1">
      <c r="B12" s="392"/>
      <c r="C12" s="393"/>
      <c r="D12" s="232" t="s">
        <v>173</v>
      </c>
      <c r="E12" s="222"/>
      <c r="F12" s="223" t="str">
        <f>IF(D12="","","kW")</f>
        <v>kW</v>
      </c>
      <c r="G12" s="224">
        <f>IFERROR(INDEX('[4]INFO-Ponderacion'!$S$9:$S$13,
       MATCH(D12,'[4]INFO-Ponderacion'!$C$9:$C$13, 0)),"")</f>
        <v>2.4095999999999997</v>
      </c>
      <c r="H12" s="286"/>
      <c r="I12" s="287"/>
      <c r="J12" s="287"/>
      <c r="K12" s="288"/>
      <c r="L12" s="399"/>
    </row>
    <row r="13" spans="2:13" ht="30" customHeight="1">
      <c r="B13" s="392"/>
      <c r="C13" s="393"/>
      <c r="D13" s="221" t="str">
        <f>IF(D12="", "Seleccionar Area ↑", "Tarifa Electrica ")</f>
        <v xml:space="preserve">Tarifa Electrica </v>
      </c>
      <c r="E13" s="222"/>
      <c r="F13" s="223" t="str">
        <f>IF(D12="","","$/kWh")</f>
        <v>$/kWh</v>
      </c>
      <c r="G13" s="228">
        <f>IF(D12="","",'INFO-Direc'!$G$9)</f>
        <v>5.2613958629577628E-2</v>
      </c>
      <c r="H13" s="384"/>
      <c r="I13" s="384"/>
      <c r="J13" s="384"/>
      <c r="K13" s="384"/>
      <c r="L13" s="399"/>
    </row>
    <row r="14" spans="2:13" ht="30" customHeight="1">
      <c r="B14" s="392"/>
      <c r="C14" s="393"/>
      <c r="D14" s="229" t="str">
        <f>IF(D12="", "Seleccionar Area ↑", "Costo Electrico Fijo de " &amp; D12)</f>
        <v>Costo Electrico Fijo de Ensamble</v>
      </c>
      <c r="E14" s="222"/>
      <c r="F14" s="223" t="str">
        <f>IF(D12="","","$/h")</f>
        <v>$/h</v>
      </c>
      <c r="G14" s="290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0.14482096183241172</v>
      </c>
      <c r="H14" s="385"/>
      <c r="I14" s="386"/>
      <c r="J14" s="386"/>
      <c r="K14" s="387"/>
      <c r="L14" s="399"/>
    </row>
    <row r="15" spans="2:13" ht="30" customHeight="1">
      <c r="B15" s="389"/>
      <c r="C15" s="391"/>
      <c r="D15" s="229" t="s">
        <v>85</v>
      </c>
      <c r="E15" s="230"/>
      <c r="F15" s="223" t="str">
        <f>IF(D12="","","$/h")</f>
        <v>$/h</v>
      </c>
      <c r="G15" s="233"/>
      <c r="H15" s="385"/>
      <c r="I15" s="386"/>
      <c r="J15" s="386"/>
      <c r="K15" s="387"/>
      <c r="L15" s="398"/>
    </row>
    <row r="16" spans="2:13" ht="30" customHeight="1">
      <c r="B16" s="388" t="s">
        <v>90</v>
      </c>
      <c r="C16" s="394" t="s">
        <v>89</v>
      </c>
      <c r="D16" s="232"/>
      <c r="E16" s="222"/>
      <c r="F16" s="223" t="str">
        <f>IF(D16="","","$/L")</f>
        <v/>
      </c>
      <c r="G16" s="228" t="str">
        <f>IFERROR(INDEX('INFO-Direc'!$G$9:$G$25,
       MATCH(D16, 'INFO-Direc'!$D$9:$D$25, 0)),"")</f>
        <v/>
      </c>
      <c r="H16" s="384"/>
      <c r="I16" s="384"/>
      <c r="J16" s="384"/>
      <c r="K16" s="384"/>
      <c r="L16" s="397" t="str">
        <f>IF(AND(D16="", D18=""), "",
    IFERROR(
        IFERROR(G16*G17,0)
        + IFERROR(G18*G19,0)
        + IFERROR(G20,0),
    "")
)</f>
        <v/>
      </c>
    </row>
    <row r="17" spans="2:12" ht="30" customHeight="1">
      <c r="B17" s="392"/>
      <c r="C17" s="395"/>
      <c r="D17" s="221" t="str">
        <f>IF(D16="", "Seleccionar Lubricante ↑", "Consumo de " &amp; D16)</f>
        <v>Seleccionar Lubricante ↑</v>
      </c>
      <c r="E17" s="222"/>
      <c r="F17" s="223" t="str">
        <f>IF(ISERROR(FIND("Seleccionar", D17)), "L/h", "")</f>
        <v/>
      </c>
      <c r="G17" s="234"/>
      <c r="H17" s="384"/>
      <c r="I17" s="384"/>
      <c r="J17" s="384"/>
      <c r="K17" s="384"/>
      <c r="L17" s="399"/>
    </row>
    <row r="18" spans="2:12" ht="30" customHeight="1">
      <c r="B18" s="392"/>
      <c r="C18" s="395"/>
      <c r="D18" s="232"/>
      <c r="E18" s="222"/>
      <c r="F18" s="223" t="str">
        <f>IF(D18="","","$/L")</f>
        <v/>
      </c>
      <c r="G18" s="228" t="str">
        <f>IFERROR(INDEX('INFO-Direc'!$G$9:$G$25,
       MATCH(D18, 'INFO-Direc'!$D$9:$D$25, 0)),"")</f>
        <v/>
      </c>
      <c r="H18" s="385"/>
      <c r="I18" s="386"/>
      <c r="J18" s="386"/>
      <c r="K18" s="387"/>
      <c r="L18" s="399"/>
    </row>
    <row r="19" spans="2:12" ht="30" customHeight="1">
      <c r="B19" s="392"/>
      <c r="C19" s="395"/>
      <c r="D19" s="221" t="str">
        <f>IF(D18="", "Seleccionar Lubricante ↑", "Consumo de " &amp; D18)</f>
        <v>Seleccionar Lubricante ↑</v>
      </c>
      <c r="E19" s="222"/>
      <c r="F19" s="223" t="str">
        <f>IF(ISERROR(FIND("Seleccionar", D19)), "L/h", "")</f>
        <v/>
      </c>
      <c r="G19" s="234"/>
      <c r="H19" s="385"/>
      <c r="I19" s="386"/>
      <c r="J19" s="386"/>
      <c r="K19" s="387"/>
      <c r="L19" s="399"/>
    </row>
    <row r="20" spans="2:12" ht="30" customHeight="1">
      <c r="B20" s="389"/>
      <c r="C20" s="396"/>
      <c r="D20" s="221" t="s">
        <v>85</v>
      </c>
      <c r="E20" s="222"/>
      <c r="F20" s="223" t="str">
        <f>IF(OR(D16&lt;&gt;"", D18&lt;&gt;""), "$/h", "")</f>
        <v/>
      </c>
      <c r="G20" s="233"/>
      <c r="H20" s="384"/>
      <c r="I20" s="384"/>
      <c r="J20" s="384"/>
      <c r="K20" s="384"/>
      <c r="L20" s="398"/>
    </row>
    <row r="21" spans="2:12" ht="30" customHeight="1">
      <c r="B21" s="388" t="s">
        <v>92</v>
      </c>
      <c r="C21" s="390" t="s">
        <v>89</v>
      </c>
      <c r="D21" s="232" t="s">
        <v>138</v>
      </c>
      <c r="E21" s="222"/>
      <c r="F21" s="223" t="str">
        <f>IF(D21="","","kW")</f>
        <v>kW</v>
      </c>
      <c r="G21" s="228">
        <f>IFERROR(INDEX('INFO-Direc'!$G$9:$G$25,
       MATCH(D21, 'INFO-Direc'!$D$9:$D$25, 0)),"")</f>
        <v>56</v>
      </c>
      <c r="H21" s="385"/>
      <c r="I21" s="386"/>
      <c r="J21" s="386"/>
      <c r="K21" s="387"/>
      <c r="L21" s="397">
        <f>IFERROR(G21*G13*G22+G23+G24,"")</f>
        <v>1.8303340099538083</v>
      </c>
    </row>
    <row r="22" spans="2:12" ht="30" customHeight="1">
      <c r="B22" s="392"/>
      <c r="C22" s="393"/>
      <c r="D22" s="221" t="str">
        <f>IF(D21="", "Seleccionar Compresor ↑", "Carga Promedio de Uso de " &amp; D21)</f>
        <v>Carga Promedio de Uso de Compresor</v>
      </c>
      <c r="E22" s="222"/>
      <c r="F22" s="223" t="str">
        <f>IF(ISERROR(FIND("Seleccionar", D22)), "%", "")</f>
        <v>%</v>
      </c>
      <c r="G22" s="289">
        <f>IF(D21="","",IFERROR(
    INDEX('[4]INFO-Consumo'!I:I,
           MATCH(D21, '[4]INFO-Consumo'!D:D, 0)
    ),
""))</f>
        <v>0.6</v>
      </c>
      <c r="H22" s="384"/>
      <c r="I22" s="384"/>
      <c r="J22" s="384"/>
      <c r="K22" s="384"/>
      <c r="L22" s="399"/>
    </row>
    <row r="23" spans="2:12" ht="30" customHeight="1">
      <c r="B23" s="392"/>
      <c r="C23" s="393"/>
      <c r="D23" s="235" t="str">
        <f>IF(D21="", "Seleccionar Compresor ↑", "Costo de Repuestos " &amp; D21)</f>
        <v>Costo de Repuestos Compresor</v>
      </c>
      <c r="E23" s="222"/>
      <c r="F23" s="223" t="str">
        <f>IF(ISERROR(FIND("Seleccionar", D23)), "$/h", "")</f>
        <v>$/h</v>
      </c>
      <c r="G23" s="236">
        <f>IF(D21="","", SUM(IF(ISNUMBER(FIND("Compresor", 'INFO-Mant'!D9:D26)), 'INFO-Mant'!G9:G26 / 'INFO-Mant'!H9:H26, 0)))</f>
        <v>6.2505000000000005E-2</v>
      </c>
      <c r="H23" s="385"/>
      <c r="I23" s="386"/>
      <c r="J23" s="386"/>
      <c r="K23" s="387"/>
      <c r="L23" s="399"/>
    </row>
    <row r="24" spans="2:12" ht="30" customHeight="1">
      <c r="B24" s="389"/>
      <c r="C24" s="391"/>
      <c r="D24" s="221" t="s">
        <v>85</v>
      </c>
      <c r="E24" s="222"/>
      <c r="F24" s="223" t="str">
        <f>IF(D21="","","$/h")</f>
        <v>$/h</v>
      </c>
      <c r="G24" s="233"/>
      <c r="H24" s="384"/>
      <c r="I24" s="384"/>
      <c r="J24" s="384"/>
      <c r="K24" s="384"/>
      <c r="L24" s="398"/>
    </row>
    <row r="25" spans="2:12" ht="30" customHeight="1">
      <c r="B25" s="388" t="s">
        <v>94</v>
      </c>
      <c r="C25" s="390" t="s">
        <v>89</v>
      </c>
      <c r="D25" s="232"/>
      <c r="E25" s="222"/>
      <c r="F25" s="223" t="str">
        <f>IF(D25="","","$/L")</f>
        <v/>
      </c>
      <c r="G25" s="228" t="str">
        <f>IFERROR(INDEX('INFO-Direc'!$G$9:$G$25,
       MATCH(D25, 'INFO-Direc'!$D$9:$D$25, 0)),"")</f>
        <v/>
      </c>
      <c r="H25" s="384"/>
      <c r="I25" s="384"/>
      <c r="J25" s="384"/>
      <c r="K25" s="384"/>
      <c r="L25" s="381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92"/>
      <c r="C26" s="393"/>
      <c r="D26" s="221" t="str">
        <f>IF(D25="", "Seleccionar Refrigerante ↑", "Consumo de " &amp; D25)</f>
        <v>Seleccionar Refrigerante ↑</v>
      </c>
      <c r="E26" s="222"/>
      <c r="F26" s="223" t="str">
        <f>IF(ISERROR(FIND("Seleccionar", D26)), "L/Año", "")</f>
        <v/>
      </c>
      <c r="G26" s="238"/>
      <c r="H26" s="384"/>
      <c r="I26" s="384"/>
      <c r="J26" s="384"/>
      <c r="K26" s="384"/>
      <c r="L26" s="382"/>
    </row>
    <row r="27" spans="2:12" ht="30" customHeight="1">
      <c r="B27" s="392"/>
      <c r="C27" s="393"/>
      <c r="D27" s="232"/>
      <c r="E27" s="222"/>
      <c r="F27" s="223" t="str">
        <f>IF(D27="","","$/L")</f>
        <v/>
      </c>
      <c r="G27" s="228" t="str">
        <f>IFERROR(INDEX('INFO-Direc'!$G$9:$G$25,
       MATCH(D27, 'INFO-Direc'!$D$9:$D$25, 0)),"")</f>
        <v/>
      </c>
      <c r="H27" s="385"/>
      <c r="I27" s="386"/>
      <c r="J27" s="386"/>
      <c r="K27" s="387"/>
      <c r="L27" s="382"/>
    </row>
    <row r="28" spans="2:12" ht="30" customHeight="1">
      <c r="B28" s="392"/>
      <c r="C28" s="393"/>
      <c r="D28" s="221" t="str">
        <f>IF(D27="", "Seleccionar Refrigerante ↑", "Consumo de " &amp; D27)</f>
        <v>Seleccionar Refrigerante ↑</v>
      </c>
      <c r="E28" s="222"/>
      <c r="F28" s="223" t="str">
        <f>IF(ISERROR(FIND("Seleccionar", D28)), "L/Año", "")</f>
        <v/>
      </c>
      <c r="G28" s="239"/>
      <c r="H28" s="385"/>
      <c r="I28" s="386"/>
      <c r="J28" s="386"/>
      <c r="K28" s="387"/>
      <c r="L28" s="382"/>
    </row>
    <row r="29" spans="2:12" ht="30" customHeight="1">
      <c r="B29" s="389"/>
      <c r="C29" s="391"/>
      <c r="D29" s="221" t="s">
        <v>85</v>
      </c>
      <c r="E29" s="222"/>
      <c r="F29" s="223" t="str">
        <f>IF(OR(D25&lt;&gt;"", D27&lt;&gt;""), "$/h", "")</f>
        <v/>
      </c>
      <c r="G29" s="233"/>
      <c r="H29" s="384"/>
      <c r="I29" s="384"/>
      <c r="J29" s="384"/>
      <c r="K29" s="384"/>
      <c r="L29" s="383"/>
    </row>
    <row r="30" spans="2:12" s="152" customFormat="1" ht="30" customHeight="1">
      <c r="B30" s="388" t="s">
        <v>168</v>
      </c>
      <c r="C30" s="394" t="s">
        <v>89</v>
      </c>
      <c r="D30" s="232"/>
      <c r="E30" s="222"/>
      <c r="F30" s="223" t="str">
        <f>IF(D30="","","$/L")</f>
        <v/>
      </c>
      <c r="G30" s="228" t="str">
        <f>IFERROR(INDEX('INFO-Direc'!$G$9:$G$25,
       MATCH(D30, 'INFO-Direc'!$D$9:$D$25, 0)),"")</f>
        <v/>
      </c>
      <c r="H30" s="384"/>
      <c r="I30" s="384"/>
      <c r="J30" s="384"/>
      <c r="K30" s="384"/>
      <c r="L30" s="381" t="str">
        <f>IF(
    AND(D30="", D32=""),
    "",
    IFERROR(
        IFERROR(G30 / (INDEX('INFO-OEE'!$E$18:$CA$18,
                               MATCH(#REF!, 'INFO-OEE'!$E$9:$CA$9, 0)) * 12), 0)
        * G31
        +
        IFERROR(G32 / (INDEX('INFO-OEE'!$E$18:$CA$18,
                               MATCH(#REF!, 'INFO-OEE'!$E$9:$CA$9, 0)) * 12), 0)
        * G33
        +
        IFERROR(G34, 0),
    "")
)</f>
        <v/>
      </c>
    </row>
    <row r="31" spans="2:12" s="152" customFormat="1" ht="30" customHeight="1">
      <c r="B31" s="392"/>
      <c r="C31" s="395"/>
      <c r="D31" s="221" t="str">
        <f>IF(D30="", "Seleccionar Solvente ↑", "Consumo de " &amp; D30)</f>
        <v>Seleccionar Solvente ↑</v>
      </c>
      <c r="E31" s="222"/>
      <c r="F31" s="223" t="str">
        <f>IF(ISERROR(FIND("Seleccionar", D31)), "L/Año", "")</f>
        <v/>
      </c>
      <c r="G31" s="234"/>
      <c r="H31" s="384"/>
      <c r="I31" s="384"/>
      <c r="J31" s="384"/>
      <c r="K31" s="384"/>
      <c r="L31" s="382"/>
    </row>
    <row r="32" spans="2:12" s="152" customFormat="1" ht="30" customHeight="1">
      <c r="B32" s="392"/>
      <c r="C32" s="395"/>
      <c r="D32" s="232"/>
      <c r="E32" s="222"/>
      <c r="F32" s="223" t="str">
        <f>IF(D32="","","$/L")</f>
        <v/>
      </c>
      <c r="G32" s="228" t="str">
        <f>IFERROR(INDEX('INFO-Direc'!$G$9:$G$25,
       MATCH(D32, 'INFO-Direc'!$D$9:$D$25, 0)),"")</f>
        <v/>
      </c>
      <c r="H32" s="385"/>
      <c r="I32" s="386"/>
      <c r="J32" s="386"/>
      <c r="K32" s="387"/>
      <c r="L32" s="382"/>
    </row>
    <row r="33" spans="2:12" s="152" customFormat="1" ht="30" customHeight="1">
      <c r="B33" s="392"/>
      <c r="C33" s="395"/>
      <c r="D33" s="221" t="str">
        <f>IF(D32="", "Seleccionar Solvente ↑", "Consumo de " &amp; D32)</f>
        <v>Seleccionar Solvente ↑</v>
      </c>
      <c r="E33" s="222"/>
      <c r="F33" s="223" t="str">
        <f>IF(ISERROR(FIND("Seleccionar", D33)), "L/Año", "")</f>
        <v/>
      </c>
      <c r="G33" s="234"/>
      <c r="H33" s="385"/>
      <c r="I33" s="386"/>
      <c r="J33" s="386"/>
      <c r="K33" s="387"/>
      <c r="L33" s="382"/>
    </row>
    <row r="34" spans="2:12" s="152" customFormat="1" ht="30" customHeight="1">
      <c r="B34" s="389"/>
      <c r="C34" s="396"/>
      <c r="D34" s="221" t="s">
        <v>85</v>
      </c>
      <c r="E34" s="222"/>
      <c r="F34" s="223" t="str">
        <f>IF(OR(D30&lt;&gt;"", D32&lt;&gt;""), "$/h", "")</f>
        <v/>
      </c>
      <c r="G34" s="233"/>
      <c r="H34" s="384"/>
      <c r="I34" s="384"/>
      <c r="J34" s="384"/>
      <c r="K34" s="384"/>
      <c r="L34" s="383"/>
    </row>
    <row r="35" spans="2:12" ht="30" customHeight="1">
      <c r="B35" s="388" t="s">
        <v>100</v>
      </c>
      <c r="C35" s="390" t="s">
        <v>89</v>
      </c>
      <c r="D35" s="221" t="str">
        <f>IF(D12="", "Seleccionar Area ↑", "Costo de Operarios")</f>
        <v>Costo de Operarios</v>
      </c>
      <c r="E35" s="222"/>
      <c r="F35" s="223" t="str">
        <f>IF(D12="","","$/mes")</f>
        <v>$/mes</v>
      </c>
      <c r="G35" s="237">
        <f>IF(D12="","",IFERROR(
    INDEX('INFO-Personal'!$E$26:$CA$26,
           MATCH($C$3, 'INFO-Personal'!$E$9:$CA$9, 0)
    ),
""))</f>
        <v>0</v>
      </c>
      <c r="H35" s="384"/>
      <c r="I35" s="384"/>
      <c r="J35" s="384"/>
      <c r="K35" s="384"/>
      <c r="L35" s="397">
        <f>IFERROR(
    (G35 / INDEX('INFO-OEE'!$E$18:$CA$18,
                  MATCH($C$3, 'INFO-OEE'!$E$9:$CA$9, 0)))
    + G36,
"")</f>
        <v>0</v>
      </c>
    </row>
    <row r="36" spans="2:12" ht="30" customHeight="1">
      <c r="B36" s="389"/>
      <c r="C36" s="391"/>
      <c r="D36" s="221" t="s">
        <v>85</v>
      </c>
      <c r="E36" s="222"/>
      <c r="F36" s="223" t="str">
        <f>IF(D12="","","$/h")</f>
        <v>$/h</v>
      </c>
      <c r="G36" s="240"/>
      <c r="H36" s="384"/>
      <c r="I36" s="384"/>
      <c r="J36" s="384"/>
      <c r="K36" s="384"/>
      <c r="L36" s="398"/>
    </row>
    <row r="37" spans="2:12" ht="30" customHeight="1">
      <c r="B37" s="241"/>
      <c r="C37" s="242"/>
      <c r="D37" s="243"/>
      <c r="E37" s="242"/>
      <c r="F37" s="244"/>
      <c r="G37" s="245"/>
      <c r="H37" s="409"/>
      <c r="I37" s="409"/>
      <c r="J37" s="409"/>
      <c r="K37" s="409"/>
      <c r="L37" s="246"/>
    </row>
    <row r="38" spans="2:12" ht="30" customHeight="1">
      <c r="B38" s="388" t="s">
        <v>16</v>
      </c>
      <c r="C38" s="390" t="s">
        <v>69</v>
      </c>
      <c r="D38" s="221" t="str">
        <f>IF(D12="", "Seleccionar Area ↑", "Costo de Supervisores")</f>
        <v>Costo de Supervisores</v>
      </c>
      <c r="E38" s="222"/>
      <c r="F38" s="247" t="str">
        <f>IF(D12="","","$/mes")</f>
        <v>$/mes</v>
      </c>
      <c r="G38" s="237">
        <f>IF(D12="","",IFERROR(
    INDEX('INFO-Personal'!$E$27:$CA$27,
           MATCH($C$3, 'INFO-Personal'!$E$9:$CA$9, 0)
    ),
""))</f>
        <v>0</v>
      </c>
      <c r="H38" s="385"/>
      <c r="I38" s="386"/>
      <c r="J38" s="386"/>
      <c r="K38" s="387"/>
      <c r="L38" s="397">
        <f>IFERROR(
    (G38 / INDEX('INFO-OEE'!$E$18:$CA$18,
                  MATCH($C$3, 'INFO-OEE'!$E$9:$CA$9, 0)))
    + G39,
"")</f>
        <v>0</v>
      </c>
    </row>
    <row r="39" spans="2:12" ht="30" customHeight="1">
      <c r="B39" s="392"/>
      <c r="C39" s="393"/>
      <c r="D39" s="221" t="s">
        <v>85</v>
      </c>
      <c r="E39" s="222"/>
      <c r="F39" s="223" t="str">
        <f>IF(D12="","","$/h")</f>
        <v>$/h</v>
      </c>
      <c r="G39" s="240"/>
      <c r="H39" s="385"/>
      <c r="I39" s="386"/>
      <c r="J39" s="386"/>
      <c r="K39" s="387"/>
      <c r="L39" s="399"/>
    </row>
    <row r="40" spans="2:12" ht="30" customHeight="1">
      <c r="B40" s="388" t="s">
        <v>101</v>
      </c>
      <c r="C40" s="390" t="s">
        <v>69</v>
      </c>
      <c r="D40" s="221" t="str">
        <f>IF(D12="", "Seleccionar Area ↑", "Costo de Mant. Preventivo")</f>
        <v>Costo de Mant. Preventivo</v>
      </c>
      <c r="E40" s="222"/>
      <c r="F40" s="247" t="str">
        <f>IF(D12="","","$/mes")</f>
        <v>$/mes</v>
      </c>
      <c r="G40" s="237">
        <f>IF(D12="","",IFERROR(
    INDEX('INFO-Personal'!$E$28:$CA$28,
           MATCH($C$3, 'INFO-Personal'!$E$9:$CA$9, 0)
    ),
""))</f>
        <v>0</v>
      </c>
      <c r="H40" s="385"/>
      <c r="I40" s="386"/>
      <c r="J40" s="386"/>
      <c r="K40" s="387"/>
      <c r="L40" s="397">
        <f>IF(D12="","",SUM(
    IFERROR((G40+G41) / INDEX('INFO-OEE'!$E$18:$CA$18, MATCH(C3, 'INFO-OEE'!$E$9:$CA$9, 0)), 0),
    IFERROR(G42 / G43, 0),
    IFERROR(G44 / G45, 0),
    IFERROR(G46 / G47, 0),
    IFERROR(G48, 0)
))</f>
        <v>0</v>
      </c>
    </row>
    <row r="41" spans="2:12" ht="30" customHeight="1">
      <c r="B41" s="392"/>
      <c r="C41" s="393"/>
      <c r="D41" s="221" t="str">
        <f>IF(D12="", "Seleccionar Area ↑", "Costo de Mant. Correctivo")</f>
        <v>Costo de Mant. Correctivo</v>
      </c>
      <c r="E41" s="222"/>
      <c r="F41" s="247" t="str">
        <f>IF(D12="","","$/mes")</f>
        <v>$/mes</v>
      </c>
      <c r="G41" s="237">
        <f>IF(D12="","",IFERROR(
    INDEX('INFO-Personal'!$E$29:$CA$29,
           MATCH($C$3, 'INFO-Personal'!$E$9:$CA$9, 0)
    ),
""))</f>
        <v>0</v>
      </c>
      <c r="H41" s="385"/>
      <c r="I41" s="386"/>
      <c r="J41" s="386"/>
      <c r="K41" s="387"/>
      <c r="L41" s="399"/>
    </row>
    <row r="42" spans="2:12" ht="30" customHeight="1">
      <c r="B42" s="392"/>
      <c r="C42" s="393"/>
      <c r="D42" s="232"/>
      <c r="E42" s="222"/>
      <c r="F42" s="223" t="str">
        <f>IF(D42="","","$/u")</f>
        <v/>
      </c>
      <c r="G42" s="237" t="str">
        <f>IFERROR(INDEX('INFO-Mant'!$G$9:$G$26,
       MATCH(D42, 'INFO-Mant'!$D$9:$D$26, 0)),"")</f>
        <v/>
      </c>
      <c r="H42" s="385"/>
      <c r="I42" s="386"/>
      <c r="J42" s="386"/>
      <c r="K42" s="387"/>
      <c r="L42" s="399"/>
    </row>
    <row r="43" spans="2:12" ht="30" customHeight="1">
      <c r="B43" s="392"/>
      <c r="C43" s="393"/>
      <c r="D43" s="221" t="str">
        <f>IF(D42="", "Seleccionar Repuesto ↑", "Vida Util de " &amp; D42)</f>
        <v>Seleccionar Repuesto ↑</v>
      </c>
      <c r="E43" s="222"/>
      <c r="F43" s="223" t="str">
        <f>IF(ISERROR(FIND("Seleccionar", D43)), "Horas/u", "")</f>
        <v/>
      </c>
      <c r="G43" s="238"/>
      <c r="H43" s="385"/>
      <c r="I43" s="386"/>
      <c r="J43" s="386"/>
      <c r="K43" s="387"/>
      <c r="L43" s="399"/>
    </row>
    <row r="44" spans="2:12" ht="30" customHeight="1">
      <c r="B44" s="392"/>
      <c r="C44" s="393"/>
      <c r="D44" s="232"/>
      <c r="E44" s="222"/>
      <c r="F44" s="223" t="str">
        <f>IF(D44="","","$/u")</f>
        <v/>
      </c>
      <c r="G44" s="237" t="str">
        <f>IFERROR(INDEX('INFO-Mant'!$G$9:$G$26,
       MATCH(D44, 'INFO-Mant'!$D$9:$D$26, 0)),"")</f>
        <v/>
      </c>
      <c r="H44" s="385"/>
      <c r="I44" s="386"/>
      <c r="J44" s="386"/>
      <c r="K44" s="387"/>
      <c r="L44" s="399"/>
    </row>
    <row r="45" spans="2:12" ht="30" customHeight="1">
      <c r="B45" s="392"/>
      <c r="C45" s="393"/>
      <c r="D45" s="221" t="str">
        <f>IF(D44="", "Seleccionar Repuesto ↑", "Vida Util de " &amp; D44)</f>
        <v>Seleccionar Repuesto ↑</v>
      </c>
      <c r="E45" s="222"/>
      <c r="F45" s="223" t="str">
        <f>IF(ISERROR(FIND("Seleccionar", D45)), "Horas/u", "")</f>
        <v/>
      </c>
      <c r="G45" s="238"/>
      <c r="H45" s="385"/>
      <c r="I45" s="386"/>
      <c r="J45" s="386"/>
      <c r="K45" s="387"/>
      <c r="L45" s="399"/>
    </row>
    <row r="46" spans="2:12" ht="30" customHeight="1">
      <c r="B46" s="392"/>
      <c r="C46" s="393"/>
      <c r="D46" s="232"/>
      <c r="E46" s="222"/>
      <c r="F46" s="223" t="str">
        <f>IF(D46="","","$/u")</f>
        <v/>
      </c>
      <c r="G46" s="237" t="str">
        <f>IFERROR(INDEX('INFO-Mant'!$G$9:$G$26,
       MATCH(D46, 'INFO-Mant'!$D$9:$D$26, 0)),"")</f>
        <v/>
      </c>
      <c r="H46" s="385"/>
      <c r="I46" s="386"/>
      <c r="J46" s="386"/>
      <c r="K46" s="387"/>
      <c r="L46" s="399"/>
    </row>
    <row r="47" spans="2:12" ht="30" customHeight="1">
      <c r="B47" s="392"/>
      <c r="C47" s="393"/>
      <c r="D47" s="221" t="str">
        <f>IF(D46="", "Seleccionar Repuesto ↑", "Vida Util de " &amp; D46)</f>
        <v>Seleccionar Repuesto ↑</v>
      </c>
      <c r="E47" s="222"/>
      <c r="F47" s="223" t="str">
        <f>IF(ISERROR(FIND("Seleccionar", D47)), "Horas/u", "")</f>
        <v/>
      </c>
      <c r="G47" s="240"/>
      <c r="H47" s="385"/>
      <c r="I47" s="386"/>
      <c r="J47" s="386"/>
      <c r="K47" s="387"/>
      <c r="L47" s="399"/>
    </row>
    <row r="48" spans="2:12" ht="30" customHeight="1">
      <c r="B48" s="389"/>
      <c r="C48" s="391"/>
      <c r="D48" s="221" t="s">
        <v>85</v>
      </c>
      <c r="E48" s="222"/>
      <c r="F48" s="223" t="str">
        <f>IF(D12="","","$/h")</f>
        <v>$/h</v>
      </c>
      <c r="G48" s="240"/>
      <c r="H48" s="385"/>
      <c r="I48" s="386"/>
      <c r="J48" s="386"/>
      <c r="K48" s="387"/>
      <c r="L48" s="398"/>
    </row>
    <row r="49" spans="2:12" ht="30" customHeight="1">
      <c r="B49" s="248"/>
      <c r="C49" s="249"/>
      <c r="D49" s="250"/>
      <c r="E49" s="249"/>
      <c r="F49" s="251"/>
      <c r="G49" s="252"/>
      <c r="H49" s="249"/>
      <c r="I49" s="249"/>
      <c r="J49" s="249"/>
      <c r="K49" s="249"/>
      <c r="L49" s="253"/>
    </row>
    <row r="50" spans="2:12" ht="30" customHeight="1">
      <c r="B50" s="388" t="s">
        <v>102</v>
      </c>
      <c r="C50" s="394" t="s">
        <v>103</v>
      </c>
      <c r="D50" s="232"/>
      <c r="E50" s="222"/>
      <c r="F50" s="223" t="str">
        <f>IF(D50="","","$/h")</f>
        <v/>
      </c>
      <c r="G50" s="23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410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410"/>
      <c r="J50" s="410"/>
      <c r="K50" s="410"/>
      <c r="L50" s="255" t="str">
        <f ca="1">G50</f>
        <v/>
      </c>
    </row>
    <row r="51" spans="2:12" ht="30" customHeight="1">
      <c r="B51" s="392"/>
      <c r="C51" s="395"/>
      <c r="D51" s="232"/>
      <c r="E51" s="254"/>
      <c r="F51" s="223" t="str">
        <f>IF(D51="","","$/h")</f>
        <v/>
      </c>
      <c r="G51" s="23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410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410"/>
      <c r="J51" s="410"/>
      <c r="K51" s="410"/>
      <c r="L51" s="255" t="str">
        <f ca="1">G51</f>
        <v/>
      </c>
    </row>
    <row r="52" spans="2:12" ht="30" customHeight="1">
      <c r="B52" s="392"/>
      <c r="C52" s="395"/>
      <c r="D52" s="232"/>
      <c r="E52" s="222"/>
      <c r="F52" s="223" t="str">
        <f t="shared" ref="F52:F54" si="0">IF(D52="","","$/h")</f>
        <v/>
      </c>
      <c r="G52" s="23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410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410"/>
      <c r="J52" s="410"/>
      <c r="K52" s="410"/>
      <c r="L52" s="255" t="str">
        <f ca="1">G52</f>
        <v/>
      </c>
    </row>
    <row r="53" spans="2:12" ht="30" customHeight="1">
      <c r="B53" s="392"/>
      <c r="C53" s="395"/>
      <c r="D53" s="232"/>
      <c r="E53" s="222"/>
      <c r="F53" s="223" t="str">
        <f t="shared" si="0"/>
        <v/>
      </c>
      <c r="G53" s="23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410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410"/>
      <c r="J53" s="410"/>
      <c r="K53" s="410"/>
      <c r="L53" s="255" t="str">
        <f ca="1">G53</f>
        <v/>
      </c>
    </row>
    <row r="54" spans="2:12" ht="30" customHeight="1">
      <c r="B54" s="389"/>
      <c r="C54" s="396"/>
      <c r="D54" s="232"/>
      <c r="E54" s="222"/>
      <c r="F54" s="223" t="str">
        <f t="shared" si="0"/>
        <v/>
      </c>
      <c r="G54" s="23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410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410"/>
      <c r="J54" s="410"/>
      <c r="K54" s="410"/>
      <c r="L54" s="255" t="str">
        <f ca="1">G54</f>
        <v/>
      </c>
    </row>
    <row r="55" spans="2:12" ht="30" customHeight="1">
      <c r="B55" s="146"/>
      <c r="C55" s="147"/>
      <c r="D55" s="411"/>
      <c r="E55" s="411"/>
      <c r="F55" s="30"/>
      <c r="G55" s="30"/>
      <c r="H55" s="149"/>
      <c r="I55" s="149"/>
      <c r="J55" s="149"/>
      <c r="K55" s="30"/>
      <c r="L55" s="145"/>
    </row>
    <row r="56" spans="2:12" ht="30" customHeight="1" thickBot="1">
      <c r="B56" s="153" t="s">
        <v>39</v>
      </c>
      <c r="C56" s="330"/>
      <c r="D56" s="330"/>
      <c r="E56" s="154" t="s">
        <v>23</v>
      </c>
      <c r="F56" s="368"/>
      <c r="G56" s="368"/>
      <c r="H56" s="141"/>
      <c r="I56" s="141"/>
      <c r="J56" s="141"/>
      <c r="K56" s="256"/>
      <c r="L56" s="257"/>
    </row>
    <row r="57" spans="2:12" ht="30" customHeight="1" thickBot="1">
      <c r="B57" s="155"/>
      <c r="C57" s="156"/>
      <c r="D57" s="156"/>
      <c r="E57" s="156"/>
      <c r="F57" s="378"/>
      <c r="G57" s="378"/>
      <c r="H57" s="157"/>
      <c r="I57" s="157"/>
      <c r="J57" s="157"/>
      <c r="K57" s="258" t="s">
        <v>106</v>
      </c>
      <c r="L57" s="259">
        <f ca="1">IFERROR(SUM(L19:L54),"")</f>
        <v>1.8303340099538083</v>
      </c>
    </row>
    <row r="59" spans="2:12" ht="30" customHeight="1">
      <c r="C59" s="117"/>
    </row>
  </sheetData>
  <sheetProtection selectLockedCells="1"/>
  <mergeCells count="80">
    <mergeCell ref="D55:E55"/>
    <mergeCell ref="C56:D56"/>
    <mergeCell ref="F56:G56"/>
    <mergeCell ref="F57:G57"/>
    <mergeCell ref="B50:B54"/>
    <mergeCell ref="C50:C54"/>
    <mergeCell ref="H50:K50"/>
    <mergeCell ref="H51:K51"/>
    <mergeCell ref="H52:K52"/>
    <mergeCell ref="H53:K53"/>
    <mergeCell ref="H54:K54"/>
    <mergeCell ref="L38:L39"/>
    <mergeCell ref="B40:B48"/>
    <mergeCell ref="C40:C48"/>
    <mergeCell ref="L40:L48"/>
    <mergeCell ref="H44:K44"/>
    <mergeCell ref="H45:K45"/>
    <mergeCell ref="H46:K46"/>
    <mergeCell ref="H47:K47"/>
    <mergeCell ref="H48:K48"/>
    <mergeCell ref="H39:K39"/>
    <mergeCell ref="H40:K40"/>
    <mergeCell ref="H41:K41"/>
    <mergeCell ref="H42:K42"/>
    <mergeCell ref="H43:K43"/>
    <mergeCell ref="B38:B39"/>
    <mergeCell ref="C38:C39"/>
    <mergeCell ref="B10:B15"/>
    <mergeCell ref="C10:C15"/>
    <mergeCell ref="B16:B20"/>
    <mergeCell ref="C16:C20"/>
    <mergeCell ref="B21:B24"/>
    <mergeCell ref="C21:C24"/>
    <mergeCell ref="H38:K38"/>
    <mergeCell ref="H34:K34"/>
    <mergeCell ref="H35:K35"/>
    <mergeCell ref="H36:K36"/>
    <mergeCell ref="H37:K37"/>
    <mergeCell ref="B35:B36"/>
    <mergeCell ref="C35:C36"/>
    <mergeCell ref="L35:L36"/>
    <mergeCell ref="H30:K30"/>
    <mergeCell ref="H31:K31"/>
    <mergeCell ref="H32:K32"/>
    <mergeCell ref="H33:K33"/>
    <mergeCell ref="B30:B34"/>
    <mergeCell ref="C30:C34"/>
    <mergeCell ref="L30:L34"/>
    <mergeCell ref="B25:B29"/>
    <mergeCell ref="C25:C29"/>
    <mergeCell ref="L25:L29"/>
    <mergeCell ref="H23:K23"/>
    <mergeCell ref="H24:K24"/>
    <mergeCell ref="H25:K25"/>
    <mergeCell ref="L21:L24"/>
    <mergeCell ref="H29:K29"/>
    <mergeCell ref="H26:K26"/>
    <mergeCell ref="H27:K27"/>
    <mergeCell ref="H28:K28"/>
    <mergeCell ref="H20:K20"/>
    <mergeCell ref="H21:K21"/>
    <mergeCell ref="H22:K22"/>
    <mergeCell ref="L16:L20"/>
    <mergeCell ref="H16:K16"/>
    <mergeCell ref="H17:K17"/>
    <mergeCell ref="H18:K18"/>
    <mergeCell ref="H19:K19"/>
    <mergeCell ref="H13:K13"/>
    <mergeCell ref="H15:K15"/>
    <mergeCell ref="L10:L15"/>
    <mergeCell ref="H9:K9"/>
    <mergeCell ref="H10:K10"/>
    <mergeCell ref="H11:K11"/>
    <mergeCell ref="H14:K14"/>
    <mergeCell ref="C3:D3"/>
    <mergeCell ref="F3:G3"/>
    <mergeCell ref="C6:D6"/>
    <mergeCell ref="F6:G6"/>
    <mergeCell ref="C7:D7"/>
    <mergeCell ref="F7:G7"/>
  </mergeCells>
  <dataValidations count="9">
    <dataValidation type="list" allowBlank="1" showInputMessage="1" showErrorMessage="1" sqref="D51:D54">
      <formula1>Herramientas_Ensamble</formula1>
    </dataValidation>
    <dataValidation allowBlank="1" showInputMessage="1" showErrorMessage="1" prompt="Escriba comentarios en las celdas de la derecha." sqref="C59"/>
    <dataValidation type="list" allowBlank="1" showInputMessage="1" showErrorMessage="1" sqref="D10 D50">
      <formula1>Maquinaria_Ensamble</formula1>
    </dataValidation>
    <dataValidation type="list" allowBlank="1" showInputMessage="1" showErrorMessage="1" sqref="D42 D44 D46">
      <formula1>Repuestos_Ensamble</formula1>
    </dataValidation>
    <dataValidation type="list" allowBlank="1" showInputMessage="1" showErrorMessage="1" sqref="D30 D32">
      <formula1>Solvente_Ensamble</formula1>
    </dataValidation>
    <dataValidation type="list" allowBlank="1" showInputMessage="1" showErrorMessage="1" sqref="D25 D27">
      <formula1>Refrigerantes_Ensamble</formula1>
    </dataValidation>
    <dataValidation type="list" allowBlank="1" showInputMessage="1" showErrorMessage="1" sqref="D21">
      <formula1>AireComprimido_Ensamble</formula1>
    </dataValidation>
    <dataValidation type="list" allowBlank="1" showInputMessage="1" showErrorMessage="1" sqref="D16 D18">
      <formula1>Lubricantes_Ensamble</formula1>
    </dataValidation>
    <dataValidation type="list" allowBlank="1" showInputMessage="1" showErrorMessage="1" sqref="D12">
      <formula1>Areas_Ensamble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54</xdr:row>
                    <xdr:rowOff>333375</xdr:rowOff>
                  </from>
                  <to>
                    <xdr:col>1</xdr:col>
                    <xdr:colOff>1762125</xdr:colOff>
                    <xdr:row>55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7">
    <tabColor rgb="FF0070C0"/>
    <pageSetUpPr autoPageBreaks="0" fitToPage="1"/>
  </sheetPr>
  <dimension ref="B1:M59"/>
  <sheetViews>
    <sheetView showGridLines="0" topLeftCell="A10" zoomScale="80" zoomScaleNormal="80" workbookViewId="0">
      <selection activeCell="D21" sqref="D21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3.140625" style="80" bestFit="1" customWidth="1"/>
    <col min="5" max="5" width="20.5703125" style="80" customWidth="1"/>
    <col min="6" max="6" width="16.5703125" style="80" bestFit="1" customWidth="1"/>
    <col min="7" max="7" width="19.7109375" style="80" bestFit="1" customWidth="1"/>
    <col min="8" max="8" width="15.28515625" style="80" customWidth="1"/>
    <col min="9" max="10" width="17" style="80" customWidth="1"/>
    <col min="11" max="11" width="28.42578125" style="80" customWidth="1"/>
    <col min="12" max="12" width="20.7109375" style="80" customWidth="1"/>
    <col min="13" max="13" width="2.7109375" style="80" customWidth="1"/>
    <col min="14" max="16384" width="9.140625" style="80"/>
  </cols>
  <sheetData>
    <row r="1" spans="2:13" ht="12" customHeight="1" thickBot="1"/>
    <row r="2" spans="2:13" ht="30" customHeight="1">
      <c r="B2" s="126" t="s">
        <v>95</v>
      </c>
      <c r="C2" s="127"/>
      <c r="D2" s="128"/>
      <c r="E2" s="128"/>
      <c r="F2" s="128"/>
      <c r="G2" s="128"/>
      <c r="H2" s="128"/>
      <c r="I2" s="128"/>
      <c r="J2" s="128"/>
      <c r="K2" s="128"/>
      <c r="L2" s="129"/>
    </row>
    <row r="3" spans="2:13" ht="30" customHeight="1">
      <c r="B3" s="130" t="s">
        <v>96</v>
      </c>
      <c r="C3" s="406" t="s">
        <v>131</v>
      </c>
      <c r="D3" s="406"/>
      <c r="E3" s="125" t="s">
        <v>3</v>
      </c>
      <c r="F3" s="356">
        <f ca="1">TODAY()</f>
        <v>46020</v>
      </c>
      <c r="G3" s="356"/>
      <c r="H3" s="125" t="s">
        <v>61</v>
      </c>
      <c r="I3" s="162">
        <f>'INFO-Direc'!H3</f>
        <v>1445</v>
      </c>
      <c r="J3" s="131"/>
      <c r="K3" s="132"/>
      <c r="L3" s="133"/>
      <c r="M3" s="134"/>
    </row>
    <row r="4" spans="2:13" ht="30" customHeight="1">
      <c r="B4" s="130" t="s">
        <v>97</v>
      </c>
      <c r="C4" s="160">
        <f>IFERROR(INDEX('INFO-OEE'!E17:CL17,
       MATCH(C3, 'INFO-OEE'!E9:CL9, 0)),"")</f>
        <v>0.8</v>
      </c>
      <c r="D4" s="135"/>
      <c r="E4" s="136"/>
      <c r="F4" s="136"/>
      <c r="G4" s="136"/>
      <c r="H4" s="125"/>
      <c r="I4" s="137"/>
      <c r="J4" s="131"/>
      <c r="K4" s="132"/>
      <c r="L4" s="138"/>
      <c r="M4" s="89"/>
    </row>
    <row r="5" spans="2:13" ht="30" customHeight="1">
      <c r="B5" s="139" t="s">
        <v>4</v>
      </c>
      <c r="C5" s="140"/>
      <c r="D5" s="141"/>
      <c r="E5" s="141"/>
      <c r="F5" s="141"/>
      <c r="G5" s="141"/>
      <c r="H5" s="141"/>
      <c r="I5" s="141"/>
      <c r="J5" s="141"/>
      <c r="K5" s="141"/>
      <c r="L5" s="142"/>
    </row>
    <row r="6" spans="2:13" ht="30" customHeight="1">
      <c r="B6" s="143" t="s">
        <v>5</v>
      </c>
      <c r="C6" s="407"/>
      <c r="D6" s="407"/>
      <c r="E6" s="144" t="s">
        <v>6</v>
      </c>
      <c r="F6" s="407"/>
      <c r="G6" s="407"/>
      <c r="H6" s="141"/>
      <c r="I6" s="141"/>
      <c r="J6" s="141"/>
      <c r="K6" s="30"/>
      <c r="L6" s="145"/>
    </row>
    <row r="7" spans="2:13" ht="30" customHeight="1">
      <c r="B7" s="143" t="s">
        <v>7</v>
      </c>
      <c r="C7" s="407"/>
      <c r="D7" s="407"/>
      <c r="E7" s="144" t="s">
        <v>62</v>
      </c>
      <c r="F7" s="408"/>
      <c r="G7" s="408"/>
      <c r="H7" s="141"/>
      <c r="I7" s="141"/>
      <c r="J7" s="141"/>
      <c r="K7" s="30"/>
      <c r="L7" s="145"/>
    </row>
    <row r="8" spans="2:13" ht="30" customHeight="1" thickBot="1">
      <c r="B8" s="146"/>
      <c r="C8" s="147"/>
      <c r="D8" s="148"/>
      <c r="E8" s="148"/>
      <c r="F8" s="30"/>
      <c r="G8" s="30"/>
      <c r="H8" s="149"/>
      <c r="I8" s="149"/>
      <c r="J8" s="149"/>
      <c r="K8" s="30"/>
      <c r="L8" s="145"/>
    </row>
    <row r="9" spans="2:13" ht="30" customHeight="1" thickBot="1">
      <c r="B9" s="67" t="s">
        <v>9</v>
      </c>
      <c r="C9" s="190" t="s">
        <v>63</v>
      </c>
      <c r="D9" s="190" t="s">
        <v>64</v>
      </c>
      <c r="E9" s="190" t="s">
        <v>65</v>
      </c>
      <c r="F9" s="190" t="s">
        <v>66</v>
      </c>
      <c r="G9" s="190" t="s">
        <v>67</v>
      </c>
      <c r="H9" s="319" t="s">
        <v>68</v>
      </c>
      <c r="I9" s="319"/>
      <c r="J9" s="319"/>
      <c r="K9" s="319"/>
      <c r="L9" s="191" t="s">
        <v>98</v>
      </c>
    </row>
    <row r="10" spans="2:13" ht="30" customHeight="1">
      <c r="B10" s="404" t="s">
        <v>88</v>
      </c>
      <c r="C10" s="405" t="s">
        <v>89</v>
      </c>
      <c r="D10" s="231" t="s">
        <v>128</v>
      </c>
      <c r="E10" s="218"/>
      <c r="F10" s="219" t="str">
        <f>IF(D10="","","kW")</f>
        <v>kW</v>
      </c>
      <c r="G10" s="220">
        <f>IF(D10="","",IFERROR(INDEX('[4]INFO-Consumo'!$F$9:$F$95,
       MATCH(D10, '[4]INFO-Consumo'!$D$9:$D$95, 0)),""))</f>
        <v>1</v>
      </c>
      <c r="H10" s="401"/>
      <c r="I10" s="402"/>
      <c r="J10" s="402"/>
      <c r="K10" s="403"/>
      <c r="L10" s="400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0.30316793172398854</v>
      </c>
    </row>
    <row r="11" spans="2:13" ht="30" customHeight="1">
      <c r="B11" s="392"/>
      <c r="C11" s="393"/>
      <c r="D11" s="221" t="str">
        <f>IF(D10="", "Seleccionar Maquinaria ↑", "Carga Promedio de Uso de " &amp; D10)</f>
        <v>Carga Promedio de Uso de RADIAL X095B</v>
      </c>
      <c r="E11" s="222"/>
      <c r="F11" s="223" t="str">
        <f>IF(ISERROR(FIND("Seleccionar", D11)), "%", "")</f>
        <v>%</v>
      </c>
      <c r="G11" s="289">
        <f>IF(D10="","",IFERROR(
    INDEX('[4]INFO-Consumo'!I:I,
           MATCH(D10, '[4]INFO-Consumo'!D:D, 0)
    ),
""))</f>
        <v>0.6</v>
      </c>
      <c r="H11" s="384"/>
      <c r="I11" s="384"/>
      <c r="J11" s="384"/>
      <c r="K11" s="384"/>
      <c r="L11" s="399"/>
    </row>
    <row r="12" spans="2:13" ht="30" customHeight="1">
      <c r="B12" s="392"/>
      <c r="C12" s="393"/>
      <c r="D12" s="232" t="s">
        <v>173</v>
      </c>
      <c r="E12" s="222"/>
      <c r="F12" s="223" t="str">
        <f>IF(D12="","","kW")</f>
        <v>kW</v>
      </c>
      <c r="G12" s="224">
        <f>IFERROR(INDEX('[4]INFO-Ponderacion'!$S$9:$S$13,
       MATCH(D12,'[4]INFO-Ponderacion'!$C$9:$C$13, 0)),"")</f>
        <v>2.4095999999999997</v>
      </c>
      <c r="H12" s="286"/>
      <c r="I12" s="287"/>
      <c r="J12" s="287"/>
      <c r="K12" s="288"/>
      <c r="L12" s="399"/>
    </row>
    <row r="13" spans="2:13" ht="30" customHeight="1">
      <c r="B13" s="392"/>
      <c r="C13" s="393"/>
      <c r="D13" s="221" t="str">
        <f>IF(D12="", "Seleccionar Area ↑", "Tarifa Electrica ")</f>
        <v xml:space="preserve">Tarifa Electrica </v>
      </c>
      <c r="E13" s="222"/>
      <c r="F13" s="223" t="str">
        <f>IF(D12="","","$/kWh")</f>
        <v>$/kWh</v>
      </c>
      <c r="G13" s="228">
        <f>IF(D12="","",'INFO-Direc'!$G$9)</f>
        <v>5.2613958629577628E-2</v>
      </c>
      <c r="H13" s="384"/>
      <c r="I13" s="384"/>
      <c r="J13" s="384"/>
      <c r="K13" s="384"/>
      <c r="L13" s="399"/>
    </row>
    <row r="14" spans="2:13" ht="30" customHeight="1">
      <c r="B14" s="392"/>
      <c r="C14" s="393"/>
      <c r="D14" s="229" t="str">
        <f>IF(D12="", "Seleccionar Area ↑", "Costo Electrico Fijo de " &amp; D12)</f>
        <v>Costo Electrico Fijo de Ensamble</v>
      </c>
      <c r="E14" s="222"/>
      <c r="F14" s="223" t="str">
        <f>IF(D12="","","$/h")</f>
        <v>$/h</v>
      </c>
      <c r="G14" s="290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0.14482096183241172</v>
      </c>
      <c r="H14" s="385"/>
      <c r="I14" s="386"/>
      <c r="J14" s="386"/>
      <c r="K14" s="387"/>
      <c r="L14" s="399"/>
    </row>
    <row r="15" spans="2:13" ht="30" customHeight="1">
      <c r="B15" s="389"/>
      <c r="C15" s="391"/>
      <c r="D15" s="229" t="s">
        <v>85</v>
      </c>
      <c r="E15" s="230"/>
      <c r="F15" s="223" t="str">
        <f>IF(D12="","","$/h")</f>
        <v>$/h</v>
      </c>
      <c r="G15" s="233"/>
      <c r="H15" s="385"/>
      <c r="I15" s="386"/>
      <c r="J15" s="386"/>
      <c r="K15" s="387"/>
      <c r="L15" s="398"/>
    </row>
    <row r="16" spans="2:13" ht="30" customHeight="1">
      <c r="B16" s="388" t="s">
        <v>90</v>
      </c>
      <c r="C16" s="394" t="s">
        <v>89</v>
      </c>
      <c r="D16" s="232"/>
      <c r="E16" s="222"/>
      <c r="F16" s="223" t="str">
        <f>IF(D16="","","$/L")</f>
        <v/>
      </c>
      <c r="G16" s="228" t="str">
        <f>IFERROR(INDEX('INFO-Direc'!$G$9:$G$25,
       MATCH(D16, 'INFO-Direc'!$D$9:$D$25, 0)),"")</f>
        <v/>
      </c>
      <c r="H16" s="384"/>
      <c r="I16" s="384"/>
      <c r="J16" s="384"/>
      <c r="K16" s="384"/>
      <c r="L16" s="397" t="str">
        <f>IF(AND(D16="", D18=""), "",
    IFERROR(
        IFERROR(G16*G17,0)
        + IFERROR(G18*G19,0)
        + IFERROR(G20,0),
    "")
)</f>
        <v/>
      </c>
    </row>
    <row r="17" spans="2:12" ht="30" customHeight="1">
      <c r="B17" s="392"/>
      <c r="C17" s="395"/>
      <c r="D17" s="221" t="str">
        <f>IF(D16="", "Seleccionar Lubricante ↑", "Consumo de " &amp; D16)</f>
        <v>Seleccionar Lubricante ↑</v>
      </c>
      <c r="E17" s="222"/>
      <c r="F17" s="223" t="str">
        <f>IF(ISERROR(FIND("Seleccionar", D17)), "L/h", "")</f>
        <v/>
      </c>
      <c r="G17" s="234"/>
      <c r="H17" s="384"/>
      <c r="I17" s="384"/>
      <c r="J17" s="384"/>
      <c r="K17" s="384"/>
      <c r="L17" s="399"/>
    </row>
    <row r="18" spans="2:12" ht="30" customHeight="1">
      <c r="B18" s="392"/>
      <c r="C18" s="395"/>
      <c r="D18" s="232"/>
      <c r="E18" s="222"/>
      <c r="F18" s="223" t="str">
        <f>IF(D18="","","$/L")</f>
        <v/>
      </c>
      <c r="G18" s="228" t="str">
        <f>IFERROR(INDEX('INFO-Direc'!$G$9:$G$25,
       MATCH(D18, 'INFO-Direc'!$D$9:$D$25, 0)),"")</f>
        <v/>
      </c>
      <c r="H18" s="385"/>
      <c r="I18" s="386"/>
      <c r="J18" s="386"/>
      <c r="K18" s="387"/>
      <c r="L18" s="399"/>
    </row>
    <row r="19" spans="2:12" ht="30" customHeight="1">
      <c r="B19" s="392"/>
      <c r="C19" s="395"/>
      <c r="D19" s="221" t="str">
        <f>IF(D18="", "Seleccionar Lubricante ↑", "Consumo de " &amp; D18)</f>
        <v>Seleccionar Lubricante ↑</v>
      </c>
      <c r="E19" s="222"/>
      <c r="F19" s="223" t="str">
        <f>IF(ISERROR(FIND("Seleccionar", D19)), "L/h", "")</f>
        <v/>
      </c>
      <c r="G19" s="234"/>
      <c r="H19" s="385"/>
      <c r="I19" s="386"/>
      <c r="J19" s="386"/>
      <c r="K19" s="387"/>
      <c r="L19" s="399"/>
    </row>
    <row r="20" spans="2:12" ht="30" customHeight="1">
      <c r="B20" s="389"/>
      <c r="C20" s="396"/>
      <c r="D20" s="221" t="s">
        <v>85</v>
      </c>
      <c r="E20" s="222"/>
      <c r="F20" s="223" t="str">
        <f>IF(OR(D16&lt;&gt;"", D18&lt;&gt;""), "$/h", "")</f>
        <v/>
      </c>
      <c r="G20" s="233"/>
      <c r="H20" s="384"/>
      <c r="I20" s="384"/>
      <c r="J20" s="384"/>
      <c r="K20" s="384"/>
      <c r="L20" s="398"/>
    </row>
    <row r="21" spans="2:12" ht="30" customHeight="1">
      <c r="B21" s="388" t="s">
        <v>92</v>
      </c>
      <c r="C21" s="390" t="s">
        <v>89</v>
      </c>
      <c r="D21" s="232" t="s">
        <v>138</v>
      </c>
      <c r="E21" s="222"/>
      <c r="F21" s="223" t="str">
        <f>IF(D21="","","kW")</f>
        <v>kW</v>
      </c>
      <c r="G21" s="228">
        <f>IFERROR(INDEX('INFO-Direc'!$G$9:$G$25,
       MATCH(D21, 'INFO-Direc'!$D$9:$D$25, 0)),"")</f>
        <v>56</v>
      </c>
      <c r="H21" s="385"/>
      <c r="I21" s="386"/>
      <c r="J21" s="386"/>
      <c r="K21" s="387"/>
      <c r="L21" s="397">
        <f>IFERROR(G21*G13*G22+G23+G24,"")</f>
        <v>1.8303340099538083</v>
      </c>
    </row>
    <row r="22" spans="2:12" ht="30" customHeight="1">
      <c r="B22" s="392"/>
      <c r="C22" s="393"/>
      <c r="D22" s="221" t="str">
        <f>IF(D21="", "Seleccionar Compresor ↑", "Carga Promedio de Uso de " &amp; D21)</f>
        <v>Carga Promedio de Uso de Compresor</v>
      </c>
      <c r="E22" s="222"/>
      <c r="F22" s="223" t="str">
        <f>IF(ISERROR(FIND("Seleccionar", D22)), "%", "")</f>
        <v>%</v>
      </c>
      <c r="G22" s="289">
        <f>IF(D21="","",IFERROR(
    INDEX('[4]INFO-Consumo'!I:I,
           MATCH(D21, '[4]INFO-Consumo'!D:D, 0)
    ),
""))</f>
        <v>0.6</v>
      </c>
      <c r="H22" s="384"/>
      <c r="I22" s="384"/>
      <c r="J22" s="384"/>
      <c r="K22" s="384"/>
      <c r="L22" s="399"/>
    </row>
    <row r="23" spans="2:12" ht="30" customHeight="1">
      <c r="B23" s="392"/>
      <c r="C23" s="393"/>
      <c r="D23" s="235" t="str">
        <f>IF(D21="", "Seleccionar Compresor ↑", "Costo de Repuestos " &amp; D21)</f>
        <v>Costo de Repuestos Compresor</v>
      </c>
      <c r="E23" s="222"/>
      <c r="F23" s="223" t="str">
        <f>IF(ISERROR(FIND("Seleccionar", D23)), "$/h", "")</f>
        <v>$/h</v>
      </c>
      <c r="G23" s="236">
        <f>IF(D21="","", SUM(IF(ISNUMBER(FIND("Compresor", 'INFO-Mant'!D9:D26)), 'INFO-Mant'!G9:G26 / 'INFO-Mant'!H9:H26, 0)))</f>
        <v>6.2505000000000005E-2</v>
      </c>
      <c r="H23" s="385"/>
      <c r="I23" s="386"/>
      <c r="J23" s="386"/>
      <c r="K23" s="387"/>
      <c r="L23" s="399"/>
    </row>
    <row r="24" spans="2:12" ht="30" customHeight="1">
      <c r="B24" s="389"/>
      <c r="C24" s="391"/>
      <c r="D24" s="221" t="s">
        <v>85</v>
      </c>
      <c r="E24" s="222"/>
      <c r="F24" s="223" t="str">
        <f>IF(D21="","","$/h")</f>
        <v>$/h</v>
      </c>
      <c r="G24" s="233"/>
      <c r="H24" s="384"/>
      <c r="I24" s="384"/>
      <c r="J24" s="384"/>
      <c r="K24" s="384"/>
      <c r="L24" s="398"/>
    </row>
    <row r="25" spans="2:12" ht="30" customHeight="1">
      <c r="B25" s="388" t="s">
        <v>94</v>
      </c>
      <c r="C25" s="390" t="s">
        <v>89</v>
      </c>
      <c r="D25" s="232"/>
      <c r="E25" s="222"/>
      <c r="F25" s="223" t="str">
        <f>IF(D25="","","$/L")</f>
        <v/>
      </c>
      <c r="G25" s="228" t="str">
        <f>IFERROR(INDEX('INFO-Direc'!$G$9:$G$25,
       MATCH(D25, 'INFO-Direc'!$D$9:$D$25, 0)),"")</f>
        <v/>
      </c>
      <c r="H25" s="384"/>
      <c r="I25" s="384"/>
      <c r="J25" s="384"/>
      <c r="K25" s="384"/>
      <c r="L25" s="381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92"/>
      <c r="C26" s="393"/>
      <c r="D26" s="221" t="str">
        <f>IF(D25="", "Seleccionar Refrigerante ↑", "Consumo de " &amp; D25)</f>
        <v>Seleccionar Refrigerante ↑</v>
      </c>
      <c r="E26" s="222"/>
      <c r="F26" s="223" t="str">
        <f>IF(ISERROR(FIND("Seleccionar", D26)), "L/Año", "")</f>
        <v/>
      </c>
      <c r="G26" s="238"/>
      <c r="H26" s="384"/>
      <c r="I26" s="384"/>
      <c r="J26" s="384"/>
      <c r="K26" s="384"/>
      <c r="L26" s="382"/>
    </row>
    <row r="27" spans="2:12" ht="30" customHeight="1">
      <c r="B27" s="392"/>
      <c r="C27" s="393"/>
      <c r="D27" s="232"/>
      <c r="E27" s="222"/>
      <c r="F27" s="223" t="str">
        <f>IF(D27="","","$/L")</f>
        <v/>
      </c>
      <c r="G27" s="228" t="str">
        <f>IFERROR(INDEX('INFO-Direc'!$G$9:$G$25,
       MATCH(D27, 'INFO-Direc'!$D$9:$D$25, 0)),"")</f>
        <v/>
      </c>
      <c r="H27" s="385"/>
      <c r="I27" s="386"/>
      <c r="J27" s="386"/>
      <c r="K27" s="387"/>
      <c r="L27" s="382"/>
    </row>
    <row r="28" spans="2:12" ht="30" customHeight="1">
      <c r="B28" s="392"/>
      <c r="C28" s="393"/>
      <c r="D28" s="221" t="str">
        <f>IF(D27="", "Seleccionar Refrigerante ↑", "Consumo de " &amp; D27)</f>
        <v>Seleccionar Refrigerante ↑</v>
      </c>
      <c r="E28" s="222"/>
      <c r="F28" s="223" t="str">
        <f>IF(ISERROR(FIND("Seleccionar", D28)), "L/Año", "")</f>
        <v/>
      </c>
      <c r="G28" s="239"/>
      <c r="H28" s="385"/>
      <c r="I28" s="386"/>
      <c r="J28" s="386"/>
      <c r="K28" s="387"/>
      <c r="L28" s="382"/>
    </row>
    <row r="29" spans="2:12" ht="30" customHeight="1">
      <c r="B29" s="389"/>
      <c r="C29" s="391"/>
      <c r="D29" s="221" t="s">
        <v>85</v>
      </c>
      <c r="E29" s="222"/>
      <c r="F29" s="223" t="str">
        <f>IF(OR(D25&lt;&gt;"", D27&lt;&gt;""), "$/h", "")</f>
        <v/>
      </c>
      <c r="G29" s="233"/>
      <c r="H29" s="384"/>
      <c r="I29" s="384"/>
      <c r="J29" s="384"/>
      <c r="K29" s="384"/>
      <c r="L29" s="383"/>
    </row>
    <row r="30" spans="2:12" s="152" customFormat="1" ht="30" customHeight="1">
      <c r="B30" s="388" t="s">
        <v>168</v>
      </c>
      <c r="C30" s="394" t="s">
        <v>89</v>
      </c>
      <c r="D30" s="232"/>
      <c r="E30" s="222"/>
      <c r="F30" s="223" t="str">
        <f>IF(D30="","","$/L")</f>
        <v/>
      </c>
      <c r="G30" s="228" t="str">
        <f>IFERROR(INDEX('INFO-Direc'!$G$9:$G$25,
       MATCH(D30, 'INFO-Direc'!$D$9:$D$25, 0)),"")</f>
        <v/>
      </c>
      <c r="H30" s="384"/>
      <c r="I30" s="384"/>
      <c r="J30" s="384"/>
      <c r="K30" s="384"/>
      <c r="L30" s="381" t="str">
        <f>IF(
    AND(D30="", D32=""),
    "",
    IFERROR(
        IFERROR(G30 / (INDEX('INFO-OEE'!$E$18:$CA$18,
                               MATCH(#REF!, 'INFO-OEE'!$E$9:$CA$9, 0)) * 12), 0)
        * G31
        +
        IFERROR(G32 / (INDEX('INFO-OEE'!$E$18:$CA$18,
                               MATCH(#REF!, 'INFO-OEE'!$E$9:$CA$9, 0)) * 12), 0)
        * G33
        +
        IFERROR(G34, 0),
    "")
)</f>
        <v/>
      </c>
    </row>
    <row r="31" spans="2:12" s="152" customFormat="1" ht="30" customHeight="1">
      <c r="B31" s="392"/>
      <c r="C31" s="395"/>
      <c r="D31" s="221" t="str">
        <f>IF(D30="", "Seleccionar Solvente ↑", "Consumo de " &amp; D30)</f>
        <v>Seleccionar Solvente ↑</v>
      </c>
      <c r="E31" s="222"/>
      <c r="F31" s="223" t="str">
        <f>IF(ISERROR(FIND("Seleccionar", D31)), "L/Año", "")</f>
        <v/>
      </c>
      <c r="G31" s="234"/>
      <c r="H31" s="384"/>
      <c r="I31" s="384"/>
      <c r="J31" s="384"/>
      <c r="K31" s="384"/>
      <c r="L31" s="382"/>
    </row>
    <row r="32" spans="2:12" s="152" customFormat="1" ht="30" customHeight="1">
      <c r="B32" s="392"/>
      <c r="C32" s="395"/>
      <c r="D32" s="232"/>
      <c r="E32" s="222"/>
      <c r="F32" s="223" t="str">
        <f>IF(D32="","","$/L")</f>
        <v/>
      </c>
      <c r="G32" s="228" t="str">
        <f>IFERROR(INDEX('INFO-Direc'!$G$9:$G$25,
       MATCH(D32, 'INFO-Direc'!$D$9:$D$25, 0)),"")</f>
        <v/>
      </c>
      <c r="H32" s="385"/>
      <c r="I32" s="386"/>
      <c r="J32" s="386"/>
      <c r="K32" s="387"/>
      <c r="L32" s="382"/>
    </row>
    <row r="33" spans="2:12" s="152" customFormat="1" ht="30" customHeight="1">
      <c r="B33" s="392"/>
      <c r="C33" s="395"/>
      <c r="D33" s="221" t="str">
        <f>IF(D32="", "Seleccionar Solvente ↑", "Consumo de " &amp; D32)</f>
        <v>Seleccionar Solvente ↑</v>
      </c>
      <c r="E33" s="222"/>
      <c r="F33" s="223" t="str">
        <f>IF(ISERROR(FIND("Seleccionar", D33)), "L/Año", "")</f>
        <v/>
      </c>
      <c r="G33" s="234"/>
      <c r="H33" s="385"/>
      <c r="I33" s="386"/>
      <c r="J33" s="386"/>
      <c r="K33" s="387"/>
      <c r="L33" s="382"/>
    </row>
    <row r="34" spans="2:12" s="152" customFormat="1" ht="30" customHeight="1">
      <c r="B34" s="389"/>
      <c r="C34" s="396"/>
      <c r="D34" s="221" t="s">
        <v>85</v>
      </c>
      <c r="E34" s="222"/>
      <c r="F34" s="223" t="str">
        <f>IF(OR(D30&lt;&gt;"", D32&lt;&gt;""), "$/h", "")</f>
        <v/>
      </c>
      <c r="G34" s="233"/>
      <c r="H34" s="384"/>
      <c r="I34" s="384"/>
      <c r="J34" s="384"/>
      <c r="K34" s="384"/>
      <c r="L34" s="383"/>
    </row>
    <row r="35" spans="2:12" ht="30" customHeight="1">
      <c r="B35" s="388" t="s">
        <v>100</v>
      </c>
      <c r="C35" s="390" t="s">
        <v>89</v>
      </c>
      <c r="D35" s="221" t="str">
        <f>IF(D12="", "Seleccionar Area ↑", "Costo de Operarios")</f>
        <v>Costo de Operarios</v>
      </c>
      <c r="E35" s="222"/>
      <c r="F35" s="223" t="str">
        <f>IF(D12="","","$/mes")</f>
        <v>$/mes</v>
      </c>
      <c r="G35" s="237">
        <f>IF(D12="","",IFERROR(
    INDEX('INFO-Personal'!$E$26:$CA$26,
           MATCH($C$3, 'INFO-Personal'!$E$9:$CA$9, 0)
    ),
""))</f>
        <v>0</v>
      </c>
      <c r="H35" s="384"/>
      <c r="I35" s="384"/>
      <c r="J35" s="384"/>
      <c r="K35" s="384"/>
      <c r="L35" s="397">
        <f>IFERROR(
    (G35 / INDEX('INFO-OEE'!$E$18:$CA$18,
                  MATCH($C$3, 'INFO-OEE'!$E$9:$CA$9, 0)))
    + G36,
"")</f>
        <v>0</v>
      </c>
    </row>
    <row r="36" spans="2:12" ht="30" customHeight="1">
      <c r="B36" s="389"/>
      <c r="C36" s="391"/>
      <c r="D36" s="221" t="s">
        <v>85</v>
      </c>
      <c r="E36" s="222"/>
      <c r="F36" s="223" t="str">
        <f>IF(D12="","","$/h")</f>
        <v>$/h</v>
      </c>
      <c r="G36" s="240"/>
      <c r="H36" s="384"/>
      <c r="I36" s="384"/>
      <c r="J36" s="384"/>
      <c r="K36" s="384"/>
      <c r="L36" s="398"/>
    </row>
    <row r="37" spans="2:12" ht="30" customHeight="1">
      <c r="B37" s="241"/>
      <c r="C37" s="242"/>
      <c r="D37" s="243"/>
      <c r="E37" s="242"/>
      <c r="F37" s="244"/>
      <c r="G37" s="245"/>
      <c r="H37" s="409"/>
      <c r="I37" s="409"/>
      <c r="J37" s="409"/>
      <c r="K37" s="409"/>
      <c r="L37" s="246"/>
    </row>
    <row r="38" spans="2:12" ht="30" customHeight="1">
      <c r="B38" s="388" t="s">
        <v>16</v>
      </c>
      <c r="C38" s="390" t="s">
        <v>69</v>
      </c>
      <c r="D38" s="221" t="str">
        <f>IF(D12="", "Seleccionar Area ↑", "Costo de Supervisores")</f>
        <v>Costo de Supervisores</v>
      </c>
      <c r="E38" s="222"/>
      <c r="F38" s="247" t="str">
        <f>IF(D12="","","$/mes")</f>
        <v>$/mes</v>
      </c>
      <c r="G38" s="237">
        <f>IF(D12="","",IFERROR(
    INDEX('INFO-Personal'!$E$27:$CA$27,
           MATCH($C$3, 'INFO-Personal'!$E$9:$CA$9, 0)
    ),
""))</f>
        <v>0</v>
      </c>
      <c r="H38" s="385"/>
      <c r="I38" s="386"/>
      <c r="J38" s="386"/>
      <c r="K38" s="387"/>
      <c r="L38" s="397">
        <f>IFERROR(
    (G38 / INDEX('INFO-OEE'!$E$18:$CA$18,
                  MATCH($C$3, 'INFO-OEE'!$E$9:$CA$9, 0)))
    + G39,
"")</f>
        <v>0</v>
      </c>
    </row>
    <row r="39" spans="2:12" ht="30" customHeight="1">
      <c r="B39" s="392"/>
      <c r="C39" s="393"/>
      <c r="D39" s="221" t="s">
        <v>85</v>
      </c>
      <c r="E39" s="222"/>
      <c r="F39" s="223" t="str">
        <f>IF(D12="","","$/h")</f>
        <v>$/h</v>
      </c>
      <c r="G39" s="240"/>
      <c r="H39" s="385"/>
      <c r="I39" s="386"/>
      <c r="J39" s="386"/>
      <c r="K39" s="387"/>
      <c r="L39" s="399"/>
    </row>
    <row r="40" spans="2:12" ht="30" customHeight="1">
      <c r="B40" s="388" t="s">
        <v>101</v>
      </c>
      <c r="C40" s="390" t="s">
        <v>69</v>
      </c>
      <c r="D40" s="221" t="str">
        <f>IF(D12="", "Seleccionar Area ↑", "Costo de Mant. Preventivo")</f>
        <v>Costo de Mant. Preventivo</v>
      </c>
      <c r="E40" s="222"/>
      <c r="F40" s="247" t="str">
        <f>IF(D12="","","$/mes")</f>
        <v>$/mes</v>
      </c>
      <c r="G40" s="237">
        <f>IF(D12="","",IFERROR(
    INDEX('INFO-Personal'!$E$28:$CA$28,
           MATCH($C$3, 'INFO-Personal'!$E$9:$CA$9, 0)
    ),
""))</f>
        <v>0</v>
      </c>
      <c r="H40" s="385"/>
      <c r="I40" s="386"/>
      <c r="J40" s="386"/>
      <c r="K40" s="387"/>
      <c r="L40" s="397">
        <f>IF(D12="","",SUM(
    IFERROR((G40+G41) / INDEX('INFO-OEE'!$E$18:$CA$18, MATCH(C3, 'INFO-OEE'!$E$9:$CA$9, 0)), 0),
    IFERROR(G42 / G43, 0),
    IFERROR(G44 / G45, 0),
    IFERROR(G46 / G47, 0),
    IFERROR(G48, 0)
))</f>
        <v>0</v>
      </c>
    </row>
    <row r="41" spans="2:12" ht="30" customHeight="1">
      <c r="B41" s="392"/>
      <c r="C41" s="393"/>
      <c r="D41" s="221" t="str">
        <f>IF(D12="", "Seleccionar Area ↑", "Costo de Mant. Correctivo")</f>
        <v>Costo de Mant. Correctivo</v>
      </c>
      <c r="E41" s="222"/>
      <c r="F41" s="247" t="str">
        <f>IF(D12="","","$/mes")</f>
        <v>$/mes</v>
      </c>
      <c r="G41" s="237">
        <f>IF(D12="","",IFERROR(
    INDEX('INFO-Personal'!$E$29:$CA$29,
           MATCH($C$3, 'INFO-Personal'!$E$9:$CA$9, 0)
    ),
""))</f>
        <v>0</v>
      </c>
      <c r="H41" s="385"/>
      <c r="I41" s="386"/>
      <c r="J41" s="386"/>
      <c r="K41" s="387"/>
      <c r="L41" s="399"/>
    </row>
    <row r="42" spans="2:12" ht="30" customHeight="1">
      <c r="B42" s="392"/>
      <c r="C42" s="393"/>
      <c r="D42" s="232"/>
      <c r="E42" s="222"/>
      <c r="F42" s="223" t="str">
        <f>IF(D42="","","$/u")</f>
        <v/>
      </c>
      <c r="G42" s="237" t="str">
        <f>IFERROR(INDEX('INFO-Mant'!$G$9:$G$26,
       MATCH(D42, 'INFO-Mant'!$D$9:$D$26, 0)),"")</f>
        <v/>
      </c>
      <c r="H42" s="385"/>
      <c r="I42" s="386"/>
      <c r="J42" s="386"/>
      <c r="K42" s="387"/>
      <c r="L42" s="399"/>
    </row>
    <row r="43" spans="2:12" ht="30" customHeight="1">
      <c r="B43" s="392"/>
      <c r="C43" s="393"/>
      <c r="D43" s="221" t="str">
        <f>IF(D42="", "Seleccionar Repuesto ↑", "Vida Util de " &amp; D42)</f>
        <v>Seleccionar Repuesto ↑</v>
      </c>
      <c r="E43" s="222"/>
      <c r="F43" s="223" t="str">
        <f>IF(ISERROR(FIND("Seleccionar", D43)), "Horas/u", "")</f>
        <v/>
      </c>
      <c r="G43" s="238"/>
      <c r="H43" s="385"/>
      <c r="I43" s="386"/>
      <c r="J43" s="386"/>
      <c r="K43" s="387"/>
      <c r="L43" s="399"/>
    </row>
    <row r="44" spans="2:12" ht="30" customHeight="1">
      <c r="B44" s="392"/>
      <c r="C44" s="393"/>
      <c r="D44" s="232"/>
      <c r="E44" s="222"/>
      <c r="F44" s="223" t="str">
        <f>IF(D44="","","$/u")</f>
        <v/>
      </c>
      <c r="G44" s="237" t="str">
        <f>IFERROR(INDEX('INFO-Mant'!$G$9:$G$26,
       MATCH(D44, 'INFO-Mant'!$D$9:$D$26, 0)),"")</f>
        <v/>
      </c>
      <c r="H44" s="385"/>
      <c r="I44" s="386"/>
      <c r="J44" s="386"/>
      <c r="K44" s="387"/>
      <c r="L44" s="399"/>
    </row>
    <row r="45" spans="2:12" ht="30" customHeight="1">
      <c r="B45" s="392"/>
      <c r="C45" s="393"/>
      <c r="D45" s="221" t="str">
        <f>IF(D44="", "Seleccionar Repuesto ↑", "Vida Util de " &amp; D44)</f>
        <v>Seleccionar Repuesto ↑</v>
      </c>
      <c r="E45" s="222"/>
      <c r="F45" s="223" t="str">
        <f>IF(ISERROR(FIND("Seleccionar", D45)), "Horas/u", "")</f>
        <v/>
      </c>
      <c r="G45" s="238"/>
      <c r="H45" s="385"/>
      <c r="I45" s="386"/>
      <c r="J45" s="386"/>
      <c r="K45" s="387"/>
      <c r="L45" s="399"/>
    </row>
    <row r="46" spans="2:12" ht="30" customHeight="1">
      <c r="B46" s="392"/>
      <c r="C46" s="393"/>
      <c r="D46" s="232"/>
      <c r="E46" s="222"/>
      <c r="F46" s="223" t="str">
        <f>IF(D46="","","$/u")</f>
        <v/>
      </c>
      <c r="G46" s="237" t="str">
        <f>IFERROR(INDEX('INFO-Mant'!$G$9:$G$26,
       MATCH(D46, 'INFO-Mant'!$D$9:$D$26, 0)),"")</f>
        <v/>
      </c>
      <c r="H46" s="385"/>
      <c r="I46" s="386"/>
      <c r="J46" s="386"/>
      <c r="K46" s="387"/>
      <c r="L46" s="399"/>
    </row>
    <row r="47" spans="2:12" ht="33.75" customHeight="1">
      <c r="B47" s="392"/>
      <c r="C47" s="393"/>
      <c r="D47" s="221" t="str">
        <f>IF(D46="", "Seleccionar Repuesto ↑", "Vida Util de " &amp; D46)</f>
        <v>Seleccionar Repuesto ↑</v>
      </c>
      <c r="E47" s="222"/>
      <c r="F47" s="223" t="str">
        <f>IF(ISERROR(FIND("Seleccionar", D47)), "Horas/u", "")</f>
        <v/>
      </c>
      <c r="G47" s="240"/>
      <c r="H47" s="385"/>
      <c r="I47" s="386"/>
      <c r="J47" s="386"/>
      <c r="K47" s="387"/>
      <c r="L47" s="399"/>
    </row>
    <row r="48" spans="2:12" ht="30" customHeight="1">
      <c r="B48" s="389"/>
      <c r="C48" s="391"/>
      <c r="D48" s="221" t="s">
        <v>85</v>
      </c>
      <c r="E48" s="222"/>
      <c r="F48" s="223" t="str">
        <f>IF(D12="","","$/h")</f>
        <v>$/h</v>
      </c>
      <c r="G48" s="240"/>
      <c r="H48" s="385"/>
      <c r="I48" s="386"/>
      <c r="J48" s="386"/>
      <c r="K48" s="387"/>
      <c r="L48" s="398"/>
    </row>
    <row r="49" spans="2:12" ht="30" customHeight="1">
      <c r="B49" s="248"/>
      <c r="C49" s="249"/>
      <c r="D49" s="250"/>
      <c r="E49" s="249"/>
      <c r="F49" s="251"/>
      <c r="G49" s="252"/>
      <c r="H49" s="249"/>
      <c r="I49" s="249"/>
      <c r="J49" s="249"/>
      <c r="K49" s="249"/>
      <c r="L49" s="253"/>
    </row>
    <row r="50" spans="2:12" ht="30" customHeight="1">
      <c r="B50" s="388" t="s">
        <v>102</v>
      </c>
      <c r="C50" s="394" t="s">
        <v>103</v>
      </c>
      <c r="D50" s="232"/>
      <c r="E50" s="222"/>
      <c r="F50" s="223" t="str">
        <f>IF(D50="","","$/h")</f>
        <v/>
      </c>
      <c r="G50" s="23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410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410"/>
      <c r="J50" s="410"/>
      <c r="K50" s="410"/>
      <c r="L50" s="255" t="str">
        <f ca="1">G50</f>
        <v/>
      </c>
    </row>
    <row r="51" spans="2:12" ht="30" customHeight="1">
      <c r="B51" s="392"/>
      <c r="C51" s="395"/>
      <c r="D51" s="232"/>
      <c r="E51" s="254"/>
      <c r="F51" s="223" t="str">
        <f>IF(D51="","","$/h")</f>
        <v/>
      </c>
      <c r="G51" s="23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410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410"/>
      <c r="J51" s="410"/>
      <c r="K51" s="410"/>
      <c r="L51" s="255" t="str">
        <f ca="1">G51</f>
        <v/>
      </c>
    </row>
    <row r="52" spans="2:12" ht="30" customHeight="1">
      <c r="B52" s="392"/>
      <c r="C52" s="395"/>
      <c r="D52" s="232"/>
      <c r="E52" s="222"/>
      <c r="F52" s="223" t="str">
        <f t="shared" ref="F52:F54" si="0">IF(D52="","","$/h")</f>
        <v/>
      </c>
      <c r="G52" s="23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410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410"/>
      <c r="J52" s="410"/>
      <c r="K52" s="410"/>
      <c r="L52" s="255" t="str">
        <f ca="1">G52</f>
        <v/>
      </c>
    </row>
    <row r="53" spans="2:12" ht="30" customHeight="1">
      <c r="B53" s="392"/>
      <c r="C53" s="395"/>
      <c r="D53" s="232"/>
      <c r="E53" s="222"/>
      <c r="F53" s="223" t="str">
        <f t="shared" si="0"/>
        <v/>
      </c>
      <c r="G53" s="23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410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410"/>
      <c r="J53" s="410"/>
      <c r="K53" s="410"/>
      <c r="L53" s="255" t="str">
        <f ca="1">G53</f>
        <v/>
      </c>
    </row>
    <row r="54" spans="2:12" ht="30" customHeight="1">
      <c r="B54" s="389"/>
      <c r="C54" s="396"/>
      <c r="D54" s="232"/>
      <c r="E54" s="222"/>
      <c r="F54" s="223" t="str">
        <f t="shared" si="0"/>
        <v/>
      </c>
      <c r="G54" s="23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410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410"/>
      <c r="J54" s="410"/>
      <c r="K54" s="410"/>
      <c r="L54" s="255" t="str">
        <f ca="1">G54</f>
        <v/>
      </c>
    </row>
    <row r="55" spans="2:12" ht="30" customHeight="1">
      <c r="B55" s="146"/>
      <c r="C55" s="147"/>
      <c r="D55" s="411"/>
      <c r="E55" s="411"/>
      <c r="F55" s="30"/>
      <c r="G55" s="30"/>
      <c r="H55" s="149"/>
      <c r="I55" s="149"/>
      <c r="J55" s="149"/>
      <c r="K55" s="30"/>
      <c r="L55" s="145"/>
    </row>
    <row r="56" spans="2:12" ht="30" customHeight="1" thickBot="1">
      <c r="B56" s="153" t="s">
        <v>39</v>
      </c>
      <c r="C56" s="330" t="s">
        <v>176</v>
      </c>
      <c r="D56" s="330"/>
      <c r="E56" s="154" t="s">
        <v>23</v>
      </c>
      <c r="F56" s="368"/>
      <c r="G56" s="368"/>
      <c r="H56" s="141"/>
      <c r="I56" s="141"/>
      <c r="J56" s="141"/>
      <c r="K56" s="256"/>
      <c r="L56" s="257"/>
    </row>
    <row r="57" spans="2:12" ht="30" customHeight="1" thickBot="1">
      <c r="B57" s="155"/>
      <c r="C57" s="156"/>
      <c r="D57" s="156"/>
      <c r="E57" s="156"/>
      <c r="F57" s="378"/>
      <c r="G57" s="378"/>
      <c r="H57" s="157"/>
      <c r="I57" s="157"/>
      <c r="J57" s="157"/>
      <c r="K57" s="258" t="s">
        <v>106</v>
      </c>
      <c r="L57" s="259">
        <f ca="1">IFERROR(SUM(L19:L54),"")</f>
        <v>1.8303340099538083</v>
      </c>
    </row>
    <row r="59" spans="2:12" ht="30" customHeight="1">
      <c r="C59" s="117"/>
    </row>
  </sheetData>
  <sheetProtection algorithmName="SHA-512" hashValue="7F/k0rsoawokh/ujEwx2lERmuEGyO6xs26Ewh2BtxX80bpeefiiZ9jb/5HxvAKPkeOKhiGyb6gBpdCGOX7hcIQ==" saltValue="d2t9wjI037LHf0oEKBaFHQ==" spinCount="100000" sheet="1" objects="1" scenarios="1" selectLockedCells="1"/>
  <mergeCells count="80">
    <mergeCell ref="D55:E55"/>
    <mergeCell ref="C56:D56"/>
    <mergeCell ref="F56:G56"/>
    <mergeCell ref="F57:G57"/>
    <mergeCell ref="B50:B54"/>
    <mergeCell ref="C50:C54"/>
    <mergeCell ref="H50:K50"/>
    <mergeCell ref="H51:K51"/>
    <mergeCell ref="H52:K52"/>
    <mergeCell ref="H53:K53"/>
    <mergeCell ref="H54:K54"/>
    <mergeCell ref="L38:L39"/>
    <mergeCell ref="B40:B48"/>
    <mergeCell ref="C40:C48"/>
    <mergeCell ref="L40:L48"/>
    <mergeCell ref="H44:K44"/>
    <mergeCell ref="H45:K45"/>
    <mergeCell ref="H46:K46"/>
    <mergeCell ref="H47:K47"/>
    <mergeCell ref="H48:K48"/>
    <mergeCell ref="H39:K39"/>
    <mergeCell ref="H40:K40"/>
    <mergeCell ref="H41:K41"/>
    <mergeCell ref="H42:K42"/>
    <mergeCell ref="H43:K43"/>
    <mergeCell ref="B38:B39"/>
    <mergeCell ref="C38:C39"/>
    <mergeCell ref="B10:B15"/>
    <mergeCell ref="C10:C15"/>
    <mergeCell ref="B16:B20"/>
    <mergeCell ref="C16:C20"/>
    <mergeCell ref="B21:B24"/>
    <mergeCell ref="C21:C24"/>
    <mergeCell ref="H38:K38"/>
    <mergeCell ref="H34:K34"/>
    <mergeCell ref="H35:K35"/>
    <mergeCell ref="H36:K36"/>
    <mergeCell ref="H37:K37"/>
    <mergeCell ref="B35:B36"/>
    <mergeCell ref="C35:C36"/>
    <mergeCell ref="L35:L36"/>
    <mergeCell ref="H30:K30"/>
    <mergeCell ref="H31:K31"/>
    <mergeCell ref="H32:K32"/>
    <mergeCell ref="H33:K33"/>
    <mergeCell ref="B30:B34"/>
    <mergeCell ref="C30:C34"/>
    <mergeCell ref="L30:L34"/>
    <mergeCell ref="B25:B29"/>
    <mergeCell ref="C25:C29"/>
    <mergeCell ref="L25:L29"/>
    <mergeCell ref="H23:K23"/>
    <mergeCell ref="H24:K24"/>
    <mergeCell ref="H25:K25"/>
    <mergeCell ref="L21:L24"/>
    <mergeCell ref="H29:K29"/>
    <mergeCell ref="H26:K26"/>
    <mergeCell ref="H27:K27"/>
    <mergeCell ref="H28:K28"/>
    <mergeCell ref="H20:K20"/>
    <mergeCell ref="H21:K21"/>
    <mergeCell ref="H22:K22"/>
    <mergeCell ref="L16:L20"/>
    <mergeCell ref="H16:K16"/>
    <mergeCell ref="H17:K17"/>
    <mergeCell ref="H18:K18"/>
    <mergeCell ref="H19:K19"/>
    <mergeCell ref="H13:K13"/>
    <mergeCell ref="H15:K15"/>
    <mergeCell ref="L10:L15"/>
    <mergeCell ref="H9:K9"/>
    <mergeCell ref="H10:K10"/>
    <mergeCell ref="H11:K11"/>
    <mergeCell ref="H14:K14"/>
    <mergeCell ref="C3:D3"/>
    <mergeCell ref="F3:G3"/>
    <mergeCell ref="C6:D6"/>
    <mergeCell ref="F6:G6"/>
    <mergeCell ref="C7:D7"/>
    <mergeCell ref="F7:G7"/>
  </mergeCells>
  <dataValidations count="9">
    <dataValidation allowBlank="1" showInputMessage="1" showErrorMessage="1" prompt="Escriba comentarios en las celdas de la derecha." sqref="C59"/>
    <dataValidation type="list" allowBlank="1" showInputMessage="1" showErrorMessage="1" sqref="D51:D54">
      <formula1>Herramientas_Ensamble</formula1>
    </dataValidation>
    <dataValidation type="list" allowBlank="1" showInputMessage="1" showErrorMessage="1" sqref="D12">
      <formula1>Areas_Ensamble</formula1>
    </dataValidation>
    <dataValidation type="list" allowBlank="1" showInputMessage="1" showErrorMessage="1" sqref="D16 D18">
      <formula1>Lubricantes_Ensamble</formula1>
    </dataValidation>
    <dataValidation type="list" allowBlank="1" showInputMessage="1" showErrorMessage="1" sqref="D21">
      <formula1>AireComprimido_Ensamble</formula1>
    </dataValidation>
    <dataValidation type="list" allowBlank="1" showInputMessage="1" showErrorMessage="1" sqref="D25 D27">
      <formula1>Refrigerantes_Ensamble</formula1>
    </dataValidation>
    <dataValidation type="list" allowBlank="1" showInputMessage="1" showErrorMessage="1" sqref="D30 D32">
      <formula1>Solvente_Ensamble</formula1>
    </dataValidation>
    <dataValidation type="list" allowBlank="1" showInputMessage="1" showErrorMessage="1" sqref="D42 D44 D46">
      <formula1>Repuestos_Ensamble</formula1>
    </dataValidation>
    <dataValidation type="list" allowBlank="1" showInputMessage="1" showErrorMessage="1" sqref="D10 D50">
      <formula1>Maquinaria_Ensamble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0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54</xdr:row>
                    <xdr:rowOff>333375</xdr:rowOff>
                  </from>
                  <to>
                    <xdr:col>1</xdr:col>
                    <xdr:colOff>1762125</xdr:colOff>
                    <xdr:row>55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8">
    <tabColor rgb="FF0070C0"/>
    <pageSetUpPr autoPageBreaks="0" fitToPage="1"/>
  </sheetPr>
  <dimension ref="B1:M59"/>
  <sheetViews>
    <sheetView showGridLines="0" zoomScale="80" zoomScaleNormal="80" workbookViewId="0">
      <selection activeCell="D12" sqref="D12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3.140625" style="80" bestFit="1" customWidth="1"/>
    <col min="5" max="5" width="20.5703125" style="80" customWidth="1"/>
    <col min="6" max="6" width="16.5703125" style="80" bestFit="1" customWidth="1"/>
    <col min="7" max="7" width="19.7109375" style="80" bestFit="1" customWidth="1"/>
    <col min="8" max="8" width="15.28515625" style="80" customWidth="1"/>
    <col min="9" max="10" width="17" style="80" customWidth="1"/>
    <col min="11" max="11" width="28.42578125" style="80" customWidth="1"/>
    <col min="12" max="12" width="20.7109375" style="80" customWidth="1"/>
    <col min="13" max="13" width="2.7109375" style="80" customWidth="1"/>
    <col min="14" max="16384" width="9.140625" style="80"/>
  </cols>
  <sheetData>
    <row r="1" spans="2:13" ht="12" customHeight="1" thickBot="1"/>
    <row r="2" spans="2:13" ht="30" customHeight="1">
      <c r="B2" s="126" t="s">
        <v>95</v>
      </c>
      <c r="C2" s="127"/>
      <c r="D2" s="128"/>
      <c r="E2" s="128"/>
      <c r="F2" s="128"/>
      <c r="G2" s="128"/>
      <c r="H2" s="128"/>
      <c r="I2" s="128"/>
      <c r="J2" s="128"/>
      <c r="K2" s="128"/>
      <c r="L2" s="129"/>
    </row>
    <row r="3" spans="2:13" ht="30" customHeight="1">
      <c r="B3" s="130" t="s">
        <v>96</v>
      </c>
      <c r="C3" s="406" t="s">
        <v>132</v>
      </c>
      <c r="D3" s="406"/>
      <c r="E3" s="125" t="s">
        <v>3</v>
      </c>
      <c r="F3" s="356">
        <f ca="1">TODAY()</f>
        <v>46020</v>
      </c>
      <c r="G3" s="356"/>
      <c r="H3" s="125" t="s">
        <v>61</v>
      </c>
      <c r="I3" s="162">
        <f>'INFO-Direc'!H3</f>
        <v>1445</v>
      </c>
      <c r="J3" s="131"/>
      <c r="K3" s="132"/>
      <c r="L3" s="133"/>
      <c r="M3" s="134"/>
    </row>
    <row r="4" spans="2:13" ht="30" customHeight="1">
      <c r="B4" s="130" t="s">
        <v>97</v>
      </c>
      <c r="C4" s="160">
        <f>IFERROR(INDEX('INFO-OEE'!E17:CL17,
       MATCH(C3, 'INFO-OEE'!E9:CL9, 0)),"")</f>
        <v>0.8</v>
      </c>
      <c r="D4" s="135"/>
      <c r="E4" s="136"/>
      <c r="F4" s="136"/>
      <c r="G4" s="136"/>
      <c r="H4" s="125"/>
      <c r="I4" s="137"/>
      <c r="J4" s="131"/>
      <c r="K4" s="132"/>
      <c r="L4" s="138"/>
      <c r="M4" s="89"/>
    </row>
    <row r="5" spans="2:13" ht="30" customHeight="1">
      <c r="B5" s="139" t="s">
        <v>4</v>
      </c>
      <c r="C5" s="140"/>
      <c r="D5" s="141"/>
      <c r="E5" s="141"/>
      <c r="F5" s="141"/>
      <c r="G5" s="141"/>
      <c r="H5" s="141"/>
      <c r="I5" s="141"/>
      <c r="J5" s="141"/>
      <c r="K5" s="141"/>
      <c r="L5" s="142"/>
    </row>
    <row r="6" spans="2:13" ht="30" customHeight="1">
      <c r="B6" s="143" t="s">
        <v>5</v>
      </c>
      <c r="C6" s="407"/>
      <c r="D6" s="407"/>
      <c r="E6" s="144" t="s">
        <v>6</v>
      </c>
      <c r="F6" s="407"/>
      <c r="G6" s="407"/>
      <c r="H6" s="141"/>
      <c r="I6" s="141"/>
      <c r="J6" s="141"/>
      <c r="K6" s="30"/>
      <c r="L6" s="145"/>
    </row>
    <row r="7" spans="2:13" ht="30" customHeight="1">
      <c r="B7" s="143" t="s">
        <v>7</v>
      </c>
      <c r="C7" s="407"/>
      <c r="D7" s="407"/>
      <c r="E7" s="144" t="s">
        <v>62</v>
      </c>
      <c r="F7" s="408"/>
      <c r="G7" s="408"/>
      <c r="H7" s="141"/>
      <c r="I7" s="141"/>
      <c r="J7" s="141"/>
      <c r="K7" s="30"/>
      <c r="L7" s="145"/>
    </row>
    <row r="8" spans="2:13" ht="30" customHeight="1" thickBot="1">
      <c r="B8" s="146"/>
      <c r="C8" s="147"/>
      <c r="D8" s="148"/>
      <c r="E8" s="148"/>
      <c r="F8" s="30"/>
      <c r="G8" s="30"/>
      <c r="H8" s="149"/>
      <c r="I8" s="149"/>
      <c r="J8" s="149"/>
      <c r="K8" s="30"/>
      <c r="L8" s="145"/>
    </row>
    <row r="9" spans="2:13" ht="30" customHeight="1" thickBot="1">
      <c r="B9" s="67" t="s">
        <v>9</v>
      </c>
      <c r="C9" s="190" t="s">
        <v>63</v>
      </c>
      <c r="D9" s="190" t="s">
        <v>64</v>
      </c>
      <c r="E9" s="190" t="s">
        <v>65</v>
      </c>
      <c r="F9" s="190" t="s">
        <v>66</v>
      </c>
      <c r="G9" s="190" t="s">
        <v>67</v>
      </c>
      <c r="H9" s="319" t="s">
        <v>68</v>
      </c>
      <c r="I9" s="319"/>
      <c r="J9" s="319"/>
      <c r="K9" s="319"/>
      <c r="L9" s="191" t="s">
        <v>98</v>
      </c>
    </row>
    <row r="10" spans="2:13" ht="30" customHeight="1">
      <c r="B10" s="404" t="s">
        <v>88</v>
      </c>
      <c r="C10" s="405" t="s">
        <v>89</v>
      </c>
      <c r="D10" s="231" t="s">
        <v>132</v>
      </c>
      <c r="E10" s="218"/>
      <c r="F10" s="219" t="str">
        <f>IF(D10="","","kW")</f>
        <v>kW</v>
      </c>
      <c r="G10" s="220">
        <f>IF(D10="","",IFERROR(INDEX('[4]INFO-Consumo'!$F$9:$F$95,
       MATCH(D10, '[4]INFO-Consumo'!$D$9:$D$95, 0)),""))</f>
        <v>1</v>
      </c>
      <c r="H10" s="401"/>
      <c r="I10" s="402"/>
      <c r="J10" s="402"/>
      <c r="K10" s="403"/>
      <c r="L10" s="400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0.30316793172398854</v>
      </c>
    </row>
    <row r="11" spans="2:13" ht="30" customHeight="1">
      <c r="B11" s="392"/>
      <c r="C11" s="393"/>
      <c r="D11" s="221" t="str">
        <f>IF(D10="", "Seleccionar Maquinaria ↑", "Carga Promedio de Uso de " &amp; D10)</f>
        <v>Carga Promedio de Uso de DESIMANTADOR NS-400-B1</v>
      </c>
      <c r="E11" s="222"/>
      <c r="F11" s="223" t="str">
        <f>IF(ISERROR(FIND("Seleccionar", D11)), "%", "")</f>
        <v>%</v>
      </c>
      <c r="G11" s="289">
        <f>IF(D10="","",IFERROR(
    INDEX('[4]INFO-Consumo'!I:I,
           MATCH(D10, '[4]INFO-Consumo'!D:D, 0)
    ),
""))</f>
        <v>0.6</v>
      </c>
      <c r="H11" s="384"/>
      <c r="I11" s="384"/>
      <c r="J11" s="384"/>
      <c r="K11" s="384"/>
      <c r="L11" s="399"/>
    </row>
    <row r="12" spans="2:13" ht="30" customHeight="1">
      <c r="B12" s="392"/>
      <c r="C12" s="393"/>
      <c r="D12" s="232" t="s">
        <v>173</v>
      </c>
      <c r="E12" s="222"/>
      <c r="F12" s="223" t="str">
        <f>IF(D12="","","kW")</f>
        <v>kW</v>
      </c>
      <c r="G12" s="224">
        <f>IFERROR(INDEX('[4]INFO-Ponderacion'!$S$9:$S$13,
       MATCH(D12,'[4]INFO-Ponderacion'!$C$9:$C$13, 0)),"")</f>
        <v>2.4095999999999997</v>
      </c>
      <c r="H12" s="286"/>
      <c r="I12" s="287"/>
      <c r="J12" s="287"/>
      <c r="K12" s="288"/>
      <c r="L12" s="399"/>
    </row>
    <row r="13" spans="2:13" ht="30" customHeight="1">
      <c r="B13" s="392"/>
      <c r="C13" s="393"/>
      <c r="D13" s="221" t="str">
        <f>IF(D12="", "Seleccionar Area ↑", "Tarifa Electrica ")</f>
        <v xml:space="preserve">Tarifa Electrica </v>
      </c>
      <c r="E13" s="222"/>
      <c r="F13" s="223" t="str">
        <f>IF(D12="","","$/kWh")</f>
        <v>$/kWh</v>
      </c>
      <c r="G13" s="228">
        <f>IF(D12="","",'INFO-Direc'!$G$9)</f>
        <v>5.2613958629577628E-2</v>
      </c>
      <c r="H13" s="384"/>
      <c r="I13" s="384"/>
      <c r="J13" s="384"/>
      <c r="K13" s="384"/>
      <c r="L13" s="399"/>
    </row>
    <row r="14" spans="2:13" ht="30" customHeight="1">
      <c r="B14" s="392"/>
      <c r="C14" s="393"/>
      <c r="D14" s="229" t="str">
        <f>IF(D12="", "Seleccionar Area ↑", "Costo Electrico Fijo de " &amp; D12)</f>
        <v>Costo Electrico Fijo de Ensamble</v>
      </c>
      <c r="E14" s="222"/>
      <c r="F14" s="223" t="str">
        <f>IF(D12="","","$/h")</f>
        <v>$/h</v>
      </c>
      <c r="G14" s="290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0.14482096183241172</v>
      </c>
      <c r="H14" s="385"/>
      <c r="I14" s="386"/>
      <c r="J14" s="386"/>
      <c r="K14" s="387"/>
      <c r="L14" s="399"/>
    </row>
    <row r="15" spans="2:13" ht="30" customHeight="1">
      <c r="B15" s="389"/>
      <c r="C15" s="391"/>
      <c r="D15" s="229" t="s">
        <v>85</v>
      </c>
      <c r="E15" s="230"/>
      <c r="F15" s="223" t="str">
        <f>IF(D12="","","$/h")</f>
        <v>$/h</v>
      </c>
      <c r="G15" s="233"/>
      <c r="H15" s="385"/>
      <c r="I15" s="386"/>
      <c r="J15" s="386"/>
      <c r="K15" s="387"/>
      <c r="L15" s="398"/>
    </row>
    <row r="16" spans="2:13" ht="30" customHeight="1">
      <c r="B16" s="388" t="s">
        <v>90</v>
      </c>
      <c r="C16" s="394" t="s">
        <v>89</v>
      </c>
      <c r="D16" s="232"/>
      <c r="E16" s="222"/>
      <c r="F16" s="223" t="str">
        <f>IF(D16="","","$/L")</f>
        <v/>
      </c>
      <c r="G16" s="228" t="str">
        <f>IFERROR(INDEX('INFO-Direc'!$G$9:$G$25,
       MATCH(D16, 'INFO-Direc'!$D$9:$D$25, 0)),"")</f>
        <v/>
      </c>
      <c r="H16" s="384"/>
      <c r="I16" s="384"/>
      <c r="J16" s="384"/>
      <c r="K16" s="384"/>
      <c r="L16" s="397" t="str">
        <f>IF(AND(D16="", D18=""), "",
    IFERROR(
        IFERROR(G16*G17,0)
        + IFERROR(G18*G19,0)
        + IFERROR(G20,0),
    "")
)</f>
        <v/>
      </c>
    </row>
    <row r="17" spans="2:12" ht="30" customHeight="1">
      <c r="B17" s="392"/>
      <c r="C17" s="395"/>
      <c r="D17" s="221" t="str">
        <f>IF(D16="", "Seleccionar Lubricante ↑", "Consumo de " &amp; D16)</f>
        <v>Seleccionar Lubricante ↑</v>
      </c>
      <c r="E17" s="222"/>
      <c r="F17" s="223" t="str">
        <f>IF(ISERROR(FIND("Seleccionar", D17)), "L/h", "")</f>
        <v/>
      </c>
      <c r="G17" s="234"/>
      <c r="H17" s="384"/>
      <c r="I17" s="384"/>
      <c r="J17" s="384"/>
      <c r="K17" s="384"/>
      <c r="L17" s="399"/>
    </row>
    <row r="18" spans="2:12" ht="30" customHeight="1">
      <c r="B18" s="392"/>
      <c r="C18" s="395"/>
      <c r="D18" s="232"/>
      <c r="E18" s="222"/>
      <c r="F18" s="223" t="str">
        <f>IF(D18="","","$/L")</f>
        <v/>
      </c>
      <c r="G18" s="228" t="str">
        <f>IFERROR(INDEX('INFO-Direc'!$G$9:$G$25,
       MATCH(D18, 'INFO-Direc'!$D$9:$D$25, 0)),"")</f>
        <v/>
      </c>
      <c r="H18" s="385"/>
      <c r="I18" s="386"/>
      <c r="J18" s="386"/>
      <c r="K18" s="387"/>
      <c r="L18" s="399"/>
    </row>
    <row r="19" spans="2:12" ht="30" customHeight="1">
      <c r="B19" s="392"/>
      <c r="C19" s="395"/>
      <c r="D19" s="221" t="str">
        <f>IF(D18="", "Seleccionar Lubricante ↑", "Consumo de " &amp; D18)</f>
        <v>Seleccionar Lubricante ↑</v>
      </c>
      <c r="E19" s="222"/>
      <c r="F19" s="223" t="str">
        <f>IF(ISERROR(FIND("Seleccionar", D19)), "L/h", "")</f>
        <v/>
      </c>
      <c r="G19" s="234"/>
      <c r="H19" s="385"/>
      <c r="I19" s="386"/>
      <c r="J19" s="386"/>
      <c r="K19" s="387"/>
      <c r="L19" s="399"/>
    </row>
    <row r="20" spans="2:12" ht="30" customHeight="1">
      <c r="B20" s="389"/>
      <c r="C20" s="396"/>
      <c r="D20" s="221" t="s">
        <v>85</v>
      </c>
      <c r="E20" s="222"/>
      <c r="F20" s="223" t="str">
        <f>IF(OR(D16&lt;&gt;"", D18&lt;&gt;""), "$/h", "")</f>
        <v/>
      </c>
      <c r="G20" s="233"/>
      <c r="H20" s="384"/>
      <c r="I20" s="384"/>
      <c r="J20" s="384"/>
      <c r="K20" s="384"/>
      <c r="L20" s="398"/>
    </row>
    <row r="21" spans="2:12" ht="30" customHeight="1">
      <c r="B21" s="388" t="s">
        <v>92</v>
      </c>
      <c r="C21" s="390" t="s">
        <v>89</v>
      </c>
      <c r="D21" s="232"/>
      <c r="E21" s="222"/>
      <c r="F21" s="223" t="str">
        <f>IF(D21="","","kW")</f>
        <v/>
      </c>
      <c r="G21" s="228" t="str">
        <f>IFERROR(INDEX('INFO-Direc'!$G$9:$G$25,
       MATCH(D21, 'INFO-Direc'!$D$9:$D$25, 0)),"")</f>
        <v/>
      </c>
      <c r="H21" s="385"/>
      <c r="I21" s="386"/>
      <c r="J21" s="386"/>
      <c r="K21" s="387"/>
      <c r="L21" s="397" t="str">
        <f>IFERROR(G21*G13*G22+G23+G24,"")</f>
        <v/>
      </c>
    </row>
    <row r="22" spans="2:12" ht="30" customHeight="1">
      <c r="B22" s="392"/>
      <c r="C22" s="393"/>
      <c r="D22" s="221" t="str">
        <f>IF(D21="", "Seleccionar Compresor ↑", "Carga Promedio de Uso de " &amp; D21)</f>
        <v>Seleccionar Compresor ↑</v>
      </c>
      <c r="E22" s="222"/>
      <c r="F22" s="223" t="str">
        <f>IF(ISERROR(FIND("Seleccionar", D22)), "%", "")</f>
        <v/>
      </c>
      <c r="G22" s="289" t="str">
        <f>IF(D21="","",IFERROR(
    INDEX('[4]INFO-Consumo'!I:I,
           MATCH(D21, '[4]INFO-Consumo'!D:D, 0)
    ),
""))</f>
        <v/>
      </c>
      <c r="H22" s="384"/>
      <c r="I22" s="384"/>
      <c r="J22" s="384"/>
      <c r="K22" s="384"/>
      <c r="L22" s="399"/>
    </row>
    <row r="23" spans="2:12" ht="30" customHeight="1">
      <c r="B23" s="392"/>
      <c r="C23" s="393"/>
      <c r="D23" s="235" t="str">
        <f>IF(D21="", "Seleccionar Compresor ↑", "Costo de Repuestos " &amp; D21)</f>
        <v>Seleccionar Compresor ↑</v>
      </c>
      <c r="E23" s="222"/>
      <c r="F23" s="223" t="str">
        <f>IF(ISERROR(FIND("Seleccionar", D23)), "$/h", "")</f>
        <v/>
      </c>
      <c r="G23" s="236" t="str">
        <f>IF(D21="","", SUM(IF(ISNUMBER(FIND("Compresor", 'INFO-Mant'!D9:D26)), 'INFO-Mant'!G9:G26 / 'INFO-Mant'!H9:H26, 0)))</f>
        <v/>
      </c>
      <c r="H23" s="385"/>
      <c r="I23" s="386"/>
      <c r="J23" s="386"/>
      <c r="K23" s="387"/>
      <c r="L23" s="399"/>
    </row>
    <row r="24" spans="2:12" ht="30" customHeight="1">
      <c r="B24" s="389"/>
      <c r="C24" s="391"/>
      <c r="D24" s="221" t="s">
        <v>85</v>
      </c>
      <c r="E24" s="222"/>
      <c r="F24" s="223" t="str">
        <f>IF(D21="","","$/h")</f>
        <v/>
      </c>
      <c r="G24" s="233"/>
      <c r="H24" s="384"/>
      <c r="I24" s="384"/>
      <c r="J24" s="384"/>
      <c r="K24" s="384"/>
      <c r="L24" s="398"/>
    </row>
    <row r="25" spans="2:12" ht="30" customHeight="1">
      <c r="B25" s="388" t="s">
        <v>94</v>
      </c>
      <c r="C25" s="390" t="s">
        <v>89</v>
      </c>
      <c r="D25" s="232"/>
      <c r="E25" s="222"/>
      <c r="F25" s="223" t="str">
        <f>IF(D25="","","$/L")</f>
        <v/>
      </c>
      <c r="G25" s="228" t="str">
        <f>IFERROR(INDEX('INFO-Direc'!$G$9:$G$25,
       MATCH(D25, 'INFO-Direc'!$D$9:$D$25, 0)),"")</f>
        <v/>
      </c>
      <c r="H25" s="384"/>
      <c r="I25" s="384"/>
      <c r="J25" s="384"/>
      <c r="K25" s="384"/>
      <c r="L25" s="381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92"/>
      <c r="C26" s="393"/>
      <c r="D26" s="221" t="str">
        <f>IF(D25="", "Seleccionar Refrigerante ↑", "Consumo de " &amp; D25)</f>
        <v>Seleccionar Refrigerante ↑</v>
      </c>
      <c r="E26" s="222"/>
      <c r="F26" s="223" t="str">
        <f>IF(ISERROR(FIND("Seleccionar", D26)), "L/Año", "")</f>
        <v/>
      </c>
      <c r="G26" s="238"/>
      <c r="H26" s="384"/>
      <c r="I26" s="384"/>
      <c r="J26" s="384"/>
      <c r="K26" s="384"/>
      <c r="L26" s="382"/>
    </row>
    <row r="27" spans="2:12" ht="30" customHeight="1">
      <c r="B27" s="392"/>
      <c r="C27" s="393"/>
      <c r="D27" s="232"/>
      <c r="E27" s="222"/>
      <c r="F27" s="223" t="str">
        <f>IF(D27="","","$/L")</f>
        <v/>
      </c>
      <c r="G27" s="228" t="str">
        <f>IFERROR(INDEX('INFO-Direc'!$G$9:$G$25,
       MATCH(D27, 'INFO-Direc'!$D$9:$D$25, 0)),"")</f>
        <v/>
      </c>
      <c r="H27" s="385"/>
      <c r="I27" s="386"/>
      <c r="J27" s="386"/>
      <c r="K27" s="387"/>
      <c r="L27" s="382"/>
    </row>
    <row r="28" spans="2:12" ht="30" customHeight="1">
      <c r="B28" s="392"/>
      <c r="C28" s="393"/>
      <c r="D28" s="221" t="str">
        <f>IF(D27="", "Seleccionar Refrigerante ↑", "Consumo de " &amp; D27)</f>
        <v>Seleccionar Refrigerante ↑</v>
      </c>
      <c r="E28" s="222"/>
      <c r="F28" s="223" t="str">
        <f>IF(ISERROR(FIND("Seleccionar", D28)), "L/Año", "")</f>
        <v/>
      </c>
      <c r="G28" s="239"/>
      <c r="H28" s="385"/>
      <c r="I28" s="386"/>
      <c r="J28" s="386"/>
      <c r="K28" s="387"/>
      <c r="L28" s="382"/>
    </row>
    <row r="29" spans="2:12" ht="30" customHeight="1">
      <c r="B29" s="389"/>
      <c r="C29" s="391"/>
      <c r="D29" s="221" t="s">
        <v>85</v>
      </c>
      <c r="E29" s="222"/>
      <c r="F29" s="223" t="str">
        <f>IF(OR(D25&lt;&gt;"", D27&lt;&gt;""), "$/h", "")</f>
        <v/>
      </c>
      <c r="G29" s="233"/>
      <c r="H29" s="384"/>
      <c r="I29" s="384"/>
      <c r="J29" s="384"/>
      <c r="K29" s="384"/>
      <c r="L29" s="383"/>
    </row>
    <row r="30" spans="2:12" s="152" customFormat="1" ht="30" customHeight="1">
      <c r="B30" s="388" t="s">
        <v>168</v>
      </c>
      <c r="C30" s="394" t="s">
        <v>89</v>
      </c>
      <c r="D30" s="232"/>
      <c r="E30" s="222"/>
      <c r="F30" s="223" t="str">
        <f>IF(D30="","","$/L")</f>
        <v/>
      </c>
      <c r="G30" s="228" t="str">
        <f>IFERROR(INDEX('INFO-Direc'!$G$9:$G$25,
       MATCH(D30, 'INFO-Direc'!$D$9:$D$25, 0)),"")</f>
        <v/>
      </c>
      <c r="H30" s="384"/>
      <c r="I30" s="384"/>
      <c r="J30" s="384"/>
      <c r="K30" s="384"/>
      <c r="L30" s="381" t="str">
        <f>IF(
    AND(D30="", D32=""),
    "",
    IFERROR(
        IFERROR(G30 / (INDEX('INFO-OEE'!$E$18:$CA$18,
                               MATCH(#REF!, 'INFO-OEE'!$E$9:$CA$9, 0)) * 12), 0)
        * G31
        +
        IFERROR(G32 / (INDEX('INFO-OEE'!$E$18:$CA$18,
                               MATCH(#REF!, 'INFO-OEE'!$E$9:$CA$9, 0)) * 12), 0)
        * G33
        +
        IFERROR(G34, 0),
    "")
)</f>
        <v/>
      </c>
    </row>
    <row r="31" spans="2:12" s="152" customFormat="1" ht="30" customHeight="1">
      <c r="B31" s="392"/>
      <c r="C31" s="395"/>
      <c r="D31" s="221" t="str">
        <f>IF(D30="", "Seleccionar Solvente ↑", "Consumo de " &amp; D30)</f>
        <v>Seleccionar Solvente ↑</v>
      </c>
      <c r="E31" s="222"/>
      <c r="F31" s="223" t="str">
        <f>IF(ISERROR(FIND("Seleccionar", D31)), "L/Año", "")</f>
        <v/>
      </c>
      <c r="G31" s="234"/>
      <c r="H31" s="384"/>
      <c r="I31" s="384"/>
      <c r="J31" s="384"/>
      <c r="K31" s="384"/>
      <c r="L31" s="382"/>
    </row>
    <row r="32" spans="2:12" s="152" customFormat="1" ht="30" customHeight="1">
      <c r="B32" s="392"/>
      <c r="C32" s="395"/>
      <c r="D32" s="232"/>
      <c r="E32" s="222"/>
      <c r="F32" s="223" t="str">
        <f>IF(D32="","","$/L")</f>
        <v/>
      </c>
      <c r="G32" s="228" t="str">
        <f>IFERROR(INDEX('INFO-Direc'!$G$9:$G$25,
       MATCH(D32, 'INFO-Direc'!$D$9:$D$25, 0)),"")</f>
        <v/>
      </c>
      <c r="H32" s="385"/>
      <c r="I32" s="386"/>
      <c r="J32" s="386"/>
      <c r="K32" s="387"/>
      <c r="L32" s="382"/>
    </row>
    <row r="33" spans="2:12" s="152" customFormat="1" ht="30" customHeight="1">
      <c r="B33" s="392"/>
      <c r="C33" s="395"/>
      <c r="D33" s="221" t="str">
        <f>IF(D32="", "Seleccionar Solvente ↑", "Consumo de " &amp; D32)</f>
        <v>Seleccionar Solvente ↑</v>
      </c>
      <c r="E33" s="222"/>
      <c r="F33" s="223" t="str">
        <f>IF(ISERROR(FIND("Seleccionar", D33)), "L/Año", "")</f>
        <v/>
      </c>
      <c r="G33" s="234"/>
      <c r="H33" s="385"/>
      <c r="I33" s="386"/>
      <c r="J33" s="386"/>
      <c r="K33" s="387"/>
      <c r="L33" s="382"/>
    </row>
    <row r="34" spans="2:12" s="152" customFormat="1" ht="30" customHeight="1">
      <c r="B34" s="389"/>
      <c r="C34" s="396"/>
      <c r="D34" s="221" t="s">
        <v>85</v>
      </c>
      <c r="E34" s="222"/>
      <c r="F34" s="223" t="str">
        <f>IF(OR(D30&lt;&gt;"", D32&lt;&gt;""), "$/h", "")</f>
        <v/>
      </c>
      <c r="G34" s="233"/>
      <c r="H34" s="384"/>
      <c r="I34" s="384"/>
      <c r="J34" s="384"/>
      <c r="K34" s="384"/>
      <c r="L34" s="383"/>
    </row>
    <row r="35" spans="2:12" ht="30" customHeight="1">
      <c r="B35" s="388" t="s">
        <v>100</v>
      </c>
      <c r="C35" s="390" t="s">
        <v>89</v>
      </c>
      <c r="D35" s="221" t="str">
        <f>IF(D12="", "Seleccionar Area ↑", "Costo de Operarios")</f>
        <v>Costo de Operarios</v>
      </c>
      <c r="E35" s="222"/>
      <c r="F35" s="223" t="str">
        <f>IF(D12="","","$/mes")</f>
        <v>$/mes</v>
      </c>
      <c r="G35" s="237">
        <f>IF(D12="","",IFERROR(
    INDEX('INFO-Personal'!$E$26:$CA$26,
           MATCH($C$3, 'INFO-Personal'!$E$9:$CA$9, 0)
    ),
""))</f>
        <v>0</v>
      </c>
      <c r="H35" s="384"/>
      <c r="I35" s="384"/>
      <c r="J35" s="384"/>
      <c r="K35" s="384"/>
      <c r="L35" s="397">
        <f>IFERROR(
    (G35 / INDEX('INFO-OEE'!$E$18:$CA$18,
                  MATCH($C$3, 'INFO-OEE'!$E$9:$CA$9, 0)))
    + G36,
"")</f>
        <v>0</v>
      </c>
    </row>
    <row r="36" spans="2:12" ht="30" customHeight="1">
      <c r="B36" s="389"/>
      <c r="C36" s="391"/>
      <c r="D36" s="221" t="s">
        <v>85</v>
      </c>
      <c r="E36" s="222"/>
      <c r="F36" s="223" t="str">
        <f>IF(D12="","","$/h")</f>
        <v>$/h</v>
      </c>
      <c r="G36" s="240"/>
      <c r="H36" s="384"/>
      <c r="I36" s="384"/>
      <c r="J36" s="384"/>
      <c r="K36" s="384"/>
      <c r="L36" s="398"/>
    </row>
    <row r="37" spans="2:12" ht="30" customHeight="1">
      <c r="B37" s="241"/>
      <c r="C37" s="242"/>
      <c r="D37" s="243"/>
      <c r="E37" s="242"/>
      <c r="F37" s="244"/>
      <c r="G37" s="245"/>
      <c r="H37" s="409"/>
      <c r="I37" s="409"/>
      <c r="J37" s="409"/>
      <c r="K37" s="409"/>
      <c r="L37" s="246"/>
    </row>
    <row r="38" spans="2:12" ht="30" customHeight="1">
      <c r="B38" s="388" t="s">
        <v>16</v>
      </c>
      <c r="C38" s="390" t="s">
        <v>69</v>
      </c>
      <c r="D38" s="221" t="str">
        <f>IF(D12="", "Seleccionar Area ↑", "Costo de Supervisores")</f>
        <v>Costo de Supervisores</v>
      </c>
      <c r="E38" s="222"/>
      <c r="F38" s="247" t="str">
        <f>IF(D12="","","$/mes")</f>
        <v>$/mes</v>
      </c>
      <c r="G38" s="237">
        <f>IF(D12="","",IFERROR(
    INDEX('INFO-Personal'!$E$27:$CA$27,
           MATCH($C$3, 'INFO-Personal'!$E$9:$CA$9, 0)
    ),
""))</f>
        <v>0</v>
      </c>
      <c r="H38" s="385"/>
      <c r="I38" s="386"/>
      <c r="J38" s="386"/>
      <c r="K38" s="387"/>
      <c r="L38" s="397">
        <f>IFERROR(
    (G38 / INDEX('INFO-OEE'!$E$18:$CA$18,
                  MATCH($C$3, 'INFO-OEE'!$E$9:$CA$9, 0)))
    + G39,
"")</f>
        <v>0</v>
      </c>
    </row>
    <row r="39" spans="2:12" ht="30" customHeight="1">
      <c r="B39" s="392"/>
      <c r="C39" s="393"/>
      <c r="D39" s="221" t="s">
        <v>85</v>
      </c>
      <c r="E39" s="222"/>
      <c r="F39" s="223" t="str">
        <f>IF(D12="","","$/h")</f>
        <v>$/h</v>
      </c>
      <c r="G39" s="240"/>
      <c r="H39" s="385"/>
      <c r="I39" s="386"/>
      <c r="J39" s="386"/>
      <c r="K39" s="387"/>
      <c r="L39" s="399"/>
    </row>
    <row r="40" spans="2:12" ht="30" customHeight="1">
      <c r="B40" s="388" t="s">
        <v>101</v>
      </c>
      <c r="C40" s="390" t="s">
        <v>69</v>
      </c>
      <c r="D40" s="221" t="str">
        <f>IF(D12="", "Seleccionar Area ↑", "Costo de Mant. Preventivo")</f>
        <v>Costo de Mant. Preventivo</v>
      </c>
      <c r="E40" s="222"/>
      <c r="F40" s="247" t="str">
        <f>IF(D12="","","$/mes")</f>
        <v>$/mes</v>
      </c>
      <c r="G40" s="237">
        <f>IF(D12="","",IFERROR(
    INDEX('INFO-Personal'!$E$28:$CA$28,
           MATCH($C$3, 'INFO-Personal'!$E$9:$CA$9, 0)
    ),
""))</f>
        <v>0</v>
      </c>
      <c r="H40" s="385"/>
      <c r="I40" s="386"/>
      <c r="J40" s="386"/>
      <c r="K40" s="387"/>
      <c r="L40" s="397">
        <f>IF(D12="","",SUM(
    IFERROR((G40+G41) / INDEX('INFO-OEE'!$E$18:$CA$18, MATCH(C3, 'INFO-OEE'!$E$9:$CA$9, 0)), 0),
    IFERROR(G42 / G43, 0),
    IFERROR(G44 / G45, 0),
    IFERROR(G46 / G47, 0),
    IFERROR(G48, 0)
))</f>
        <v>0</v>
      </c>
    </row>
    <row r="41" spans="2:12" ht="30" customHeight="1">
      <c r="B41" s="392"/>
      <c r="C41" s="393"/>
      <c r="D41" s="221" t="str">
        <f>IF(D12="", "Seleccionar Area ↑", "Costo de Mant. Correctivo")</f>
        <v>Costo de Mant. Correctivo</v>
      </c>
      <c r="E41" s="222"/>
      <c r="F41" s="247" t="str">
        <f>IF(D12="","","$/mes")</f>
        <v>$/mes</v>
      </c>
      <c r="G41" s="237">
        <f>IF(D12="","",IFERROR(
    INDEX('INFO-Personal'!$E$29:$CA$29,
           MATCH($C$3, 'INFO-Personal'!$E$9:$CA$9, 0)
    ),
""))</f>
        <v>0</v>
      </c>
      <c r="H41" s="385"/>
      <c r="I41" s="386"/>
      <c r="J41" s="386"/>
      <c r="K41" s="387"/>
      <c r="L41" s="399"/>
    </row>
    <row r="42" spans="2:12" ht="30" customHeight="1">
      <c r="B42" s="392"/>
      <c r="C42" s="393"/>
      <c r="D42" s="232"/>
      <c r="E42" s="222"/>
      <c r="F42" s="223" t="str">
        <f>IF(D42="","","$/u")</f>
        <v/>
      </c>
      <c r="G42" s="237" t="str">
        <f>IFERROR(INDEX('INFO-Mant'!$G$9:$G$26,
       MATCH(D42, 'INFO-Mant'!$D$9:$D$26, 0)),"")</f>
        <v/>
      </c>
      <c r="H42" s="385"/>
      <c r="I42" s="386"/>
      <c r="J42" s="386"/>
      <c r="K42" s="387"/>
      <c r="L42" s="399"/>
    </row>
    <row r="43" spans="2:12" ht="30" customHeight="1">
      <c r="B43" s="392"/>
      <c r="C43" s="393"/>
      <c r="D43" s="221" t="str">
        <f>IF(D42="", "Seleccionar Repuesto ↑", "Vida Util de " &amp; D42)</f>
        <v>Seleccionar Repuesto ↑</v>
      </c>
      <c r="E43" s="222"/>
      <c r="F43" s="223" t="str">
        <f>IF(ISERROR(FIND("Seleccionar", D43)), "Horas/u", "")</f>
        <v/>
      </c>
      <c r="G43" s="238"/>
      <c r="H43" s="385"/>
      <c r="I43" s="386"/>
      <c r="J43" s="386"/>
      <c r="K43" s="387"/>
      <c r="L43" s="399"/>
    </row>
    <row r="44" spans="2:12" ht="30" customHeight="1">
      <c r="B44" s="392"/>
      <c r="C44" s="393"/>
      <c r="D44" s="232"/>
      <c r="E44" s="222"/>
      <c r="F44" s="223" t="str">
        <f>IF(D44="","","$/u")</f>
        <v/>
      </c>
      <c r="G44" s="237" t="str">
        <f>IFERROR(INDEX('INFO-Mant'!$G$9:$G$26,
       MATCH(D44, 'INFO-Mant'!$D$9:$D$26, 0)),"")</f>
        <v/>
      </c>
      <c r="H44" s="385"/>
      <c r="I44" s="386"/>
      <c r="J44" s="386"/>
      <c r="K44" s="387"/>
      <c r="L44" s="399"/>
    </row>
    <row r="45" spans="2:12" ht="30" customHeight="1">
      <c r="B45" s="392"/>
      <c r="C45" s="393"/>
      <c r="D45" s="221" t="str">
        <f>IF(D44="", "Seleccionar Repuesto ↑", "Vida Util de " &amp; D44)</f>
        <v>Seleccionar Repuesto ↑</v>
      </c>
      <c r="E45" s="222"/>
      <c r="F45" s="223" t="str">
        <f>IF(ISERROR(FIND("Seleccionar", D45)), "Horas/u", "")</f>
        <v/>
      </c>
      <c r="G45" s="238"/>
      <c r="H45" s="385"/>
      <c r="I45" s="386"/>
      <c r="J45" s="386"/>
      <c r="K45" s="387"/>
      <c r="L45" s="399"/>
    </row>
    <row r="46" spans="2:12" ht="30" customHeight="1">
      <c r="B46" s="392"/>
      <c r="C46" s="393"/>
      <c r="D46" s="232"/>
      <c r="E46" s="222"/>
      <c r="F46" s="223" t="str">
        <f>IF(D46="","","$/u")</f>
        <v/>
      </c>
      <c r="G46" s="237" t="str">
        <f>IFERROR(INDEX('INFO-Mant'!$G$9:$G$26,
       MATCH(D46, 'INFO-Mant'!$D$9:$D$26, 0)),"")</f>
        <v/>
      </c>
      <c r="H46" s="385"/>
      <c r="I46" s="386"/>
      <c r="J46" s="386"/>
      <c r="K46" s="387"/>
      <c r="L46" s="399"/>
    </row>
    <row r="47" spans="2:12" ht="30.75" customHeight="1">
      <c r="B47" s="392"/>
      <c r="C47" s="393"/>
      <c r="D47" s="221" t="str">
        <f>IF(D46="", "Seleccionar Repuesto ↑", "Vida Util de " &amp; D46)</f>
        <v>Seleccionar Repuesto ↑</v>
      </c>
      <c r="E47" s="222"/>
      <c r="F47" s="223" t="str">
        <f>IF(ISERROR(FIND("Seleccionar", D47)), "Horas/u", "")</f>
        <v/>
      </c>
      <c r="G47" s="240"/>
      <c r="H47" s="385"/>
      <c r="I47" s="386"/>
      <c r="J47" s="386"/>
      <c r="K47" s="387"/>
      <c r="L47" s="399"/>
    </row>
    <row r="48" spans="2:12" ht="30" customHeight="1">
      <c r="B48" s="389"/>
      <c r="C48" s="391"/>
      <c r="D48" s="221" t="s">
        <v>85</v>
      </c>
      <c r="E48" s="222"/>
      <c r="F48" s="223" t="str">
        <f>IF(D12="","","$/h")</f>
        <v>$/h</v>
      </c>
      <c r="G48" s="240"/>
      <c r="H48" s="385"/>
      <c r="I48" s="386"/>
      <c r="J48" s="386"/>
      <c r="K48" s="387"/>
      <c r="L48" s="398"/>
    </row>
    <row r="49" spans="2:12" ht="30" customHeight="1">
      <c r="B49" s="248"/>
      <c r="C49" s="249"/>
      <c r="D49" s="250"/>
      <c r="E49" s="249"/>
      <c r="F49" s="251"/>
      <c r="G49" s="252"/>
      <c r="H49" s="249"/>
      <c r="I49" s="249"/>
      <c r="J49" s="249"/>
      <c r="K49" s="249"/>
      <c r="L49" s="253"/>
    </row>
    <row r="50" spans="2:12" ht="30" customHeight="1">
      <c r="B50" s="388" t="s">
        <v>102</v>
      </c>
      <c r="C50" s="394" t="s">
        <v>103</v>
      </c>
      <c r="D50" s="232"/>
      <c r="E50" s="222"/>
      <c r="F50" s="223" t="str">
        <f>IF(D50="","","$/h")</f>
        <v/>
      </c>
      <c r="G50" s="23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410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410"/>
      <c r="J50" s="410"/>
      <c r="K50" s="410"/>
      <c r="L50" s="255" t="str">
        <f ca="1">G50</f>
        <v/>
      </c>
    </row>
    <row r="51" spans="2:12" ht="30" customHeight="1">
      <c r="B51" s="392"/>
      <c r="C51" s="395"/>
      <c r="D51" s="232"/>
      <c r="E51" s="254"/>
      <c r="F51" s="223" t="str">
        <f>IF(D51="","","$/h")</f>
        <v/>
      </c>
      <c r="G51" s="23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410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410"/>
      <c r="J51" s="410"/>
      <c r="K51" s="410"/>
      <c r="L51" s="255" t="str">
        <f ca="1">G51</f>
        <v/>
      </c>
    </row>
    <row r="52" spans="2:12" ht="30" customHeight="1">
      <c r="B52" s="392"/>
      <c r="C52" s="395"/>
      <c r="D52" s="232"/>
      <c r="E52" s="222"/>
      <c r="F52" s="223" t="str">
        <f t="shared" ref="F52:F54" si="0">IF(D52="","","$/h")</f>
        <v/>
      </c>
      <c r="G52" s="23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410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410"/>
      <c r="J52" s="410"/>
      <c r="K52" s="410"/>
      <c r="L52" s="255" t="str">
        <f ca="1">G52</f>
        <v/>
      </c>
    </row>
    <row r="53" spans="2:12" ht="30" customHeight="1">
      <c r="B53" s="392"/>
      <c r="C53" s="395"/>
      <c r="D53" s="232"/>
      <c r="E53" s="222"/>
      <c r="F53" s="223" t="str">
        <f t="shared" si="0"/>
        <v/>
      </c>
      <c r="G53" s="23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410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410"/>
      <c r="J53" s="410"/>
      <c r="K53" s="410"/>
      <c r="L53" s="255" t="str">
        <f ca="1">G53</f>
        <v/>
      </c>
    </row>
    <row r="54" spans="2:12" ht="30" customHeight="1">
      <c r="B54" s="389"/>
      <c r="C54" s="396"/>
      <c r="D54" s="232"/>
      <c r="E54" s="222"/>
      <c r="F54" s="223" t="str">
        <f t="shared" si="0"/>
        <v/>
      </c>
      <c r="G54" s="23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410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410"/>
      <c r="J54" s="410"/>
      <c r="K54" s="410"/>
      <c r="L54" s="255" t="str">
        <f ca="1">G54</f>
        <v/>
      </c>
    </row>
    <row r="55" spans="2:12" ht="30" customHeight="1">
      <c r="B55" s="146"/>
      <c r="C55" s="147"/>
      <c r="D55" s="411"/>
      <c r="E55" s="411"/>
      <c r="F55" s="30"/>
      <c r="G55" s="30"/>
      <c r="H55" s="149"/>
      <c r="I55" s="149"/>
      <c r="J55" s="149"/>
      <c r="K55" s="30"/>
      <c r="L55" s="145"/>
    </row>
    <row r="56" spans="2:12" ht="30" customHeight="1" thickBot="1">
      <c r="B56" s="153" t="s">
        <v>39</v>
      </c>
      <c r="C56" s="330" t="s">
        <v>176</v>
      </c>
      <c r="D56" s="330"/>
      <c r="E56" s="154" t="s">
        <v>23</v>
      </c>
      <c r="F56" s="368"/>
      <c r="G56" s="368"/>
      <c r="H56" s="141"/>
      <c r="I56" s="141"/>
      <c r="J56" s="141"/>
      <c r="K56" s="256"/>
      <c r="L56" s="257"/>
    </row>
    <row r="57" spans="2:12" ht="30" customHeight="1" thickBot="1">
      <c r="B57" s="155"/>
      <c r="C57" s="156"/>
      <c r="D57" s="156"/>
      <c r="E57" s="156"/>
      <c r="F57" s="378"/>
      <c r="G57" s="378"/>
      <c r="H57" s="157"/>
      <c r="I57" s="157"/>
      <c r="J57" s="157"/>
      <c r="K57" s="258" t="s">
        <v>106</v>
      </c>
      <c r="L57" s="259">
        <f ca="1">IFERROR(SUM(L19:L54),"")</f>
        <v>0</v>
      </c>
    </row>
    <row r="59" spans="2:12" ht="30" customHeight="1">
      <c r="C59" s="117"/>
    </row>
  </sheetData>
  <sheetProtection algorithmName="SHA-512" hashValue="6Nol6UGKoUhdvOCLo5Vurun+FbBrRmm2jWeQFzEbbvG+ZN/dzsZ3KTkuvltk+Es7Go8BrIduV/9FKwij2Vp2lQ==" saltValue="n1nOyX61ihoNO1/wG9NOvQ==" spinCount="100000" sheet="1" objects="1" scenarios="1" selectLockedCells="1"/>
  <mergeCells count="80">
    <mergeCell ref="D55:E55"/>
    <mergeCell ref="C56:D56"/>
    <mergeCell ref="F56:G56"/>
    <mergeCell ref="F57:G57"/>
    <mergeCell ref="B50:B54"/>
    <mergeCell ref="C50:C54"/>
    <mergeCell ref="H50:K50"/>
    <mergeCell ref="H51:K51"/>
    <mergeCell ref="H52:K52"/>
    <mergeCell ref="H53:K53"/>
    <mergeCell ref="H54:K54"/>
    <mergeCell ref="L38:L39"/>
    <mergeCell ref="B40:B48"/>
    <mergeCell ref="C40:C48"/>
    <mergeCell ref="L40:L48"/>
    <mergeCell ref="H44:K44"/>
    <mergeCell ref="H45:K45"/>
    <mergeCell ref="H46:K46"/>
    <mergeCell ref="H47:K47"/>
    <mergeCell ref="H48:K48"/>
    <mergeCell ref="H39:K39"/>
    <mergeCell ref="H40:K40"/>
    <mergeCell ref="H41:K41"/>
    <mergeCell ref="H42:K42"/>
    <mergeCell ref="H43:K43"/>
    <mergeCell ref="B38:B39"/>
    <mergeCell ref="C38:C39"/>
    <mergeCell ref="B10:B15"/>
    <mergeCell ref="C10:C15"/>
    <mergeCell ref="B16:B20"/>
    <mergeCell ref="C16:C20"/>
    <mergeCell ref="B21:B24"/>
    <mergeCell ref="C21:C24"/>
    <mergeCell ref="H38:K38"/>
    <mergeCell ref="H34:K34"/>
    <mergeCell ref="H35:K35"/>
    <mergeCell ref="H36:K36"/>
    <mergeCell ref="H37:K37"/>
    <mergeCell ref="B35:B36"/>
    <mergeCell ref="C35:C36"/>
    <mergeCell ref="L35:L36"/>
    <mergeCell ref="H30:K30"/>
    <mergeCell ref="H31:K31"/>
    <mergeCell ref="H32:K32"/>
    <mergeCell ref="H33:K33"/>
    <mergeCell ref="B30:B34"/>
    <mergeCell ref="C30:C34"/>
    <mergeCell ref="L30:L34"/>
    <mergeCell ref="B25:B29"/>
    <mergeCell ref="C25:C29"/>
    <mergeCell ref="L25:L29"/>
    <mergeCell ref="H23:K23"/>
    <mergeCell ref="H24:K24"/>
    <mergeCell ref="H25:K25"/>
    <mergeCell ref="L21:L24"/>
    <mergeCell ref="H29:K29"/>
    <mergeCell ref="H26:K26"/>
    <mergeCell ref="H27:K27"/>
    <mergeCell ref="H28:K28"/>
    <mergeCell ref="H20:K20"/>
    <mergeCell ref="H21:K21"/>
    <mergeCell ref="H22:K22"/>
    <mergeCell ref="L16:L20"/>
    <mergeCell ref="H16:K16"/>
    <mergeCell ref="H17:K17"/>
    <mergeCell ref="H18:K18"/>
    <mergeCell ref="H19:K19"/>
    <mergeCell ref="H13:K13"/>
    <mergeCell ref="H15:K15"/>
    <mergeCell ref="L10:L15"/>
    <mergeCell ref="H9:K9"/>
    <mergeCell ref="H10:K10"/>
    <mergeCell ref="H11:K11"/>
    <mergeCell ref="H14:K14"/>
    <mergeCell ref="C3:D3"/>
    <mergeCell ref="F3:G3"/>
    <mergeCell ref="C6:D6"/>
    <mergeCell ref="F6:G6"/>
    <mergeCell ref="C7:D7"/>
    <mergeCell ref="F7:G7"/>
  </mergeCells>
  <dataValidations count="9">
    <dataValidation type="list" allowBlank="1" showInputMessage="1" showErrorMessage="1" sqref="D51:D54">
      <formula1>Herramientas_Ensamble</formula1>
    </dataValidation>
    <dataValidation allowBlank="1" showInputMessage="1" showErrorMessage="1" prompt="Escriba comentarios en las celdas de la derecha." sqref="C59"/>
    <dataValidation type="list" allowBlank="1" showInputMessage="1" showErrorMessage="1" sqref="D10 D50">
      <formula1>Maquinaria_Ensamble</formula1>
    </dataValidation>
    <dataValidation type="list" allowBlank="1" showInputMessage="1" showErrorMessage="1" sqref="D42 D44 D46">
      <formula1>Repuestos_Ensamble</formula1>
    </dataValidation>
    <dataValidation type="list" allowBlank="1" showInputMessage="1" showErrorMessage="1" sqref="D30 D32">
      <formula1>Solvente_Ensamble</formula1>
    </dataValidation>
    <dataValidation type="list" allowBlank="1" showInputMessage="1" showErrorMessage="1" sqref="D25 D27">
      <formula1>Refrigerantes_Ensamble</formula1>
    </dataValidation>
    <dataValidation type="list" allowBlank="1" showInputMessage="1" showErrorMessage="1" sqref="D21">
      <formula1>AireComprimido_Ensamble</formula1>
    </dataValidation>
    <dataValidation type="list" allowBlank="1" showInputMessage="1" showErrorMessage="1" sqref="D16 D18">
      <formula1>Lubricantes_Ensamble</formula1>
    </dataValidation>
    <dataValidation type="list" allowBlank="1" showInputMessage="1" showErrorMessage="1" sqref="D12">
      <formula1>Areas_Ensamble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54</xdr:row>
                    <xdr:rowOff>333375</xdr:rowOff>
                  </from>
                  <to>
                    <xdr:col>1</xdr:col>
                    <xdr:colOff>1762125</xdr:colOff>
                    <xdr:row>55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9">
    <tabColor rgb="FF0070C0"/>
    <pageSetUpPr autoPageBreaks="0" fitToPage="1"/>
  </sheetPr>
  <dimension ref="B1:M59"/>
  <sheetViews>
    <sheetView showGridLines="0" tabSelected="1" zoomScale="80" zoomScaleNormal="80" workbookViewId="0">
      <selection activeCell="G22" sqref="G22"/>
    </sheetView>
  </sheetViews>
  <sheetFormatPr baseColWidth="10" defaultColWidth="9.140625" defaultRowHeight="30" customHeight="1"/>
  <cols>
    <col min="1" max="1" width="2.7109375" style="80" customWidth="1"/>
    <col min="2" max="2" width="26.7109375" style="80" customWidth="1"/>
    <col min="3" max="3" width="33.28515625" style="80" bestFit="1" customWidth="1"/>
    <col min="4" max="4" width="33.140625" style="80" bestFit="1" customWidth="1"/>
    <col min="5" max="5" width="20.5703125" style="80" customWidth="1"/>
    <col min="6" max="6" width="16.5703125" style="80" bestFit="1" customWidth="1"/>
    <col min="7" max="7" width="19.7109375" style="80" bestFit="1" customWidth="1"/>
    <col min="8" max="8" width="15.28515625" style="80" customWidth="1"/>
    <col min="9" max="10" width="17" style="80" customWidth="1"/>
    <col min="11" max="11" width="28.42578125" style="80" customWidth="1"/>
    <col min="12" max="12" width="20.7109375" style="80" customWidth="1"/>
    <col min="13" max="13" width="2.7109375" style="80" customWidth="1"/>
    <col min="14" max="16384" width="9.140625" style="80"/>
  </cols>
  <sheetData>
    <row r="1" spans="2:13" ht="12" customHeight="1" thickBot="1"/>
    <row r="2" spans="2:13" ht="30" customHeight="1">
      <c r="B2" s="126" t="s">
        <v>95</v>
      </c>
      <c r="C2" s="127"/>
      <c r="D2" s="128"/>
      <c r="E2" s="128"/>
      <c r="F2" s="128"/>
      <c r="G2" s="128"/>
      <c r="H2" s="128"/>
      <c r="I2" s="128"/>
      <c r="J2" s="128"/>
      <c r="K2" s="128"/>
      <c r="L2" s="129"/>
    </row>
    <row r="3" spans="2:13" ht="30" customHeight="1">
      <c r="B3" s="130" t="s">
        <v>96</v>
      </c>
      <c r="C3" s="406" t="s">
        <v>133</v>
      </c>
      <c r="D3" s="406"/>
      <c r="E3" s="125" t="s">
        <v>3</v>
      </c>
      <c r="F3" s="356">
        <f ca="1">TODAY()</f>
        <v>46020</v>
      </c>
      <c r="G3" s="356"/>
      <c r="H3" s="125" t="s">
        <v>61</v>
      </c>
      <c r="I3" s="162">
        <f>'INFO-Direc'!H3</f>
        <v>1445</v>
      </c>
      <c r="J3" s="131"/>
      <c r="K3" s="132"/>
      <c r="L3" s="133"/>
      <c r="M3" s="134"/>
    </row>
    <row r="4" spans="2:13" ht="30" customHeight="1">
      <c r="B4" s="130" t="s">
        <v>97</v>
      </c>
      <c r="C4" s="160">
        <f>IFERROR(INDEX('INFO-OEE'!E17:CL17,
       MATCH(C3, 'INFO-OEE'!E9:CL9, 0)),"")</f>
        <v>0.8</v>
      </c>
      <c r="D4" s="135"/>
      <c r="E4" s="136"/>
      <c r="F4" s="136"/>
      <c r="G4" s="136"/>
      <c r="H4" s="125"/>
      <c r="I4" s="137"/>
      <c r="J4" s="131"/>
      <c r="K4" s="132"/>
      <c r="L4" s="138"/>
      <c r="M4" s="89"/>
    </row>
    <row r="5" spans="2:13" ht="30" customHeight="1">
      <c r="B5" s="139" t="s">
        <v>4</v>
      </c>
      <c r="C5" s="140"/>
      <c r="D5" s="141"/>
      <c r="E5" s="141"/>
      <c r="F5" s="141"/>
      <c r="G5" s="141"/>
      <c r="H5" s="141"/>
      <c r="I5" s="141"/>
      <c r="J5" s="141"/>
      <c r="K5" s="141"/>
      <c r="L5" s="142"/>
    </row>
    <row r="6" spans="2:13" ht="30" customHeight="1">
      <c r="B6" s="143" t="s">
        <v>5</v>
      </c>
      <c r="C6" s="407"/>
      <c r="D6" s="407"/>
      <c r="E6" s="144" t="s">
        <v>6</v>
      </c>
      <c r="F6" s="407"/>
      <c r="G6" s="407"/>
      <c r="H6" s="141"/>
      <c r="I6" s="141"/>
      <c r="J6" s="141"/>
      <c r="K6" s="30"/>
      <c r="L6" s="145"/>
    </row>
    <row r="7" spans="2:13" ht="30" customHeight="1">
      <c r="B7" s="143" t="s">
        <v>7</v>
      </c>
      <c r="C7" s="407"/>
      <c r="D7" s="407"/>
      <c r="E7" s="144" t="s">
        <v>62</v>
      </c>
      <c r="F7" s="408"/>
      <c r="G7" s="408"/>
      <c r="H7" s="141"/>
      <c r="I7" s="141"/>
      <c r="J7" s="141"/>
      <c r="K7" s="30"/>
      <c r="L7" s="145"/>
    </row>
    <row r="8" spans="2:13" ht="30" customHeight="1" thickBot="1">
      <c r="B8" s="146"/>
      <c r="C8" s="147"/>
      <c r="D8" s="148"/>
      <c r="E8" s="148"/>
      <c r="F8" s="30"/>
      <c r="G8" s="30"/>
      <c r="H8" s="149"/>
      <c r="I8" s="149"/>
      <c r="J8" s="149"/>
      <c r="K8" s="30"/>
      <c r="L8" s="145"/>
    </row>
    <row r="9" spans="2:13" ht="30" customHeight="1" thickBot="1">
      <c r="B9" s="67" t="s">
        <v>9</v>
      </c>
      <c r="C9" s="190" t="s">
        <v>63</v>
      </c>
      <c r="D9" s="190" t="s">
        <v>64</v>
      </c>
      <c r="E9" s="190" t="s">
        <v>65</v>
      </c>
      <c r="F9" s="190" t="s">
        <v>66</v>
      </c>
      <c r="G9" s="190" t="s">
        <v>67</v>
      </c>
      <c r="H9" s="319" t="s">
        <v>68</v>
      </c>
      <c r="I9" s="319"/>
      <c r="J9" s="319"/>
      <c r="K9" s="319"/>
      <c r="L9" s="191" t="s">
        <v>98</v>
      </c>
    </row>
    <row r="10" spans="2:13" ht="30" customHeight="1">
      <c r="B10" s="404" t="s">
        <v>88</v>
      </c>
      <c r="C10" s="405" t="s">
        <v>89</v>
      </c>
      <c r="D10" s="231"/>
      <c r="E10" s="218"/>
      <c r="F10" s="219" t="str">
        <f>IF(D10="","","kW")</f>
        <v/>
      </c>
      <c r="G10" s="220" t="str">
        <f>IF(D10="","",IFERROR(INDEX('[4]INFO-Consumo'!$F$9:$F$95,
       MATCH(D10, '[4]INFO-Consumo'!$D$9:$D$95, 0)),""))</f>
        <v/>
      </c>
      <c r="H10" s="401"/>
      <c r="I10" s="402"/>
      <c r="J10" s="402"/>
      <c r="K10" s="403"/>
      <c r="L10" s="400">
        <f ca="1">IF(
   (
     IF(ISNUMBER(G10)*ISNUMBER(G11), G10*G11, 0)
     * IF(ISNUMBER(G13), G13, 0)
     + IF(ISNUMBER(G12)*ISNUMBER(G13), G12*G13, 0)
     + IF(ISNUMBER(G14), G14, 0)
     + IF(ISNUMBER(G15), G15, 0)
   ) = 0,
   "",
   (
     IF(ISNUMBER(G10)*ISNUMBER(G11), G10*G11, 0)
     * IF(ISNUMBER(G13), G13, 0)
     + IF(ISNUMBER(G12)*ISNUMBER(G13), G12*G13, 0)
     + IF(ISNUMBER(G14), G14, 0)
     + IF(ISNUMBER(G15), G15, 0)
   )
)</f>
        <v>0.29253046043542752</v>
      </c>
    </row>
    <row r="11" spans="2:13" ht="30" customHeight="1">
      <c r="B11" s="392"/>
      <c r="C11" s="393"/>
      <c r="D11" s="221" t="str">
        <f>IF(D10="", "Seleccionar Maquinaria ↑", "Carga Promedio de Uso de " &amp; D10)</f>
        <v>Seleccionar Maquinaria ↑</v>
      </c>
      <c r="E11" s="222"/>
      <c r="F11" s="223" t="str">
        <f>IF(ISERROR(FIND("Seleccionar", D11)), "%", "")</f>
        <v/>
      </c>
      <c r="G11" s="289" t="str">
        <f>IF(D10="","",IFERROR(
    INDEX('[4]INFO-Consumo'!I:I,
           MATCH(D10, '[4]INFO-Consumo'!D:D, 0)
    ),
""))</f>
        <v/>
      </c>
      <c r="H11" s="384"/>
      <c r="I11" s="384"/>
      <c r="J11" s="384"/>
      <c r="K11" s="384"/>
      <c r="L11" s="399"/>
    </row>
    <row r="12" spans="2:13" ht="30" customHeight="1">
      <c r="B12" s="392"/>
      <c r="C12" s="393"/>
      <c r="D12" s="232" t="s">
        <v>197</v>
      </c>
      <c r="E12" s="222"/>
      <c r="F12" s="223" t="str">
        <f>IF(D12="","","kW")</f>
        <v>kW</v>
      </c>
      <c r="G12" s="224">
        <f>IFERROR(INDEX('[4]INFO-Ponderacion'!$S$9:$S$13,
       MATCH(D12,'[4]INFO-Ponderacion'!$C$9:$C$13, 0)),"")</f>
        <v>2.9039999999999995</v>
      </c>
      <c r="H12" s="225"/>
      <c r="I12" s="226"/>
      <c r="J12" s="226"/>
      <c r="K12" s="227"/>
      <c r="L12" s="399"/>
    </row>
    <row r="13" spans="2:13" ht="30" customHeight="1">
      <c r="B13" s="392"/>
      <c r="C13" s="393"/>
      <c r="D13" s="221" t="str">
        <f>IF(D12="", "Seleccionar Area ↑", "Tarifa Electrica ")</f>
        <v xml:space="preserve">Tarifa Electrica </v>
      </c>
      <c r="E13" s="222"/>
      <c r="F13" s="223" t="str">
        <f>IF(D12="","","$/kWh")</f>
        <v>$/kWh</v>
      </c>
      <c r="G13" s="228">
        <f>IF(D12="","",'INFO-Direc'!$G$9)</f>
        <v>5.2613958629577628E-2</v>
      </c>
      <c r="H13" s="384"/>
      <c r="I13" s="384"/>
      <c r="J13" s="384"/>
      <c r="K13" s="384"/>
      <c r="L13" s="399"/>
    </row>
    <row r="14" spans="2:13" ht="30" customHeight="1">
      <c r="B14" s="392"/>
      <c r="C14" s="393"/>
      <c r="D14" s="229" t="str">
        <f>IF(D12="", "Seleccionar Area ↑", "Costo Electrico Fijo de " &amp; D12)</f>
        <v>Costo Electrico Fijo de Produccion</v>
      </c>
      <c r="E14" s="222"/>
      <c r="F14" s="223" t="str">
        <f>IF(D12="","","$/h")</f>
        <v>$/h</v>
      </c>
      <c r="G14" s="290">
        <f t="array" aca="1" ref="G14" ca="1">IF(D12="","",IF(
   IFERROR(
     INDEX('INFO-OEE'!$E$18:$CA$18,
       MATCH(C3,'INFO-OEE'!$E$9:$CA$9,0)
     ),
     0
   )=0,
   "",
   (
     IF(ISNUMBER(G10)*ISNUMBER(G11),G10*G11,0)
     + IF(ISNUMBER(G12),G12,0)
     + SUMPRODUCT(
         (OFFSET($D$1,MATCH("Depreciación",B:B,0),0,9999,1)&lt;&gt;"") *
         (CLEAN(TRIM(
            OFFSET($D$1,MATCH("Depreciación",B:B,0),0,9999,1)
          )) &lt;&gt; CLEAN(TRIM($D$10))) *
         ISNUMBER(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INDEX('[4]INFO-Consumo'!$F$9:$F$95,
           MATCH(
             CLEAN(TRIM(
               OFFSET($D$1,MATCH("Depreciación",B:B,0),0,9999,1)
             )),
             CLEAN(TRIM(
               '[4]INFO-Consumo'!$D$9:$D$95
             )),
             0
           )
         ) *
         INDEX('[4]INFO-Consumo'!$I$9:$I$95,
           MATCH(
             CLEAN(TRIM(
               OFFSET($D$1,MATCH("Depreciación",B:B,0),0,9999,1)
             )),
             CLEAN(TRIM(
               '[4]INFO-Consumo'!$D$9:$D$95
             )),
             0
           )
         )
       )
   )
   * IF(ISNUMBER('INFO-Direc'!$G$10),'INFO-Direc'!$G$10,0)
   / IFERROR(
       INDEX('INFO-OEE'!$E$18:$CA$18,
         MATCH(C3,'INFO-OEE'!$E$9:$CA$9,0)
       ),
       1
     )
 ))</f>
        <v>0.13973952457513411</v>
      </c>
      <c r="H14" s="385"/>
      <c r="I14" s="386"/>
      <c r="J14" s="386"/>
      <c r="K14" s="387"/>
      <c r="L14" s="399"/>
    </row>
    <row r="15" spans="2:13" ht="30" customHeight="1">
      <c r="B15" s="389"/>
      <c r="C15" s="391"/>
      <c r="D15" s="229" t="s">
        <v>85</v>
      </c>
      <c r="E15" s="230"/>
      <c r="F15" s="223" t="str">
        <f>IF(D12="","","$/h")</f>
        <v>$/h</v>
      </c>
      <c r="G15" s="233"/>
      <c r="H15" s="385"/>
      <c r="I15" s="386"/>
      <c r="J15" s="386"/>
      <c r="K15" s="387"/>
      <c r="L15" s="398"/>
    </row>
    <row r="16" spans="2:13" ht="30" customHeight="1">
      <c r="B16" s="388" t="s">
        <v>90</v>
      </c>
      <c r="C16" s="394" t="s">
        <v>89</v>
      </c>
      <c r="D16" s="232"/>
      <c r="E16" s="222"/>
      <c r="F16" s="223" t="str">
        <f>IF(D16="","","$/L")</f>
        <v/>
      </c>
      <c r="G16" s="228" t="str">
        <f>IFERROR(INDEX('INFO-Direc'!$G$9:$G$25,
       MATCH(D16, 'INFO-Direc'!$D$9:$D$25, 0)),"")</f>
        <v/>
      </c>
      <c r="H16" s="384"/>
      <c r="I16" s="384"/>
      <c r="J16" s="384"/>
      <c r="K16" s="384"/>
      <c r="L16" s="397" t="str">
        <f>IF(AND(D16="", D18=""), "",
    IFERROR(
        IFERROR(G16*G17,0)
        + IFERROR(G18*G19,0)
        + IFERROR(G20,0),
    "")
)</f>
        <v/>
      </c>
    </row>
    <row r="17" spans="2:12" ht="30" customHeight="1">
      <c r="B17" s="392"/>
      <c r="C17" s="395"/>
      <c r="D17" s="221" t="str">
        <f>IF(D16="", "Seleccionar Lubricante ↑", "Consumo de " &amp; D16)</f>
        <v>Seleccionar Lubricante ↑</v>
      </c>
      <c r="E17" s="222"/>
      <c r="F17" s="223" t="str">
        <f>IF(ISERROR(FIND("Seleccionar", D17)), "L/h", "")</f>
        <v/>
      </c>
      <c r="G17" s="234"/>
      <c r="H17" s="384"/>
      <c r="I17" s="384"/>
      <c r="J17" s="384"/>
      <c r="K17" s="384"/>
      <c r="L17" s="399"/>
    </row>
    <row r="18" spans="2:12" ht="30" customHeight="1">
      <c r="B18" s="392"/>
      <c r="C18" s="395"/>
      <c r="D18" s="232"/>
      <c r="E18" s="222"/>
      <c r="F18" s="223" t="str">
        <f>IF(D18="","","$/L")</f>
        <v/>
      </c>
      <c r="G18" s="228" t="str">
        <f>IFERROR(INDEX('INFO-Direc'!$G$9:$G$25,
       MATCH(D18, 'INFO-Direc'!$D$9:$D$25, 0)),"")</f>
        <v/>
      </c>
      <c r="H18" s="385"/>
      <c r="I18" s="386"/>
      <c r="J18" s="386"/>
      <c r="K18" s="387"/>
      <c r="L18" s="399"/>
    </row>
    <row r="19" spans="2:12" ht="30" customHeight="1">
      <c r="B19" s="392"/>
      <c r="C19" s="395"/>
      <c r="D19" s="221" t="str">
        <f>IF(D18="", "Seleccionar Lubricante ↑", "Consumo de " &amp; D18)</f>
        <v>Seleccionar Lubricante ↑</v>
      </c>
      <c r="E19" s="222"/>
      <c r="F19" s="223" t="str">
        <f>IF(ISERROR(FIND("Seleccionar", D19)), "L/h", "")</f>
        <v/>
      </c>
      <c r="G19" s="234"/>
      <c r="H19" s="385"/>
      <c r="I19" s="386"/>
      <c r="J19" s="386"/>
      <c r="K19" s="387"/>
      <c r="L19" s="399"/>
    </row>
    <row r="20" spans="2:12" ht="30" customHeight="1">
      <c r="B20" s="389"/>
      <c r="C20" s="396"/>
      <c r="D20" s="221" t="s">
        <v>85</v>
      </c>
      <c r="E20" s="222"/>
      <c r="F20" s="223" t="str">
        <f>IF(OR(D16&lt;&gt;"", D18&lt;&gt;""), "$/h", "")</f>
        <v/>
      </c>
      <c r="G20" s="233"/>
      <c r="H20" s="384"/>
      <c r="I20" s="384"/>
      <c r="J20" s="384"/>
      <c r="K20" s="384"/>
      <c r="L20" s="398"/>
    </row>
    <row r="21" spans="2:12" ht="30" customHeight="1">
      <c r="B21" s="388" t="s">
        <v>92</v>
      </c>
      <c r="C21" s="390" t="s">
        <v>89</v>
      </c>
      <c r="D21" s="232"/>
      <c r="E21" s="222"/>
      <c r="F21" s="223" t="str">
        <f>IF(D21="","","kW")</f>
        <v/>
      </c>
      <c r="G21" s="228" t="str">
        <f>IFERROR(INDEX('INFO-Direc'!$G$9:$G$25,
       MATCH(D21, 'INFO-Direc'!$D$9:$D$25, 0)),"")</f>
        <v/>
      </c>
      <c r="H21" s="385"/>
      <c r="I21" s="386"/>
      <c r="J21" s="386"/>
      <c r="K21" s="387"/>
      <c r="L21" s="397" t="str">
        <f>IFERROR(G21*G13*G22+G23+G24,"")</f>
        <v/>
      </c>
    </row>
    <row r="22" spans="2:12" ht="30" customHeight="1">
      <c r="B22" s="392"/>
      <c r="C22" s="393"/>
      <c r="D22" s="221" t="str">
        <f>IF(D21="", "Seleccionar Compresor ↑", "Carga Promedio de Uso de " &amp; D21)</f>
        <v>Seleccionar Compresor ↑</v>
      </c>
      <c r="E22" s="222"/>
      <c r="F22" s="223" t="str">
        <f>IF(ISERROR(FIND("Seleccionar", D22)), "%", "")</f>
        <v/>
      </c>
      <c r="G22" s="289" t="str">
        <f>IF(D21="","",IFERROR(
    INDEX('[4]INFO-Consumo'!I:I,
           MATCH(D21, '[4]INFO-Consumo'!D:D, 0)
    ),
""))</f>
        <v/>
      </c>
      <c r="H22" s="384"/>
      <c r="I22" s="384"/>
      <c r="J22" s="384"/>
      <c r="K22" s="384"/>
      <c r="L22" s="399"/>
    </row>
    <row r="23" spans="2:12" ht="30" customHeight="1">
      <c r="B23" s="392"/>
      <c r="C23" s="393"/>
      <c r="D23" s="235" t="str">
        <f>IF(D21="", "Seleccionar Compresor ↑", "Costo de Repuestos " &amp; D21)</f>
        <v>Seleccionar Compresor ↑</v>
      </c>
      <c r="E23" s="222"/>
      <c r="F23" s="223" t="str">
        <f>IF(ISERROR(FIND("Seleccionar", D23)), "$/h", "")</f>
        <v/>
      </c>
      <c r="G23" s="236" t="str">
        <f>IF(D21="","", SUM(IF(ISNUMBER(FIND("Compresor", 'INFO-Mant'!D9:D26)), 'INFO-Mant'!G9:G26 / 'INFO-Mant'!H9:H26, 0)))</f>
        <v/>
      </c>
      <c r="H23" s="385"/>
      <c r="I23" s="386"/>
      <c r="J23" s="386"/>
      <c r="K23" s="387"/>
      <c r="L23" s="399"/>
    </row>
    <row r="24" spans="2:12" ht="30" customHeight="1">
      <c r="B24" s="389"/>
      <c r="C24" s="391"/>
      <c r="D24" s="221" t="s">
        <v>85</v>
      </c>
      <c r="E24" s="222"/>
      <c r="F24" s="223" t="str">
        <f>IF(D21="","","$/h")</f>
        <v/>
      </c>
      <c r="G24" s="233"/>
      <c r="H24" s="384"/>
      <c r="I24" s="384"/>
      <c r="J24" s="384"/>
      <c r="K24" s="384"/>
      <c r="L24" s="398"/>
    </row>
    <row r="25" spans="2:12" ht="30" customHeight="1">
      <c r="B25" s="388" t="s">
        <v>94</v>
      </c>
      <c r="C25" s="390" t="s">
        <v>89</v>
      </c>
      <c r="D25" s="232"/>
      <c r="E25" s="222"/>
      <c r="F25" s="223" t="str">
        <f>IF(D25="","","$/L")</f>
        <v/>
      </c>
      <c r="G25" s="228" t="str">
        <f>IFERROR(INDEX('INFO-Direc'!$G$9:$G$25,
       MATCH(D25, 'INFO-Direc'!$D$9:$D$25, 0)),"")</f>
        <v/>
      </c>
      <c r="H25" s="384"/>
      <c r="I25" s="384"/>
      <c r="J25" s="384"/>
      <c r="K25" s="384"/>
      <c r="L25" s="381" t="str">
        <f>IF(
    AND(D25="", D27=""),
    "",
    IFERROR(
        IFERROR(G25 / (INDEX('INFO-OEE'!$E$18:$CA$18,
                               MATCH(C3, 'INFO-OEE'!$E$9:$CA$9, 0)) * 12), 0)
        * G26
        +
        IFERROR(G27 / (INDEX('INFO-OEE'!$E$18:$CA$18,
                               MATCH(C3, 'INFO-OEE'!$E$9:$CA$9, 0)) * 12), 0)
        * G28
        +
        IFERROR(G29, 0),
    "")
)</f>
        <v/>
      </c>
    </row>
    <row r="26" spans="2:12" ht="30" customHeight="1">
      <c r="B26" s="392"/>
      <c r="C26" s="393"/>
      <c r="D26" s="221" t="str">
        <f>IF(D25="", "Seleccionar Refrigerante ↑", "Consumo de " &amp; D25)</f>
        <v>Seleccionar Refrigerante ↑</v>
      </c>
      <c r="E26" s="222"/>
      <c r="F26" s="223" t="str">
        <f>IF(ISERROR(FIND("Seleccionar", D26)), "L/Año", "")</f>
        <v/>
      </c>
      <c r="G26" s="238"/>
      <c r="H26" s="384"/>
      <c r="I26" s="384"/>
      <c r="J26" s="384"/>
      <c r="K26" s="384"/>
      <c r="L26" s="382"/>
    </row>
    <row r="27" spans="2:12" ht="30" customHeight="1">
      <c r="B27" s="392"/>
      <c r="C27" s="393"/>
      <c r="D27" s="232"/>
      <c r="E27" s="222"/>
      <c r="F27" s="223" t="str">
        <f>IF(D27="","","$/L")</f>
        <v/>
      </c>
      <c r="G27" s="228" t="str">
        <f>IFERROR(INDEX('INFO-Direc'!$G$9:$G$25,
       MATCH(D27, 'INFO-Direc'!$D$9:$D$25, 0)),"")</f>
        <v/>
      </c>
      <c r="H27" s="385"/>
      <c r="I27" s="386"/>
      <c r="J27" s="386"/>
      <c r="K27" s="387"/>
      <c r="L27" s="382"/>
    </row>
    <row r="28" spans="2:12" ht="30" customHeight="1">
      <c r="B28" s="392"/>
      <c r="C28" s="393"/>
      <c r="D28" s="221" t="str">
        <f>IF(D27="", "Seleccionar Refrigerante ↑", "Consumo de " &amp; D27)</f>
        <v>Seleccionar Refrigerante ↑</v>
      </c>
      <c r="E28" s="222"/>
      <c r="F28" s="223" t="str">
        <f>IF(ISERROR(FIND("Seleccionar", D28)), "L/Año", "")</f>
        <v/>
      </c>
      <c r="G28" s="239"/>
      <c r="H28" s="385"/>
      <c r="I28" s="386"/>
      <c r="J28" s="386"/>
      <c r="K28" s="387"/>
      <c r="L28" s="382"/>
    </row>
    <row r="29" spans="2:12" ht="30" customHeight="1">
      <c r="B29" s="389"/>
      <c r="C29" s="391"/>
      <c r="D29" s="221" t="s">
        <v>85</v>
      </c>
      <c r="E29" s="222"/>
      <c r="F29" s="223" t="str">
        <f>IF(OR(D25&lt;&gt;"", D27&lt;&gt;""), "$/h", "")</f>
        <v/>
      </c>
      <c r="G29" s="233"/>
      <c r="H29" s="384"/>
      <c r="I29" s="384"/>
      <c r="J29" s="384"/>
      <c r="K29" s="384"/>
      <c r="L29" s="383"/>
    </row>
    <row r="30" spans="2:12" s="152" customFormat="1" ht="30" customHeight="1">
      <c r="B30" s="388" t="s">
        <v>168</v>
      </c>
      <c r="C30" s="394" t="s">
        <v>89</v>
      </c>
      <c r="D30" s="232"/>
      <c r="E30" s="222"/>
      <c r="F30" s="223" t="str">
        <f>IF(D30="","","$/L")</f>
        <v/>
      </c>
      <c r="G30" s="228" t="str">
        <f>IFERROR(INDEX('INFO-Direc'!$G$9:$G$25,
       MATCH(D30, 'INFO-Direc'!$D$9:$D$25, 0)),"")</f>
        <v/>
      </c>
      <c r="H30" s="384"/>
      <c r="I30" s="384"/>
      <c r="J30" s="384"/>
      <c r="K30" s="384"/>
      <c r="L30" s="381" t="str">
        <f>IF(
    AND(D30="", D32=""),
    "",
    IFERROR(
        IFERROR(G30 / (INDEX('INFO-OEE'!$E$18:$CA$18,
                               MATCH(#REF!, 'INFO-OEE'!$E$9:$CA$9, 0)) * 12), 0)
        * G31
        +
        IFERROR(G32 / (INDEX('INFO-OEE'!$E$18:$CA$18,
                               MATCH(#REF!, 'INFO-OEE'!$E$9:$CA$9, 0)) * 12), 0)
        * G33
        +
        IFERROR(G34, 0),
    "")
)</f>
        <v/>
      </c>
    </row>
    <row r="31" spans="2:12" s="152" customFormat="1" ht="30" customHeight="1">
      <c r="B31" s="392"/>
      <c r="C31" s="395"/>
      <c r="D31" s="221" t="str">
        <f>IF(D30="", "Seleccionar Solvente ↑", "Consumo de " &amp; D30)</f>
        <v>Seleccionar Solvente ↑</v>
      </c>
      <c r="E31" s="222"/>
      <c r="F31" s="223" t="str">
        <f>IF(ISERROR(FIND("Seleccionar", D31)), "L/Año", "")</f>
        <v/>
      </c>
      <c r="G31" s="234"/>
      <c r="H31" s="384"/>
      <c r="I31" s="384"/>
      <c r="J31" s="384"/>
      <c r="K31" s="384"/>
      <c r="L31" s="382"/>
    </row>
    <row r="32" spans="2:12" s="152" customFormat="1" ht="30" customHeight="1">
      <c r="B32" s="392"/>
      <c r="C32" s="395"/>
      <c r="D32" s="232"/>
      <c r="E32" s="222"/>
      <c r="F32" s="223" t="str">
        <f>IF(D32="","","$/L")</f>
        <v/>
      </c>
      <c r="G32" s="228" t="str">
        <f>IFERROR(INDEX('INFO-Direc'!$G$9:$G$25,
       MATCH(D32, 'INFO-Direc'!$D$9:$D$25, 0)),"")</f>
        <v/>
      </c>
      <c r="H32" s="385"/>
      <c r="I32" s="386"/>
      <c r="J32" s="386"/>
      <c r="K32" s="387"/>
      <c r="L32" s="382"/>
    </row>
    <row r="33" spans="2:12" s="152" customFormat="1" ht="30" customHeight="1">
      <c r="B33" s="392"/>
      <c r="C33" s="395"/>
      <c r="D33" s="221" t="str">
        <f>IF(D32="", "Seleccionar Solvente ↑", "Consumo de " &amp; D32)</f>
        <v>Seleccionar Solvente ↑</v>
      </c>
      <c r="E33" s="222"/>
      <c r="F33" s="223" t="str">
        <f>IF(ISERROR(FIND("Seleccionar", D33)), "L/Año", "")</f>
        <v/>
      </c>
      <c r="G33" s="234"/>
      <c r="H33" s="385"/>
      <c r="I33" s="386"/>
      <c r="J33" s="386"/>
      <c r="K33" s="387"/>
      <c r="L33" s="382"/>
    </row>
    <row r="34" spans="2:12" s="152" customFormat="1" ht="30" customHeight="1">
      <c r="B34" s="389"/>
      <c r="C34" s="396"/>
      <c r="D34" s="221" t="s">
        <v>85</v>
      </c>
      <c r="E34" s="222"/>
      <c r="F34" s="223" t="str">
        <f>IF(OR(D30&lt;&gt;"", D32&lt;&gt;""), "$/h", "")</f>
        <v/>
      </c>
      <c r="G34" s="233"/>
      <c r="H34" s="384"/>
      <c r="I34" s="384"/>
      <c r="J34" s="384"/>
      <c r="K34" s="384"/>
      <c r="L34" s="383"/>
    </row>
    <row r="35" spans="2:12" ht="30" customHeight="1">
      <c r="B35" s="388" t="s">
        <v>100</v>
      </c>
      <c r="C35" s="390" t="s">
        <v>89</v>
      </c>
      <c r="D35" s="221" t="str">
        <f>IF(D12="", "Seleccionar Area ↑", "Costo de Operarios")</f>
        <v>Costo de Operarios</v>
      </c>
      <c r="E35" s="222"/>
      <c r="F35" s="223" t="str">
        <f>IF(D12="","","$/mes")</f>
        <v>$/mes</v>
      </c>
      <c r="G35" s="237">
        <f>IF(D12="","",IFERROR(
    INDEX('INFO-Personal'!$E$26:$CA$26,
           MATCH($C$3, 'INFO-Personal'!$E$9:$CA$9, 0)
    ),
""))</f>
        <v>0</v>
      </c>
      <c r="H35" s="384"/>
      <c r="I35" s="384"/>
      <c r="J35" s="384"/>
      <c r="K35" s="384"/>
      <c r="L35" s="397">
        <f>IFERROR(
    (G35 / INDEX('INFO-OEE'!$E$18:$CA$18,
                  MATCH($C$3, 'INFO-OEE'!$E$9:$CA$9, 0)))
    + G36,
"")</f>
        <v>0</v>
      </c>
    </row>
    <row r="36" spans="2:12" ht="30" customHeight="1">
      <c r="B36" s="389"/>
      <c r="C36" s="391"/>
      <c r="D36" s="221" t="s">
        <v>85</v>
      </c>
      <c r="E36" s="222"/>
      <c r="F36" s="223" t="str">
        <f>IF(D12="","","$/h")</f>
        <v>$/h</v>
      </c>
      <c r="G36" s="240"/>
      <c r="H36" s="384"/>
      <c r="I36" s="384"/>
      <c r="J36" s="384"/>
      <c r="K36" s="384"/>
      <c r="L36" s="398"/>
    </row>
    <row r="37" spans="2:12" ht="30" customHeight="1">
      <c r="B37" s="241"/>
      <c r="C37" s="242"/>
      <c r="D37" s="243"/>
      <c r="E37" s="242"/>
      <c r="F37" s="244"/>
      <c r="G37" s="245"/>
      <c r="H37" s="409"/>
      <c r="I37" s="409"/>
      <c r="J37" s="409"/>
      <c r="K37" s="409"/>
      <c r="L37" s="246"/>
    </row>
    <row r="38" spans="2:12" ht="30" customHeight="1">
      <c r="B38" s="388" t="s">
        <v>16</v>
      </c>
      <c r="C38" s="390" t="s">
        <v>69</v>
      </c>
      <c r="D38" s="221" t="str">
        <f>IF(D12="", "Seleccionar Area ↑", "Costo de Supervisores")</f>
        <v>Costo de Supervisores</v>
      </c>
      <c r="E38" s="222"/>
      <c r="F38" s="247" t="str">
        <f>IF(D12="","","$/mes")</f>
        <v>$/mes</v>
      </c>
      <c r="G38" s="237">
        <f>IF(D12="","",IFERROR(
    INDEX('INFO-Personal'!$E$27:$CA$27,
           MATCH($C$3, 'INFO-Personal'!$E$9:$CA$9, 0)
    ),
""))</f>
        <v>0</v>
      </c>
      <c r="H38" s="385"/>
      <c r="I38" s="386"/>
      <c r="J38" s="386"/>
      <c r="K38" s="387"/>
      <c r="L38" s="397">
        <f>IFERROR(
    (G38 / INDEX('INFO-OEE'!$E$18:$CA$18,
                  MATCH($C$3, 'INFO-OEE'!$E$9:$CA$9, 0)))
    + G39,
"")</f>
        <v>0</v>
      </c>
    </row>
    <row r="39" spans="2:12" ht="30" customHeight="1">
      <c r="B39" s="392"/>
      <c r="C39" s="393"/>
      <c r="D39" s="221" t="s">
        <v>85</v>
      </c>
      <c r="E39" s="222"/>
      <c r="F39" s="223" t="str">
        <f>IF(D12="","","$/h")</f>
        <v>$/h</v>
      </c>
      <c r="G39" s="240"/>
      <c r="H39" s="385"/>
      <c r="I39" s="386"/>
      <c r="J39" s="386"/>
      <c r="K39" s="387"/>
      <c r="L39" s="399"/>
    </row>
    <row r="40" spans="2:12" ht="30" customHeight="1">
      <c r="B40" s="388" t="s">
        <v>101</v>
      </c>
      <c r="C40" s="390" t="s">
        <v>69</v>
      </c>
      <c r="D40" s="221" t="str">
        <f>IF(D12="", "Seleccionar Area ↑", "Costo de Mant. Preventivo")</f>
        <v>Costo de Mant. Preventivo</v>
      </c>
      <c r="E40" s="222"/>
      <c r="F40" s="247" t="str">
        <f>IF(D12="","","$/mes")</f>
        <v>$/mes</v>
      </c>
      <c r="G40" s="237">
        <f>IF(D12="","",IFERROR(
    INDEX('INFO-Personal'!$E$28:$CA$28,
           MATCH($C$3, 'INFO-Personal'!$E$9:$CA$9, 0)
    ),
""))</f>
        <v>0</v>
      </c>
      <c r="H40" s="385"/>
      <c r="I40" s="386"/>
      <c r="J40" s="386"/>
      <c r="K40" s="387"/>
      <c r="L40" s="397">
        <f>IF(D12="","",SUM(
    IFERROR((G40+G41) / INDEX('INFO-OEE'!$E$18:$CA$18, MATCH(C3, 'INFO-OEE'!$E$9:$CA$9, 0)), 0),
    IFERROR(G42 / G43, 0),
    IFERROR(G44 / G45, 0),
    IFERROR(G46 / G47, 0),
    IFERROR(G48, 0)
))</f>
        <v>0</v>
      </c>
    </row>
    <row r="41" spans="2:12" ht="30" customHeight="1">
      <c r="B41" s="392"/>
      <c r="C41" s="393"/>
      <c r="D41" s="221" t="str">
        <f>IF(D12="", "Seleccionar Area ↑", "Costo de Mant. Correctivo")</f>
        <v>Costo de Mant. Correctivo</v>
      </c>
      <c r="E41" s="222"/>
      <c r="F41" s="247" t="str">
        <f>IF(D12="","","$/mes")</f>
        <v>$/mes</v>
      </c>
      <c r="G41" s="237">
        <f>IF(D12="","",IFERROR(
    INDEX('INFO-Personal'!$E$29:$CA$29,
           MATCH($C$3, 'INFO-Personal'!$E$9:$CA$9, 0)
    ),
""))</f>
        <v>0</v>
      </c>
      <c r="H41" s="385"/>
      <c r="I41" s="386"/>
      <c r="J41" s="386"/>
      <c r="K41" s="387"/>
      <c r="L41" s="399"/>
    </row>
    <row r="42" spans="2:12" ht="30" customHeight="1">
      <c r="B42" s="392"/>
      <c r="C42" s="393"/>
      <c r="D42" s="232"/>
      <c r="E42" s="222"/>
      <c r="F42" s="223" t="str">
        <f>IF(D42="","","$/u")</f>
        <v/>
      </c>
      <c r="G42" s="237" t="str">
        <f>IFERROR(INDEX('INFO-Mant'!$G$9:$G$26,
       MATCH(D42, 'INFO-Mant'!$D$9:$D$26, 0)),"")</f>
        <v/>
      </c>
      <c r="H42" s="385"/>
      <c r="I42" s="386"/>
      <c r="J42" s="386"/>
      <c r="K42" s="387"/>
      <c r="L42" s="399"/>
    </row>
    <row r="43" spans="2:12" ht="30" customHeight="1">
      <c r="B43" s="392"/>
      <c r="C43" s="393"/>
      <c r="D43" s="221" t="str">
        <f>IF(D42="", "Seleccionar Repuesto ↑", "Vida Util de " &amp; D42)</f>
        <v>Seleccionar Repuesto ↑</v>
      </c>
      <c r="E43" s="222"/>
      <c r="F43" s="223" t="str">
        <f>IF(ISERROR(FIND("Seleccionar", D43)), "Horas/u", "")</f>
        <v/>
      </c>
      <c r="G43" s="238"/>
      <c r="H43" s="385"/>
      <c r="I43" s="386"/>
      <c r="J43" s="386"/>
      <c r="K43" s="387"/>
      <c r="L43" s="399"/>
    </row>
    <row r="44" spans="2:12" ht="30" customHeight="1">
      <c r="B44" s="392"/>
      <c r="C44" s="393"/>
      <c r="D44" s="232"/>
      <c r="E44" s="222"/>
      <c r="F44" s="223" t="str">
        <f>IF(D44="","","$/u")</f>
        <v/>
      </c>
      <c r="G44" s="237" t="str">
        <f>IFERROR(INDEX('INFO-Mant'!$G$9:$G$26,
       MATCH(D44, 'INFO-Mant'!$D$9:$D$26, 0)),"")</f>
        <v/>
      </c>
      <c r="H44" s="385"/>
      <c r="I44" s="386"/>
      <c r="J44" s="386"/>
      <c r="K44" s="387"/>
      <c r="L44" s="399"/>
    </row>
    <row r="45" spans="2:12" ht="30" customHeight="1">
      <c r="B45" s="392"/>
      <c r="C45" s="393"/>
      <c r="D45" s="221" t="str">
        <f>IF(D44="", "Seleccionar Repuesto ↑", "Vida Util de " &amp; D44)</f>
        <v>Seleccionar Repuesto ↑</v>
      </c>
      <c r="E45" s="222"/>
      <c r="F45" s="223" t="str">
        <f>IF(ISERROR(FIND("Seleccionar", D45)), "Horas/u", "")</f>
        <v/>
      </c>
      <c r="G45" s="238"/>
      <c r="H45" s="385"/>
      <c r="I45" s="386"/>
      <c r="J45" s="386"/>
      <c r="K45" s="387"/>
      <c r="L45" s="399"/>
    </row>
    <row r="46" spans="2:12" ht="30" customHeight="1">
      <c r="B46" s="392"/>
      <c r="C46" s="393"/>
      <c r="D46" s="232"/>
      <c r="E46" s="222"/>
      <c r="F46" s="223" t="str">
        <f>IF(D46="","","$/u")</f>
        <v/>
      </c>
      <c r="G46" s="237" t="str">
        <f>IFERROR(INDEX('INFO-Mant'!$G$9:$G$26,
       MATCH(D46, 'INFO-Mant'!$D$9:$D$26, 0)),"")</f>
        <v/>
      </c>
      <c r="H46" s="385"/>
      <c r="I46" s="386"/>
      <c r="J46" s="386"/>
      <c r="K46" s="387"/>
      <c r="L46" s="399"/>
    </row>
    <row r="47" spans="2:12" ht="30" customHeight="1">
      <c r="B47" s="392"/>
      <c r="C47" s="393"/>
      <c r="D47" s="221" t="str">
        <f>IF(D46="", "Seleccionar Repuesto ↑", "Vida Util de " &amp; D46)</f>
        <v>Seleccionar Repuesto ↑</v>
      </c>
      <c r="E47" s="222"/>
      <c r="F47" s="223" t="str">
        <f>IF(ISERROR(FIND("Seleccionar", D47)), "Horas/u", "")</f>
        <v/>
      </c>
      <c r="G47" s="240"/>
      <c r="H47" s="385"/>
      <c r="I47" s="386"/>
      <c r="J47" s="386"/>
      <c r="K47" s="387"/>
      <c r="L47" s="399"/>
    </row>
    <row r="48" spans="2:12" ht="30" customHeight="1">
      <c r="B48" s="389"/>
      <c r="C48" s="391"/>
      <c r="D48" s="221" t="s">
        <v>85</v>
      </c>
      <c r="E48" s="222"/>
      <c r="F48" s="223" t="str">
        <f>IF(D12="","","$/h")</f>
        <v>$/h</v>
      </c>
      <c r="G48" s="240"/>
      <c r="H48" s="385"/>
      <c r="I48" s="386"/>
      <c r="J48" s="386"/>
      <c r="K48" s="387"/>
      <c r="L48" s="398"/>
    </row>
    <row r="49" spans="2:12" ht="30" customHeight="1">
      <c r="B49" s="248"/>
      <c r="C49" s="249"/>
      <c r="D49" s="250"/>
      <c r="E49" s="249"/>
      <c r="F49" s="251"/>
      <c r="G49" s="252"/>
      <c r="H49" s="249"/>
      <c r="I49" s="249"/>
      <c r="J49" s="249"/>
      <c r="K49" s="249"/>
      <c r="L49" s="253"/>
    </row>
    <row r="50" spans="2:12" ht="30" customHeight="1">
      <c r="B50" s="388" t="s">
        <v>102</v>
      </c>
      <c r="C50" s="394" t="s">
        <v>103</v>
      </c>
      <c r="D50" s="232"/>
      <c r="E50" s="222"/>
      <c r="F50" s="223" t="str">
        <f>IF(D50="","","$/h")</f>
        <v/>
      </c>
      <c r="G50" s="237" t="str">
        <f ca="1">IFERROR(
 IF(
    DATE(
        YEAR( INDEX('INFO-Pos'!$G:$G, MATCH(D50,'INFO-Pos'!$B:$B,0)+1 ) ) +
        INDEX('INFO-Pos'!$G:$G, MATCH(D50,'INFO-Pos'!$B:$B,0)+2 ),
        MONTH( INDEX('INFO-Pos'!$G:$G, MATCH(D50,'INFO-Pos'!$B:$B,0)+1 ) ),
        DAY( INDEX('INFO-Pos'!$G:$G, MATCH(D50,'INFO-Pos'!$B:$B,0)+1 ) )
    ) &gt; TODAY(),
    ( INDEX('INFO-Pos'!$G:$G, MATCH(D50,'INFO-Pos'!$B:$B,0)+0 ) -
      INDEX('INFO-Pos'!$G:$G, MATCH(D50,'INFO-Pos'!$B:$B,0)+3 )
    ) /
    (
      INDEX('INFO-Pos'!$G:$G, MATCH(D50,'INFO-Pos'!$B:$B,0)+2 ) *
      INDEX('INFO-Pos'!$G:$G, MATCH(D50,'INFO-Pos'!$B:$B,0)+4 )
    ),
    0
 ),
 ""
)</f>
        <v/>
      </c>
      <c r="H50" s="410" t="str">
        <f ca="1">IFERROR(
    IF(G50="",
        "",
        IF(G50=0,
            "Depreciado en su totalidad",
            "Depreciación restante durante " &amp;
            MAX(
                0,
                INDEX('INFO-Pos'!$G:$G, MATCH(D50,'INFO-Pos'!$B:$B,0)+2)
                -
                (YEAR(TODAY()) - YEAR( INDEX('INFO-Pos'!$G:$G, MATCH(D50,'INFO-Pos'!$B:$B,0)+1 ) ))
            )
            &amp; " años"
        )
    ),
    ""
)</f>
        <v/>
      </c>
      <c r="I50" s="410"/>
      <c r="J50" s="410"/>
      <c r="K50" s="410"/>
      <c r="L50" s="255" t="str">
        <f ca="1">G50</f>
        <v/>
      </c>
    </row>
    <row r="51" spans="2:12" ht="30" customHeight="1">
      <c r="B51" s="392"/>
      <c r="C51" s="395"/>
      <c r="D51" s="232"/>
      <c r="E51" s="254"/>
      <c r="F51" s="223" t="str">
        <f>IF(D51="","","$/h")</f>
        <v/>
      </c>
      <c r="G51" s="237" t="str">
        <f ca="1">IFERROR(
 IF(
    DATE(
        YEAR( INDEX('INFO-Pos'!$G:$G, MATCH(D51,'INFO-Pos'!$B:$B,0)+1 ) ) +
        INDEX('INFO-Pos'!$G:$G, MATCH(D51,'INFO-Pos'!$B:$B,0)+2 ),
        MONTH( INDEX('INFO-Pos'!$G:$G, MATCH(D51,'INFO-Pos'!$B:$B,0)+1 ) ),
        DAY( INDEX('INFO-Pos'!$G:$G, MATCH(D51,'INFO-Pos'!$B:$B,0)+1 ) )
    ) &gt; TODAY(),
    ( INDEX('INFO-Pos'!$G:$G, MATCH(D51,'INFO-Pos'!$B:$B,0)+0 ) -
      INDEX('INFO-Pos'!$G:$G, MATCH(D51,'INFO-Pos'!$B:$B,0)+3 )
    ) /
    (
      INDEX('INFO-Pos'!$G:$G, MATCH(D51,'INFO-Pos'!$B:$B,0)+2 ) *
      INDEX('INFO-Pos'!$G:$G, MATCH(D51,'INFO-Pos'!$B:$B,0)+4 )
    ),
    0
 ),
 ""
)</f>
        <v/>
      </c>
      <c r="H51" s="410" t="str">
        <f ca="1">IFERROR(
    IF(G51="",
        "",
        IF(G51=0,
            "Depreciado en su totalidad",
            "Depreciación restante durante " &amp;
            MAX(
                0,
                INDEX('INFO-Pos'!$G:$G, MATCH(D51,'INFO-Pos'!$B:$B,0)+2)
                -
                (YEAR(TODAY()) - YEAR( INDEX('INFO-Pos'!$G:$G, MATCH(D51,'INFO-Pos'!$B:$B,0)+1 ) ))
            )
            &amp; " años"
        )
    ),
    ""
)</f>
        <v/>
      </c>
      <c r="I51" s="410"/>
      <c r="J51" s="410"/>
      <c r="K51" s="410"/>
      <c r="L51" s="255" t="str">
        <f ca="1">G51</f>
        <v/>
      </c>
    </row>
    <row r="52" spans="2:12" ht="30" customHeight="1">
      <c r="B52" s="392"/>
      <c r="C52" s="395"/>
      <c r="D52" s="232"/>
      <c r="E52" s="222"/>
      <c r="F52" s="223" t="str">
        <f t="shared" ref="F52:F54" si="0">IF(D52="","","$/h")</f>
        <v/>
      </c>
      <c r="G52" s="237" t="str">
        <f ca="1">IFERROR(
 IF(
    DATE(
        YEAR( INDEX('INFO-Pos'!$G:$G, MATCH(D52,'INFO-Pos'!$B:$B,0)+1 ) ) +
        INDEX('INFO-Pos'!$G:$G, MATCH(D52,'INFO-Pos'!$B:$B,0)+2 ),
        MONTH( INDEX('INFO-Pos'!$G:$G, MATCH(D52,'INFO-Pos'!$B:$B,0)+1 ) ),
        DAY( INDEX('INFO-Pos'!$G:$G, MATCH(D52,'INFO-Pos'!$B:$B,0)+1 ) )
    ) &gt; TODAY(),
    ( INDEX('INFO-Pos'!$G:$G, MATCH(D52,'INFO-Pos'!$B:$B,0)+0 ) -
      INDEX('INFO-Pos'!$G:$G, MATCH(D52,'INFO-Pos'!$B:$B,0)+3 )
    ) /
    (
      INDEX('INFO-Pos'!$G:$G, MATCH(D52,'INFO-Pos'!$B:$B,0)+2 ) *
      INDEX('INFO-Pos'!$G:$G, MATCH(D52,'INFO-Pos'!$B:$B,0)+4 )
    ),
    0
 ),
 ""
)</f>
        <v/>
      </c>
      <c r="H52" s="410" t="str">
        <f ca="1">IFERROR(
    IF(G52="",
        "",
        IF(G52=0,
            "Depreciado en su totalidad",
            "Depreciación restante durante " &amp;
            MAX(
                0,
                INDEX('INFO-Pos'!$G:$G, MATCH(D52,'INFO-Pos'!$B:$B,0)+2)
                -
                (YEAR(TODAY()) - YEAR( INDEX('INFO-Pos'!$G:$G, MATCH(D52,'INFO-Pos'!$B:$B,0)+1 ) ))
            )
            &amp; " años"
        )
    ),
    ""
)</f>
        <v/>
      </c>
      <c r="I52" s="410"/>
      <c r="J52" s="410"/>
      <c r="K52" s="410"/>
      <c r="L52" s="255" t="str">
        <f ca="1">G52</f>
        <v/>
      </c>
    </row>
    <row r="53" spans="2:12" ht="30" customHeight="1">
      <c r="B53" s="392"/>
      <c r="C53" s="395"/>
      <c r="D53" s="232"/>
      <c r="E53" s="222"/>
      <c r="F53" s="223" t="str">
        <f t="shared" si="0"/>
        <v/>
      </c>
      <c r="G53" s="237" t="str">
        <f ca="1">IFERROR(
 IF(
    DATE(
        YEAR( INDEX('INFO-Pos'!$G:$G, MATCH(D53,'INFO-Pos'!$B:$B,0)+1 ) ) +
        INDEX('INFO-Pos'!$G:$G, MATCH(D53,'INFO-Pos'!$B:$B,0)+2 ),
        MONTH( INDEX('INFO-Pos'!$G:$G, MATCH(D53,'INFO-Pos'!$B:$B,0)+1 ) ),
        DAY( INDEX('INFO-Pos'!$G:$G, MATCH(D53,'INFO-Pos'!$B:$B,0)+1 ) )
    ) &gt; TODAY(),
    ( INDEX('INFO-Pos'!$G:$G, MATCH(D53,'INFO-Pos'!$B:$B,0)+0 ) -
      INDEX('INFO-Pos'!$G:$G, MATCH(D53,'INFO-Pos'!$B:$B,0)+3 )
    ) /
    (
      INDEX('INFO-Pos'!$G:$G, MATCH(D53,'INFO-Pos'!$B:$B,0)+2 ) *
      INDEX('INFO-Pos'!$G:$G, MATCH(D53,'INFO-Pos'!$B:$B,0)+4 )
    ),
    0
 ),
 ""
)</f>
        <v/>
      </c>
      <c r="H53" s="410" t="str">
        <f ca="1">IFERROR(
    IF(G53="",
        "",
        IF(G53=0,
            "Depreciado en su totalidad",
            "Depreciación restante durante " &amp;
            MAX(
                0,
                INDEX('INFO-Pos'!$G:$G, MATCH(D53,'INFO-Pos'!$B:$B,0)+2)
                -
                (YEAR(TODAY()) - YEAR( INDEX('INFO-Pos'!$G:$G, MATCH(D53,'INFO-Pos'!$B:$B,0)+1 ) ))
            )
            &amp; " años"
        )
    ),
    ""
)</f>
        <v/>
      </c>
      <c r="I53" s="410"/>
      <c r="J53" s="410"/>
      <c r="K53" s="410"/>
      <c r="L53" s="255" t="str">
        <f ca="1">G53</f>
        <v/>
      </c>
    </row>
    <row r="54" spans="2:12" ht="30" customHeight="1">
      <c r="B54" s="389"/>
      <c r="C54" s="396"/>
      <c r="D54" s="232"/>
      <c r="E54" s="222"/>
      <c r="F54" s="223" t="str">
        <f t="shared" si="0"/>
        <v/>
      </c>
      <c r="G54" s="237" t="str">
        <f ca="1">IFERROR(
 IF(
    DATE(
        YEAR( INDEX('INFO-Pos'!$G:$G, MATCH(D54,'INFO-Pos'!$B:$B,0)+1 ) ) +
        INDEX('INFO-Pos'!$G:$G, MATCH(D54,'INFO-Pos'!$B:$B,0)+2 ),
        MONTH( INDEX('INFO-Pos'!$G:$G, MATCH(D54,'INFO-Pos'!$B:$B,0)+1 ) ),
        DAY( INDEX('INFO-Pos'!$G:$G, MATCH(D54,'INFO-Pos'!$B:$B,0)+1 ) )
    ) &gt; TODAY(),
    ( INDEX('INFO-Pos'!$G:$G, MATCH(D54,'INFO-Pos'!$B:$B,0)+0 ) -
      INDEX('INFO-Pos'!$G:$G, MATCH(D54,'INFO-Pos'!$B:$B,0)+3 )
    ) /
    (
      INDEX('INFO-Pos'!$G:$G, MATCH(D54,'INFO-Pos'!$B:$B,0)+2 ) *
      INDEX('INFO-Pos'!$G:$G, MATCH(D54,'INFO-Pos'!$B:$B,0)+4 )
    ),
    0
 ),
 ""
)</f>
        <v/>
      </c>
      <c r="H54" s="410" t="str">
        <f ca="1">IFERROR(
    IF(G54="",
        "",
        IF(G54=0,
            "Depreciado en su totalidad",
            "Depreciación restante durante " &amp;
            MAX(
                0,
                INDEX('INFO-Pos'!$G:$G, MATCH(D54,'INFO-Pos'!$B:$B,0)+2)
                -
                (YEAR(TODAY()) - YEAR( INDEX('INFO-Pos'!$G:$G, MATCH(D54,'INFO-Pos'!$B:$B,0)+1 ) ))
            )
            &amp; " años"
        )
    ),
    ""
)</f>
        <v/>
      </c>
      <c r="I54" s="410"/>
      <c r="J54" s="410"/>
      <c r="K54" s="410"/>
      <c r="L54" s="255" t="str">
        <f ca="1">G54</f>
        <v/>
      </c>
    </row>
    <row r="55" spans="2:12" ht="30" customHeight="1">
      <c r="B55" s="146"/>
      <c r="C55" s="147"/>
      <c r="D55" s="411"/>
      <c r="E55" s="411"/>
      <c r="F55" s="30"/>
      <c r="G55" s="30"/>
      <c r="H55" s="149"/>
      <c r="I55" s="149"/>
      <c r="J55" s="149"/>
      <c r="K55" s="30"/>
      <c r="L55" s="145"/>
    </row>
    <row r="56" spans="2:12" ht="30" customHeight="1" thickBot="1">
      <c r="B56" s="153" t="s">
        <v>39</v>
      </c>
      <c r="C56" s="330"/>
      <c r="D56" s="330"/>
      <c r="E56" s="154" t="s">
        <v>23</v>
      </c>
      <c r="F56" s="368"/>
      <c r="G56" s="368"/>
      <c r="H56" s="141"/>
      <c r="I56" s="141"/>
      <c r="J56" s="141"/>
      <c r="K56" s="256"/>
      <c r="L56" s="257"/>
    </row>
    <row r="57" spans="2:12" ht="30" customHeight="1" thickBot="1">
      <c r="B57" s="155"/>
      <c r="C57" s="156"/>
      <c r="D57" s="156"/>
      <c r="E57" s="156"/>
      <c r="F57" s="378"/>
      <c r="G57" s="378"/>
      <c r="H57" s="157"/>
      <c r="I57" s="157"/>
      <c r="J57" s="157"/>
      <c r="K57" s="258" t="s">
        <v>106</v>
      </c>
      <c r="L57" s="259">
        <f ca="1">IFERROR(SUM(L19:L54),"")</f>
        <v>0</v>
      </c>
    </row>
    <row r="59" spans="2:12" ht="30" customHeight="1">
      <c r="C59" s="117"/>
    </row>
  </sheetData>
  <sheetProtection selectLockedCells="1"/>
  <mergeCells count="80">
    <mergeCell ref="D55:E55"/>
    <mergeCell ref="C56:D56"/>
    <mergeCell ref="F56:G56"/>
    <mergeCell ref="F57:G57"/>
    <mergeCell ref="B50:B54"/>
    <mergeCell ref="C50:C54"/>
    <mergeCell ref="H50:K50"/>
    <mergeCell ref="H51:K51"/>
    <mergeCell ref="H52:K52"/>
    <mergeCell ref="H53:K53"/>
    <mergeCell ref="H54:K54"/>
    <mergeCell ref="L38:L39"/>
    <mergeCell ref="B40:B48"/>
    <mergeCell ref="C40:C48"/>
    <mergeCell ref="L40:L48"/>
    <mergeCell ref="H44:K44"/>
    <mergeCell ref="H45:K45"/>
    <mergeCell ref="H46:K46"/>
    <mergeCell ref="H47:K47"/>
    <mergeCell ref="H48:K48"/>
    <mergeCell ref="H39:K39"/>
    <mergeCell ref="H40:K40"/>
    <mergeCell ref="H41:K41"/>
    <mergeCell ref="H42:K42"/>
    <mergeCell ref="H43:K43"/>
    <mergeCell ref="B38:B39"/>
    <mergeCell ref="C38:C39"/>
    <mergeCell ref="B10:B15"/>
    <mergeCell ref="C10:C15"/>
    <mergeCell ref="B16:B20"/>
    <mergeCell ref="C16:C20"/>
    <mergeCell ref="B21:B24"/>
    <mergeCell ref="C21:C24"/>
    <mergeCell ref="H38:K38"/>
    <mergeCell ref="H34:K34"/>
    <mergeCell ref="H35:K35"/>
    <mergeCell ref="H36:K36"/>
    <mergeCell ref="H37:K37"/>
    <mergeCell ref="B35:B36"/>
    <mergeCell ref="C35:C36"/>
    <mergeCell ref="L35:L36"/>
    <mergeCell ref="H30:K30"/>
    <mergeCell ref="H31:K31"/>
    <mergeCell ref="H32:K32"/>
    <mergeCell ref="H33:K33"/>
    <mergeCell ref="B30:B34"/>
    <mergeCell ref="C30:C34"/>
    <mergeCell ref="L30:L34"/>
    <mergeCell ref="B25:B29"/>
    <mergeCell ref="C25:C29"/>
    <mergeCell ref="L25:L29"/>
    <mergeCell ref="H23:K23"/>
    <mergeCell ref="H24:K24"/>
    <mergeCell ref="H25:K25"/>
    <mergeCell ref="L21:L24"/>
    <mergeCell ref="H29:K29"/>
    <mergeCell ref="H26:K26"/>
    <mergeCell ref="H27:K27"/>
    <mergeCell ref="H28:K28"/>
    <mergeCell ref="H20:K20"/>
    <mergeCell ref="H21:K21"/>
    <mergeCell ref="H22:K22"/>
    <mergeCell ref="L16:L20"/>
    <mergeCell ref="H16:K16"/>
    <mergeCell ref="H17:K17"/>
    <mergeCell ref="H18:K18"/>
    <mergeCell ref="H19:K19"/>
    <mergeCell ref="H13:K13"/>
    <mergeCell ref="H15:K15"/>
    <mergeCell ref="L10:L15"/>
    <mergeCell ref="H9:K9"/>
    <mergeCell ref="H10:K10"/>
    <mergeCell ref="H11:K11"/>
    <mergeCell ref="H14:K14"/>
    <mergeCell ref="C3:D3"/>
    <mergeCell ref="F3:G3"/>
    <mergeCell ref="C6:D6"/>
    <mergeCell ref="F6:G6"/>
    <mergeCell ref="C7:D7"/>
    <mergeCell ref="F7:G7"/>
  </mergeCells>
  <dataValidations count="9">
    <dataValidation allowBlank="1" showInputMessage="1" showErrorMessage="1" prompt="Escriba comentarios en las celdas de la derecha." sqref="C59"/>
    <dataValidation type="list" allowBlank="1" showInputMessage="1" showErrorMessage="1" sqref="D51:D54">
      <formula1>Herramientas_Ensamble</formula1>
    </dataValidation>
    <dataValidation type="list" allowBlank="1" showInputMessage="1" showErrorMessage="1" sqref="D12">
      <formula1>Areas_Ensamble</formula1>
    </dataValidation>
    <dataValidation type="list" allowBlank="1" showInputMessage="1" showErrorMessage="1" sqref="D16 D18">
      <formula1>Lubricantes_Ensamble</formula1>
    </dataValidation>
    <dataValidation type="list" allowBlank="1" showInputMessage="1" showErrorMessage="1" sqref="D21">
      <formula1>AireComprimido_Ensamble</formula1>
    </dataValidation>
    <dataValidation type="list" allowBlank="1" showInputMessage="1" showErrorMessage="1" sqref="D25 D27">
      <formula1>Refrigerantes_Ensamble</formula1>
    </dataValidation>
    <dataValidation type="list" allowBlank="1" showInputMessage="1" showErrorMessage="1" sqref="D30 D32">
      <formula1>Solvente_Ensamble</formula1>
    </dataValidation>
    <dataValidation type="list" allowBlank="1" showInputMessage="1" showErrorMessage="1" sqref="D42 D44 D46">
      <formula1>Repuestos_Ensamble</formula1>
    </dataValidation>
    <dataValidation type="list" allowBlank="1" showInputMessage="1" showErrorMessage="1" sqref="D10 D50">
      <formula1>Maquinaria_Ensamble</formula1>
    </dataValidation>
  </dataValidations>
  <printOptions horizontalCentered="1" verticalCentered="1"/>
  <pageMargins left="0.4" right="0.4" top="0.4" bottom="0.4" header="0.3" footer="0.3"/>
  <pageSetup paperSize="9" scale="37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54</xdr:row>
                    <xdr:rowOff>333375</xdr:rowOff>
                  </from>
                  <to>
                    <xdr:col>1</xdr:col>
                    <xdr:colOff>1762125</xdr:colOff>
                    <xdr:row>55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37</vt:i4>
      </vt:variant>
      <vt:variant>
        <vt:lpstr>Rangos con nombre</vt:lpstr>
      </vt:variant>
      <vt:variant>
        <vt:i4>1</vt:i4>
      </vt:variant>
    </vt:vector>
  </HeadingPairs>
  <TitlesOfParts>
    <vt:vector size="38" baseType="lpstr">
      <vt:lpstr>INDICE</vt:lpstr>
      <vt:lpstr>INFO-OEE</vt:lpstr>
      <vt:lpstr>INFO-Personal</vt:lpstr>
      <vt:lpstr>INFO-Direc</vt:lpstr>
      <vt:lpstr>INFO-Mant</vt:lpstr>
      <vt:lpstr>INFO-INSUMOS-P</vt:lpstr>
      <vt:lpstr>INFO-Pos</vt:lpstr>
      <vt:lpstr>ENGRASADORA MANUAL</vt:lpstr>
      <vt:lpstr>PRENSA QY-10-1</vt:lpstr>
      <vt:lpstr>PRENSA QY-10-2</vt:lpstr>
      <vt:lpstr>PRENSA QY-10-3</vt:lpstr>
      <vt:lpstr>LAVADORA 0448</vt:lpstr>
      <vt:lpstr>TB-SCAMRIVT-40120 CONICO 518</vt:lpstr>
      <vt:lpstr>TE-SCAMRIVT-2060 CONICO 30207</vt:lpstr>
      <vt:lpstr>HERMANADORA MANUAL IM247</vt:lpstr>
      <vt:lpstr>HER. AUT MS03 DP 02HTQJ2</vt:lpstr>
      <vt:lpstr>HER. AUT JAULA-MS03 BCJL02A</vt:lpstr>
      <vt:lpstr>ENGRASADORA MS03 0510-5120051</vt:lpstr>
      <vt:lpstr>HER. AUT MS04 DP 03TQJ3</vt:lpstr>
      <vt:lpstr>HER. AUT JAULA-MS04 BCJL02A</vt:lpstr>
      <vt:lpstr>ENGRASADORA AUTOM MS04 ZYJ3H </vt:lpstr>
      <vt:lpstr>LASER CHICO 30</vt:lpstr>
      <vt:lpstr>LASER GRANDE 50</vt:lpstr>
      <vt:lpstr>PRENSA QY-16</vt:lpstr>
      <vt:lpstr>LAVADORA QXC-1-2 MS03</vt:lpstr>
      <vt:lpstr>LAVADORA QXC-1 MS04</vt:lpstr>
      <vt:lpstr>ANDEROMETRO IM-250</vt:lpstr>
      <vt:lpstr>ANDEROMETRO IM251</vt:lpstr>
      <vt:lpstr>HERMANADORA AUT MS05 LHT90</vt:lpstr>
      <vt:lpstr>HER. AUT JAULA MS05 BCJT03</vt:lpstr>
      <vt:lpstr>PD52 POACHER</vt:lpstr>
      <vt:lpstr>RADIAL X095B</vt:lpstr>
      <vt:lpstr>LAVADO MANUAL PMT25-36</vt:lpstr>
      <vt:lpstr>HERMANADORA MANUAL IM248</vt:lpstr>
      <vt:lpstr>RADIAL X095A</vt:lpstr>
      <vt:lpstr>DESIMANTADOR NS-400-B1</vt:lpstr>
      <vt:lpstr>LAVADORA GRANDE PMD-SJ</vt:lpstr>
      <vt:lpstr>Personal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Contigiani</dc:creator>
  <cp:lastModifiedBy>Lorenzo Contigiani</cp:lastModifiedBy>
  <cp:lastPrinted>2025-12-16T15:08:46Z</cp:lastPrinted>
  <dcterms:created xsi:type="dcterms:W3CDTF">2025-11-12T15:53:29Z</dcterms:created>
  <dcterms:modified xsi:type="dcterms:W3CDTF">2025-12-29T14:23:09Z</dcterms:modified>
</cp:coreProperties>
</file>