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cesos\Auxiliares\Analisis de Costos Electricos\"/>
    </mc:Choice>
  </mc:AlternateContent>
  <bookViews>
    <workbookView xWindow="0" yWindow="0" windowWidth="28800" windowHeight="12330"/>
  </bookViews>
  <sheets>
    <sheet name="INFO-Consumo" sheetId="1" r:id="rId1"/>
    <sheet name="INFO-Ponderacion" sheetId="2" r:id="rId2"/>
    <sheet name="INFO-Factura" sheetId="3" r:id="rId3"/>
  </sheets>
  <functionGroups builtInGroupCount="18"/>
  <externalReferences>
    <externalReference r:id="rId4"/>
    <externalReference r:id="rId5"/>
    <externalReference r:id="rId6"/>
    <externalReference r:id="rId7"/>
  </externalReferences>
  <definedNames>
    <definedName name="Areas" localSheetId="0">'INFO-Consumo'!$K$99:$K$101</definedName>
    <definedName name="Areas" localSheetId="2">'INFO-Factura'!#REF!</definedName>
    <definedName name="Areas" localSheetId="1">'INFO-Ponderacion'!#REF!</definedName>
    <definedName name="Areas">#REF!</definedName>
    <definedName name="Fresas" localSheetId="0">OFFSET(#REF!,0,0,COUNTIF(#REF!,"?*"),1)</definedName>
    <definedName name="Fresas" localSheetId="2">OFFSET(#REF!,0,0,COUNTIF(#REF!,"?*"),1)</definedName>
    <definedName name="Fresas" localSheetId="1">OFFSET(#REF!,0,0,COUNTIF(#REF!,"?*"),1)</definedName>
    <definedName name="Fresas">OFFSET(#REF!,0,0,COUNTIF(#REF!,"?*"),1)</definedName>
    <definedName name="Herramientas" localSheetId="0">OFFSET(#REF!,0,0,COUNTIF(#REF!,"?*"),1)</definedName>
    <definedName name="Herramientas" localSheetId="2">OFFSET(#REF!,0,0,COUNTIF(#REF!,"?*"),1)</definedName>
    <definedName name="Herramientas" localSheetId="1">OFFSET(#REF!,0,0,COUNTIF(#REF!,"?*"),1)</definedName>
    <definedName name="Herramientas">OFFSET(#REF!,0,0,COUNTIF(#REF!,"?*"),1)</definedName>
    <definedName name="INSUMOS" localSheetId="0">OFFSET(#REF!,0,0,COUNTIF(#REF!,"?*"),1)</definedName>
    <definedName name="INSUMOS" localSheetId="2">OFFSET(#REF!,0,0,COUNTIF(#REF!,"?*"),1)</definedName>
    <definedName name="INSUMOS" localSheetId="1">OFFSET(#REF!,0,0,COUNTIF(#REF!,"?*"),1)</definedName>
    <definedName name="INSUMOS">OFFSET(#REF!,0,0,COUNTIF(#REF!,"?*"),1)</definedName>
    <definedName name="Lubricantes" localSheetId="0">'INFO-Consumo'!$E$14:$E$19</definedName>
    <definedName name="Lubricantes" localSheetId="2">'INFO-Factura'!#REF!</definedName>
    <definedName name="Lubricantes" localSheetId="1">'INFO-Ponderacion'!#REF!</definedName>
    <definedName name="Lubricantes">#REF!</definedName>
    <definedName name="Maquinaria" localSheetId="0">OFFSET(#REF!,0,0,COUNTIF(#REF!,"?*"),1)</definedName>
    <definedName name="Maquinaria" localSheetId="2">OFFSET(#REF!,0,0,COUNTIF(#REF!,"?*"),1)</definedName>
    <definedName name="Maquinaria" localSheetId="1">OFFSET(#REF!,0,0,COUNTIF(#REF!,"?*"),1)</definedName>
    <definedName name="Maquinaria">OFFSET(#REF!,0,0,COUNTIF(#REF!,"?*"),1)</definedName>
    <definedName name="Personal" localSheetId="0">#REF!</definedName>
    <definedName name="Personal" localSheetId="2">#REF!</definedName>
    <definedName name="Personal" localSheetId="1">#REF!</definedName>
    <definedName name="Personal">#REF!</definedName>
    <definedName name="Refrigerantes" localSheetId="0">'INFO-Consumo'!$E$22:$E$27</definedName>
    <definedName name="Refrigerantes" localSheetId="2">'INFO-Factura'!#REF!</definedName>
    <definedName name="Refrigerantes" localSheetId="1">'INFO-Ponderacion'!#REF!</definedName>
    <definedName name="Refrigerantes">#REF!</definedName>
    <definedName name="Repuestos" localSheetId="0">#REF!</definedName>
    <definedName name="Repuestos" localSheetId="2">#REF!</definedName>
    <definedName name="Repuestos" localSheetId="1">#REF!</definedName>
    <definedName name="Repuestos">#REF!</definedName>
  </definedNames>
  <calcPr calcId="162913"/>
</workbook>
</file>

<file path=xl/calcChain.xml><?xml version="1.0" encoding="utf-8"?>
<calcChain xmlns="http://schemas.openxmlformats.org/spreadsheetml/2006/main">
  <c r="D70" i="1" l="1"/>
  <c r="D69" i="1"/>
  <c r="D68" i="1"/>
  <c r="D67" i="1"/>
  <c r="D66" i="1"/>
  <c r="D65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AA10" i="3" l="1"/>
  <c r="Z10" i="3"/>
  <c r="Q10" i="3"/>
  <c r="J10" i="3"/>
  <c r="S11" i="2" l="1"/>
  <c r="S12" i="2"/>
  <c r="S13" i="2"/>
  <c r="S10" i="2"/>
  <c r="S9" i="2"/>
  <c r="R9" i="2"/>
  <c r="R10" i="2"/>
  <c r="R11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T10" i="2" l="1"/>
  <c r="U10" i="2" s="1"/>
  <c r="T11" i="2"/>
  <c r="U11" i="2" s="1"/>
  <c r="T12" i="2"/>
  <c r="T13" i="2"/>
  <c r="D74" i="1" l="1"/>
  <c r="D73" i="1"/>
  <c r="D9" i="1" l="1"/>
  <c r="D27" i="1" l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R12" i="2" l="1"/>
  <c r="U12" i="2" s="1"/>
  <c r="R13" i="2"/>
  <c r="U13" i="2" s="1"/>
  <c r="J97" i="1"/>
  <c r="J89" i="1"/>
  <c r="J95" i="1" l="1"/>
  <c r="J91" i="1" l="1"/>
  <c r="J94" i="1"/>
  <c r="S10" i="3" l="1"/>
  <c r="K3" i="3"/>
  <c r="T9" i="2"/>
  <c r="U9" i="2" s="1"/>
  <c r="H3" i="2"/>
  <c r="J98" i="1"/>
  <c r="J96" i="1"/>
  <c r="J93" i="1"/>
  <c r="J92" i="1"/>
  <c r="J90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G3" i="1"/>
  <c r="R3" i="3"/>
  <c r="V13" i="2" l="1"/>
  <c r="V10" i="2"/>
  <c r="V12" i="2"/>
  <c r="V11" i="2"/>
  <c r="V9" i="2"/>
</calcChain>
</file>

<file path=xl/sharedStrings.xml><?xml version="1.0" encoding="utf-8"?>
<sst xmlns="http://schemas.openxmlformats.org/spreadsheetml/2006/main" count="203" uniqueCount="86">
  <si>
    <t>PLANILLA DE DATOS ELECTRICOS</t>
  </si>
  <si>
    <t>TIPO DE COSTOS:</t>
  </si>
  <si>
    <t>Electrico</t>
  </si>
  <si>
    <t>FECHA DE ANALISIS:</t>
  </si>
  <si>
    <t>INFORMACIÓN DEL RESPONSABLE:</t>
  </si>
  <si>
    <t>NOMBRE</t>
  </si>
  <si>
    <t>Agustin Alberto</t>
  </si>
  <si>
    <t>PUESTO</t>
  </si>
  <si>
    <t>Ing. de Producto</t>
  </si>
  <si>
    <t>DEPARTAMENTO</t>
  </si>
  <si>
    <t>Oficina Tecnica</t>
  </si>
  <si>
    <t>SUPERIOR</t>
  </si>
  <si>
    <t>Luciano Cochis</t>
  </si>
  <si>
    <t>N</t>
  </si>
  <si>
    <t>Area</t>
  </si>
  <si>
    <t>Equipo / Elemento</t>
  </si>
  <si>
    <t>Cantidad</t>
  </si>
  <si>
    <t>kW</t>
  </si>
  <si>
    <t>Voltaje</t>
  </si>
  <si>
    <t>Contribuye al FP?</t>
  </si>
  <si>
    <t>Ponderación</t>
  </si>
  <si>
    <t>Observaciones</t>
  </si>
  <si>
    <t>Producción</t>
  </si>
  <si>
    <t>Compresor</t>
  </si>
  <si>
    <t>Ensamble</t>
  </si>
  <si>
    <t>Embalaje</t>
  </si>
  <si>
    <t>Deposito</t>
  </si>
  <si>
    <t xml:space="preserve">Administracion </t>
  </si>
  <si>
    <t>Aire acondicionado Central 1</t>
  </si>
  <si>
    <t>Aire acondicionado Central 2</t>
  </si>
  <si>
    <t>Servidor</t>
  </si>
  <si>
    <t>General</t>
  </si>
  <si>
    <t>Computadoras</t>
  </si>
  <si>
    <t>Impresoras</t>
  </si>
  <si>
    <t>Heladeras</t>
  </si>
  <si>
    <t>OV</t>
  </si>
  <si>
    <t>Reflector</t>
  </si>
  <si>
    <t>Paneles</t>
  </si>
  <si>
    <t>LED</t>
  </si>
  <si>
    <t>Halogenas</t>
  </si>
  <si>
    <t>Luz Grande</t>
  </si>
  <si>
    <t>Aire acondicionados Chicos</t>
  </si>
  <si>
    <t xml:space="preserve">APROBADO POR: </t>
  </si>
  <si>
    <t xml:space="preserve">NOTAS: </t>
  </si>
  <si>
    <t>PLANILLA DE DATOS PERSONAL</t>
  </si>
  <si>
    <t>Areas</t>
  </si>
  <si>
    <t>Consumo Propio</t>
  </si>
  <si>
    <t>Total de Area</t>
  </si>
  <si>
    <t>% Ponderación</t>
  </si>
  <si>
    <t>Produccion</t>
  </si>
  <si>
    <t>Administración y Comercialización</t>
  </si>
  <si>
    <t>Depósito</t>
  </si>
  <si>
    <t>VALOR DOLAR:</t>
  </si>
  <si>
    <t>Lorenzo Contigiani</t>
  </si>
  <si>
    <t>Factura</t>
  </si>
  <si>
    <t>Potencia Consumida</t>
  </si>
  <si>
    <t>Energia Consumida</t>
  </si>
  <si>
    <t>Coseno FI</t>
  </si>
  <si>
    <t>Periodo Leido</t>
  </si>
  <si>
    <t>Impuestos no deducibles</t>
  </si>
  <si>
    <t>Adquirida</t>
  </si>
  <si>
    <t>Valor</t>
  </si>
  <si>
    <t>Fuera de Pico</t>
  </si>
  <si>
    <t>Pico</t>
  </si>
  <si>
    <t>Resto</t>
  </si>
  <si>
    <t>Valle</t>
  </si>
  <si>
    <t>Desde</t>
  </si>
  <si>
    <t>Hasta</t>
  </si>
  <si>
    <t>Fdo.Des.Ene.Prov</t>
  </si>
  <si>
    <t>Ord.Imp.Municipal</t>
  </si>
  <si>
    <t>Dto. 2298</t>
  </si>
  <si>
    <t>ERSep- Ley 10281</t>
  </si>
  <si>
    <t>Ajustado a Valor Dólar $1430 del dia 01/10/25</t>
  </si>
  <si>
    <t>APROBADO POR:</t>
  </si>
  <si>
    <t>Carga promedio de uso</t>
  </si>
  <si>
    <t>LED Chicas (Plantas)</t>
  </si>
  <si>
    <t>Monitores</t>
  </si>
  <si>
    <t xml:space="preserve">Televisor </t>
  </si>
  <si>
    <t>UPS</t>
  </si>
  <si>
    <t>Sin Instalar</t>
  </si>
  <si>
    <t>Consumo General Real</t>
  </si>
  <si>
    <t>Consumo General Teorico</t>
  </si>
  <si>
    <t>Neto (USD)</t>
  </si>
  <si>
    <t>Monto (USD)</t>
  </si>
  <si>
    <t>TOTAL FACTURA (sin IVA-IIBB) (USD)</t>
  </si>
  <si>
    <t>DÓLAR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</si>
</sst>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\ #,##0.00"/>
    <numFmt numFmtId="165" formatCode="&quot;$&quot;#,##0.00"/>
    <numFmt numFmtId="166" formatCode="0.0%"/>
  </numFmts>
  <fonts count="18">
    <font>
      <sz val="11"/>
      <color theme="1" tint="0.24994659260841701"/>
      <name val="Calibri"/>
      <family val="2"/>
      <scheme val="minor"/>
    </font>
    <font>
      <b/>
      <sz val="11"/>
      <color rgb="FF0066CC"/>
      <name val="Manrope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sz val="11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2"/>
      <name val="Manrope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9" fontId="2" fillId="0" borderId="0"/>
    <xf numFmtId="0" fontId="3" fillId="0" borderId="0">
      <alignment vertical="top"/>
    </xf>
    <xf numFmtId="0" fontId="11" fillId="0" borderId="0"/>
    <xf numFmtId="0" fontId="7" fillId="0" borderId="0">
      <alignment horizontal="right" vertical="center" wrapText="1"/>
    </xf>
    <xf numFmtId="0" fontId="14" fillId="0" borderId="0">
      <alignment horizontal="right" vertical="center" indent="1"/>
    </xf>
    <xf numFmtId="0" fontId="2" fillId="0" borderId="5">
      <alignment horizontal="left" vertical="center" wrapText="1"/>
    </xf>
  </cellStyleXfs>
  <cellXfs count="219">
    <xf numFmtId="0" fontId="0" fillId="0" borderId="0" xfId="0"/>
    <xf numFmtId="0" fontId="6" fillId="0" borderId="2" xfId="0" applyFont="1" applyBorder="1"/>
    <xf numFmtId="164" fontId="9" fillId="0" borderId="0" xfId="6" applyNumberFormat="1" applyFont="1" applyBorder="1" applyAlignment="1">
      <alignment horizontal="center" wrapText="1"/>
    </xf>
    <xf numFmtId="0" fontId="4" fillId="0" borderId="1" xfId="2" applyFont="1" applyBorder="1" applyAlignment="1">
      <alignment vertical="top"/>
    </xf>
    <xf numFmtId="0" fontId="4" fillId="0" borderId="2" xfId="2" applyFont="1" applyBorder="1" applyAlignment="1">
      <alignment vertical="top"/>
    </xf>
    <xf numFmtId="0" fontId="6" fillId="0" borderId="0" xfId="0" applyFont="1"/>
    <xf numFmtId="0" fontId="6" fillId="0" borderId="0" xfId="6" applyFont="1" applyBorder="1" applyAlignment="1">
      <alignment horizontal="left" vertical="center" wrapText="1"/>
    </xf>
    <xf numFmtId="0" fontId="6" fillId="0" borderId="0" xfId="6" applyFont="1" applyBorder="1" applyAlignment="1">
      <alignment vertical="center" wrapText="1"/>
    </xf>
    <xf numFmtId="0" fontId="0" fillId="0" borderId="0" xfId="0" applyAlignment="1">
      <alignment horizontal="right"/>
    </xf>
    <xf numFmtId="0" fontId="6" fillId="0" borderId="0" xfId="6" applyFont="1" applyBorder="1" applyAlignment="1" applyProtection="1">
      <alignment horizontal="center" vertical="center" wrapText="1"/>
      <protection locked="0"/>
    </xf>
    <xf numFmtId="0" fontId="6" fillId="0" borderId="0" xfId="6" applyFont="1" applyBorder="1" applyAlignment="1">
      <alignment horizontal="center" vertical="center" wrapText="1"/>
    </xf>
    <xf numFmtId="0" fontId="6" fillId="0" borderId="21" xfId="5" applyFont="1" applyBorder="1" applyAlignment="1">
      <alignment horizontal="right" vertical="center" indent="1"/>
    </xf>
    <xf numFmtId="0" fontId="12" fillId="0" borderId="0" xfId="3" applyFont="1" applyAlignment="1">
      <alignment horizontal="left"/>
    </xf>
    <xf numFmtId="0" fontId="6" fillId="0" borderId="0" xfId="5" applyFont="1" applyAlignment="1">
      <alignment vertical="center"/>
    </xf>
    <xf numFmtId="0" fontId="14" fillId="0" borderId="21" xfId="5" applyBorder="1" applyAlignment="1">
      <alignment horizontal="right" vertical="center" indent="1"/>
    </xf>
    <xf numFmtId="0" fontId="16" fillId="0" borderId="21" xfId="0" applyFont="1" applyBorder="1" applyAlignment="1">
      <alignment horizontal="center"/>
    </xf>
    <xf numFmtId="0" fontId="14" fillId="0" borderId="21" xfId="5" applyBorder="1" applyAlignment="1">
      <alignment horizontal="center" vertical="center"/>
    </xf>
    <xf numFmtId="0" fontId="12" fillId="2" borderId="34" xfId="5" applyFont="1" applyFill="1" applyBorder="1" applyAlignment="1">
      <alignment horizontal="center" vertical="center"/>
    </xf>
    <xf numFmtId="0" fontId="12" fillId="2" borderId="34" xfId="5" applyFont="1" applyFill="1" applyBorder="1" applyAlignment="1">
      <alignment horizontal="center" vertical="center" wrapText="1"/>
    </xf>
    <xf numFmtId="0" fontId="10" fillId="0" borderId="0" xfId="4" applyFont="1" applyAlignment="1">
      <alignment horizontal="right"/>
    </xf>
    <xf numFmtId="0" fontId="0" fillId="0" borderId="4" xfId="0" applyBorder="1"/>
    <xf numFmtId="0" fontId="0" fillId="0" borderId="7" xfId="0" applyBorder="1"/>
    <xf numFmtId="0" fontId="10" fillId="0" borderId="4" xfId="4" applyFont="1" applyBorder="1" applyAlignment="1"/>
    <xf numFmtId="165" fontId="17" fillId="0" borderId="14" xfId="5" applyNumberFormat="1" applyFont="1" applyBorder="1" applyAlignment="1" applyProtection="1">
      <alignment horizontal="center" vertical="center" wrapText="1"/>
      <protection locked="0"/>
    </xf>
    <xf numFmtId="14" fontId="17" fillId="0" borderId="14" xfId="5" applyNumberFormat="1" applyFont="1" applyBorder="1" applyAlignment="1" applyProtection="1">
      <alignment horizontal="center" vertical="center" wrapText="1"/>
      <protection locked="0"/>
    </xf>
    <xf numFmtId="165" fontId="9" fillId="0" borderId="14" xfId="0" applyNumberFormat="1" applyFont="1" applyBorder="1" applyAlignment="1" applyProtection="1">
      <alignment horizontal="center" vertical="center" wrapText="1"/>
      <protection locked="0"/>
    </xf>
    <xf numFmtId="166" fontId="9" fillId="0" borderId="14" xfId="1" applyNumberFormat="1" applyFont="1" applyBorder="1" applyAlignment="1" applyProtection="1">
      <alignment horizontal="center" vertical="center" wrapText="1"/>
      <protection locked="0"/>
    </xf>
    <xf numFmtId="164" fontId="17" fillId="0" borderId="14" xfId="5" applyNumberFormat="1" applyFont="1" applyBorder="1" applyAlignment="1" applyProtection="1">
      <alignment horizontal="center" vertical="center" wrapText="1"/>
      <protection locked="0"/>
    </xf>
    <xf numFmtId="0" fontId="17" fillId="0" borderId="14" xfId="5" applyFont="1" applyBorder="1" applyAlignment="1" applyProtection="1">
      <alignment horizontal="center" vertical="center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2" fontId="9" fillId="0" borderId="14" xfId="0" applyNumberFormat="1" applyFont="1" applyBorder="1" applyAlignment="1" applyProtection="1">
      <alignment horizontal="center" vertical="center" wrapText="1"/>
      <protection locked="0"/>
    </xf>
    <xf numFmtId="0" fontId="6" fillId="0" borderId="0" xfId="5" applyFont="1" applyAlignment="1">
      <alignment horizontal="right" vertical="center" indent="1"/>
    </xf>
    <xf numFmtId="0" fontId="0" fillId="0" borderId="0" xfId="0"/>
    <xf numFmtId="0" fontId="0" fillId="0" borderId="21" xfId="0" applyBorder="1"/>
    <xf numFmtId="0" fontId="0" fillId="0" borderId="0" xfId="0" applyProtection="1">
      <protection locked="0"/>
    </xf>
    <xf numFmtId="0" fontId="6" fillId="0" borderId="0" xfId="5" applyFont="1" applyAlignment="1">
      <alignment horizontal="right"/>
    </xf>
    <xf numFmtId="0" fontId="8" fillId="0" borderId="0" xfId="4" applyFont="1" applyAlignment="1">
      <alignment horizontal="right" wrapText="1"/>
    </xf>
    <xf numFmtId="0" fontId="10" fillId="0" borderId="0" xfId="4" applyFont="1" applyAlignment="1">
      <alignment horizontal="center" vertical="center" wrapText="1"/>
    </xf>
    <xf numFmtId="0" fontId="14" fillId="0" borderId="0" xfId="5" applyAlignment="1">
      <alignment horizontal="right" vertical="center" indent="1"/>
    </xf>
    <xf numFmtId="0" fontId="0" fillId="0" borderId="3" xfId="0" applyBorder="1"/>
    <xf numFmtId="0" fontId="0" fillId="0" borderId="20" xfId="0" applyBorder="1"/>
    <xf numFmtId="0" fontId="0" fillId="0" borderId="22" xfId="0" applyBorder="1"/>
    <xf numFmtId="0" fontId="7" fillId="0" borderId="0" xfId="4" applyAlignment="1">
      <alignment horizontal="right" vertical="center" wrapText="1"/>
    </xf>
    <xf numFmtId="14" fontId="17" fillId="0" borderId="38" xfId="0" applyNumberFormat="1" applyFont="1" applyBorder="1" applyAlignment="1" applyProtection="1">
      <alignment horizontal="center" vertical="center"/>
      <protection locked="0"/>
    </xf>
    <xf numFmtId="0" fontId="0" fillId="0" borderId="38" xfId="0" applyBorder="1" applyProtection="1">
      <protection locked="0"/>
    </xf>
    <xf numFmtId="165" fontId="9" fillId="0" borderId="38" xfId="0" applyNumberFormat="1" applyFont="1" applyBorder="1" applyAlignment="1" applyProtection="1">
      <alignment horizontal="center" vertical="center" wrapText="1"/>
      <protection locked="0"/>
    </xf>
    <xf numFmtId="2" fontId="9" fillId="0" borderId="38" xfId="0" applyNumberFormat="1" applyFont="1" applyBorder="1" applyAlignment="1" applyProtection="1">
      <alignment horizontal="center" vertical="center" wrapText="1"/>
      <protection locked="0"/>
    </xf>
    <xf numFmtId="165" fontId="17" fillId="0" borderId="38" xfId="5" applyNumberFormat="1" applyFont="1" applyBorder="1" applyAlignment="1" applyProtection="1">
      <alignment horizontal="center" vertical="center" wrapText="1"/>
      <protection locked="0"/>
    </xf>
    <xf numFmtId="14" fontId="17" fillId="0" borderId="38" xfId="5" applyNumberFormat="1" applyFont="1" applyBorder="1" applyAlignment="1" applyProtection="1">
      <alignment horizontal="center" vertical="center" wrapText="1"/>
      <protection locked="0"/>
    </xf>
    <xf numFmtId="166" fontId="9" fillId="0" borderId="38" xfId="1" applyNumberFormat="1" applyFont="1" applyBorder="1" applyAlignment="1" applyProtection="1">
      <alignment horizontal="center" vertical="center" wrapText="1"/>
      <protection locked="0"/>
    </xf>
    <xf numFmtId="164" fontId="17" fillId="0" borderId="38" xfId="5" applyNumberFormat="1" applyFont="1" applyBorder="1" applyAlignment="1" applyProtection="1">
      <alignment horizontal="center" vertical="center" wrapText="1"/>
      <protection locked="0"/>
    </xf>
    <xf numFmtId="0" fontId="17" fillId="0" borderId="38" xfId="5" applyFont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/>
    <xf numFmtId="0" fontId="14" fillId="0" borderId="0" xfId="5" applyAlignment="1">
      <alignment horizontal="right" vertical="center" indent="1"/>
    </xf>
    <xf numFmtId="0" fontId="7" fillId="0" borderId="0" xfId="4" applyAlignment="1">
      <alignment horizontal="right" vertical="center" wrapText="1"/>
    </xf>
    <xf numFmtId="0" fontId="6" fillId="0" borderId="6" xfId="5" applyFont="1" applyBorder="1" applyAlignment="1" applyProtection="1">
      <alignment horizontal="center"/>
      <protection locked="0"/>
    </xf>
    <xf numFmtId="0" fontId="0" fillId="0" borderId="0" xfId="0" applyProtection="1"/>
    <xf numFmtId="0" fontId="4" fillId="0" borderId="1" xfId="2" applyFont="1" applyBorder="1" applyAlignment="1" applyProtection="1">
      <alignment vertical="top"/>
    </xf>
    <xf numFmtId="0" fontId="4" fillId="0" borderId="2" xfId="2" applyFont="1" applyBorder="1" applyAlignment="1" applyProtection="1">
      <alignment vertical="top"/>
    </xf>
    <xf numFmtId="0" fontId="6" fillId="0" borderId="2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8" fillId="0" borderId="0" xfId="4" applyFont="1" applyAlignment="1" applyProtection="1">
      <alignment horizontal="right" wrapText="1"/>
    </xf>
    <xf numFmtId="14" fontId="6" fillId="0" borderId="6" xfId="6" applyNumberFormat="1" applyFont="1" applyBorder="1" applyAlignment="1" applyProtection="1">
      <alignment horizontal="center" wrapText="1"/>
    </xf>
    <xf numFmtId="0" fontId="0" fillId="0" borderId="0" xfId="0" applyBorder="1" applyProtection="1"/>
    <xf numFmtId="14" fontId="10" fillId="0" borderId="0" xfId="4" applyNumberFormat="1" applyFont="1" applyAlignment="1" applyProtection="1">
      <alignment horizontal="right" vertical="center" wrapText="1"/>
    </xf>
    <xf numFmtId="0" fontId="0" fillId="0" borderId="7" xfId="0" applyBorder="1" applyProtection="1"/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right"/>
    </xf>
    <xf numFmtId="0" fontId="6" fillId="0" borderId="0" xfId="0" applyFont="1" applyProtection="1"/>
    <xf numFmtId="0" fontId="6" fillId="0" borderId="0" xfId="5" applyFont="1" applyAlignment="1" applyProtection="1">
      <alignment horizontal="right"/>
    </xf>
    <xf numFmtId="0" fontId="6" fillId="0" borderId="0" xfId="5" applyFont="1" applyAlignment="1" applyProtection="1">
      <alignment horizontal="right" vertical="center" indent="1"/>
    </xf>
    <xf numFmtId="0" fontId="6" fillId="0" borderId="0" xfId="6" applyFont="1" applyBorder="1" applyAlignment="1" applyProtection="1">
      <alignment horizontal="left" vertical="center" wrapText="1"/>
    </xf>
    <xf numFmtId="0" fontId="6" fillId="0" borderId="0" xfId="6" applyFont="1" applyBorder="1" applyAlignment="1" applyProtection="1">
      <alignment vertical="center" wrapText="1"/>
    </xf>
    <xf numFmtId="0" fontId="12" fillId="2" borderId="9" xfId="5" applyFont="1" applyFill="1" applyBorder="1" applyAlignment="1" applyProtection="1">
      <alignment horizontal="center" vertical="center"/>
    </xf>
    <xf numFmtId="0" fontId="12" fillId="2" borderId="26" xfId="5" applyFont="1" applyFill="1" applyBorder="1" applyAlignment="1" applyProtection="1">
      <alignment horizontal="center" vertical="center"/>
    </xf>
    <xf numFmtId="0" fontId="12" fillId="2" borderId="26" xfId="5" applyFont="1" applyFill="1" applyBorder="1" applyAlignment="1" applyProtection="1">
      <alignment horizontal="center" vertical="center" wrapText="1"/>
    </xf>
    <xf numFmtId="0" fontId="12" fillId="2" borderId="3" xfId="5" applyFont="1" applyFill="1" applyBorder="1" applyAlignment="1" applyProtection="1">
      <alignment horizontal="center" vertical="center" wrapText="1"/>
    </xf>
    <xf numFmtId="0" fontId="12" fillId="2" borderId="3" xfId="5" applyFont="1" applyFill="1" applyBorder="1" applyAlignment="1" applyProtection="1">
      <alignment horizontal="center" vertical="center"/>
    </xf>
    <xf numFmtId="0" fontId="12" fillId="2" borderId="10" xfId="5" applyFont="1" applyFill="1" applyBorder="1" applyAlignment="1" applyProtection="1">
      <alignment horizontal="center" vertical="center"/>
    </xf>
    <xf numFmtId="0" fontId="17" fillId="0" borderId="28" xfId="0" applyFont="1" applyBorder="1" applyAlignment="1" applyProtection="1">
      <alignment horizontal="center" vertical="center"/>
    </xf>
    <xf numFmtId="0" fontId="9" fillId="0" borderId="12" xfId="0" applyFont="1" applyBorder="1" applyAlignment="1" applyProtection="1">
      <alignment horizontal="center" vertical="center"/>
    </xf>
    <xf numFmtId="0" fontId="9" fillId="0" borderId="12" xfId="0" applyFont="1" applyBorder="1" applyAlignment="1" applyProtection="1">
      <alignment horizontal="center" vertical="center" wrapText="1"/>
    </xf>
    <xf numFmtId="9" fontId="9" fillId="0" borderId="11" xfId="1" applyFont="1" applyBorder="1" applyAlignment="1" applyProtection="1">
      <alignment horizontal="center" vertical="center"/>
    </xf>
    <xf numFmtId="0" fontId="9" fillId="0" borderId="29" xfId="0" applyFont="1" applyBorder="1" applyProtection="1"/>
    <xf numFmtId="9" fontId="9" fillId="0" borderId="39" xfId="1" applyFont="1" applyBorder="1" applyAlignment="1" applyProtection="1">
      <alignment horizontal="center" vertical="center"/>
    </xf>
    <xf numFmtId="9" fontId="9" fillId="0" borderId="14" xfId="1" applyFont="1" applyBorder="1" applyAlignment="1" applyProtection="1">
      <alignment horizontal="center" vertical="center"/>
    </xf>
    <xf numFmtId="9" fontId="9" fillId="0" borderId="40" xfId="1" applyFont="1" applyBorder="1" applyAlignment="1" applyProtection="1">
      <alignment horizontal="center" vertical="center"/>
    </xf>
    <xf numFmtId="0" fontId="6" fillId="0" borderId="0" xfId="5" applyFont="1" applyAlignment="1" applyProtection="1">
      <alignment vertical="center"/>
    </xf>
    <xf numFmtId="0" fontId="10" fillId="0" borderId="0" xfId="4" applyFont="1" applyAlignment="1" applyProtection="1">
      <alignment horizontal="right"/>
    </xf>
    <xf numFmtId="0" fontId="0" fillId="0" borderId="20" xfId="0" applyBorder="1" applyProtection="1"/>
    <xf numFmtId="0" fontId="10" fillId="0" borderId="21" xfId="4" applyFont="1" applyBorder="1" applyAlignment="1" applyProtection="1">
      <alignment horizontal="right" vertical="center" wrapText="1"/>
    </xf>
    <xf numFmtId="0" fontId="6" fillId="0" borderId="21" xfId="6" applyFont="1" applyBorder="1" applyAlignment="1" applyProtection="1">
      <alignment vertical="center" wrapText="1"/>
    </xf>
    <xf numFmtId="0" fontId="10" fillId="0" borderId="21" xfId="4" applyFont="1" applyBorder="1" applyAlignment="1" applyProtection="1">
      <alignment horizontal="right"/>
    </xf>
    <xf numFmtId="0" fontId="6" fillId="0" borderId="21" xfId="5" applyFont="1" applyBorder="1" applyAlignment="1" applyProtection="1">
      <alignment vertical="center"/>
    </xf>
    <xf numFmtId="0" fontId="0" fillId="0" borderId="22" xfId="0" applyBorder="1" applyProtection="1"/>
    <xf numFmtId="0" fontId="14" fillId="0" borderId="0" xfId="5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5" applyAlignment="1" applyProtection="1">
      <alignment horizontal="center" vertical="center"/>
    </xf>
    <xf numFmtId="0" fontId="17" fillId="3" borderId="12" xfId="5" applyFont="1" applyFill="1" applyBorder="1" applyAlignment="1" applyProtection="1">
      <alignment horizontal="center" vertical="center" wrapText="1"/>
      <protection locked="0"/>
    </xf>
    <xf numFmtId="9" fontId="17" fillId="3" borderId="41" xfId="5" applyNumberFormat="1" applyFont="1" applyFill="1" applyBorder="1" applyAlignment="1" applyProtection="1">
      <alignment horizontal="center" vertical="center" wrapText="1"/>
      <protection locked="0"/>
    </xf>
    <xf numFmtId="9" fontId="17" fillId="3" borderId="14" xfId="5" applyNumberFormat="1" applyFont="1" applyFill="1" applyBorder="1" applyAlignment="1" applyProtection="1">
      <alignment horizontal="center" vertical="center" wrapText="1"/>
      <protection locked="0"/>
    </xf>
    <xf numFmtId="0" fontId="5" fillId="0" borderId="2" xfId="2" applyFont="1" applyBorder="1" applyAlignment="1" applyProtection="1">
      <alignment vertical="top"/>
    </xf>
    <xf numFmtId="14" fontId="6" fillId="0" borderId="0" xfId="6" applyNumberFormat="1" applyFont="1" applyBorder="1" applyAlignment="1" applyProtection="1">
      <alignment vertical="center" wrapText="1"/>
    </xf>
    <xf numFmtId="0" fontId="13" fillId="0" borderId="0" xfId="3" applyFont="1" applyProtection="1"/>
    <xf numFmtId="0" fontId="6" fillId="0" borderId="0" xfId="5" applyFont="1" applyAlignment="1" applyProtection="1">
      <alignment horizontal="right" indent="1"/>
    </xf>
    <xf numFmtId="0" fontId="15" fillId="0" borderId="31" xfId="0" applyFont="1" applyBorder="1" applyAlignment="1" applyProtection="1">
      <alignment horizontal="center" vertical="center"/>
    </xf>
    <xf numFmtId="0" fontId="15" fillId="0" borderId="11" xfId="5" applyFont="1" applyBorder="1" applyAlignment="1" applyProtection="1">
      <alignment vertical="center" wrapText="1"/>
    </xf>
    <xf numFmtId="2" fontId="15" fillId="0" borderId="32" xfId="1" applyNumberFormat="1" applyFont="1" applyBorder="1" applyAlignment="1" applyProtection="1">
      <alignment horizontal="center" vertical="center"/>
    </xf>
    <xf numFmtId="9" fontId="9" fillId="0" borderId="37" xfId="1" applyFont="1" applyBorder="1" applyAlignment="1" applyProtection="1">
      <alignment horizontal="center" vertical="center"/>
    </xf>
    <xf numFmtId="0" fontId="15" fillId="0" borderId="13" xfId="0" applyFont="1" applyBorder="1" applyAlignment="1" applyProtection="1">
      <alignment horizontal="center" vertical="center"/>
    </xf>
    <xf numFmtId="0" fontId="15" fillId="0" borderId="14" xfId="5" applyFont="1" applyBorder="1" applyAlignment="1" applyProtection="1">
      <alignment vertical="center" wrapText="1"/>
    </xf>
    <xf numFmtId="9" fontId="9" fillId="0" borderId="15" xfId="1" applyFont="1" applyBorder="1" applyAlignment="1" applyProtection="1">
      <alignment horizontal="center" vertical="center"/>
    </xf>
    <xf numFmtId="0" fontId="15" fillId="0" borderId="30" xfId="0" applyFont="1" applyBorder="1" applyAlignment="1" applyProtection="1">
      <alignment horizontal="center" vertical="center"/>
    </xf>
    <xf numFmtId="0" fontId="15" fillId="0" borderId="18" xfId="5" applyFont="1" applyBorder="1" applyAlignment="1" applyProtection="1">
      <alignment vertical="center" wrapText="1"/>
    </xf>
    <xf numFmtId="9" fontId="9" fillId="0" borderId="27" xfId="1" applyFont="1" applyBorder="1" applyAlignment="1" applyProtection="1">
      <alignment horizontal="center" vertical="center"/>
    </xf>
    <xf numFmtId="0" fontId="6" fillId="0" borderId="0" xfId="5" applyFont="1" applyAlignment="1" applyProtection="1">
      <alignment horizontal="center" vertical="center"/>
    </xf>
    <xf numFmtId="0" fontId="6" fillId="0" borderId="0" xfId="6" applyFont="1" applyBorder="1" applyAlignment="1" applyProtection="1">
      <alignment horizontal="center" vertical="center" wrapText="1"/>
    </xf>
    <xf numFmtId="0" fontId="10" fillId="0" borderId="0" xfId="4" applyFont="1" applyAlignment="1" applyProtection="1">
      <alignment horizontal="right" vertical="center" wrapText="1"/>
    </xf>
    <xf numFmtId="0" fontId="6" fillId="0" borderId="21" xfId="5" applyFont="1" applyBorder="1" applyAlignment="1" applyProtection="1">
      <alignment horizontal="right" vertical="center" indent="1"/>
    </xf>
    <xf numFmtId="0" fontId="0" fillId="0" borderId="21" xfId="0" applyBorder="1" applyProtection="1"/>
    <xf numFmtId="0" fontId="6" fillId="0" borderId="21" xfId="0" applyFont="1" applyBorder="1" applyProtection="1"/>
    <xf numFmtId="2" fontId="15" fillId="3" borderId="11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23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23" xfId="5" applyNumberFormat="1" applyFont="1" applyFill="1" applyBorder="1" applyAlignment="1" applyProtection="1">
      <alignment vertical="center" wrapText="1"/>
      <protection locked="0"/>
    </xf>
    <xf numFmtId="2" fontId="15" fillId="3" borderId="11" xfId="1" applyNumberFormat="1" applyFont="1" applyFill="1" applyBorder="1" applyAlignment="1" applyProtection="1">
      <alignment horizontal="center" vertical="center"/>
      <protection locked="0"/>
    </xf>
    <xf numFmtId="2" fontId="15" fillId="3" borderId="14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24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24" xfId="5" applyNumberFormat="1" applyFont="1" applyFill="1" applyBorder="1" applyAlignment="1" applyProtection="1">
      <alignment vertical="center" wrapText="1"/>
      <protection locked="0"/>
    </xf>
    <xf numFmtId="2" fontId="15" fillId="3" borderId="14" xfId="1" applyNumberFormat="1" applyFont="1" applyFill="1" applyBorder="1" applyAlignment="1" applyProtection="1">
      <alignment horizontal="center" vertical="center"/>
      <protection locked="0"/>
    </xf>
    <xf numFmtId="2" fontId="15" fillId="3" borderId="16" xfId="1" applyNumberFormat="1" applyFont="1" applyFill="1" applyBorder="1" applyAlignment="1" applyProtection="1">
      <alignment horizontal="center" vertical="center"/>
      <protection locked="0"/>
    </xf>
    <xf numFmtId="2" fontId="15" fillId="3" borderId="16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18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25" xfId="5" applyNumberFormat="1" applyFont="1" applyFill="1" applyBorder="1" applyAlignment="1" applyProtection="1">
      <alignment horizontal="center" vertical="center" wrapText="1"/>
      <protection locked="0"/>
    </xf>
    <xf numFmtId="2" fontId="15" fillId="3" borderId="18" xfId="1" applyNumberFormat="1" applyFont="1" applyFill="1" applyBorder="1" applyAlignment="1" applyProtection="1">
      <alignment horizontal="center" vertical="center"/>
      <protection locked="0"/>
    </xf>
    <xf numFmtId="2" fontId="15" fillId="3" borderId="19" xfId="1" applyNumberFormat="1" applyFont="1" applyFill="1" applyBorder="1" applyAlignment="1" applyProtection="1">
      <alignment horizontal="center" vertical="center"/>
      <protection locked="0"/>
    </xf>
    <xf numFmtId="2" fontId="15" fillId="3" borderId="19" xfId="5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21" xfId="0" applyBorder="1" applyProtection="1"/>
    <xf numFmtId="0" fontId="8" fillId="0" borderId="0" xfId="4" applyFont="1" applyAlignment="1" applyProtection="1">
      <alignment horizontal="right" wrapText="1"/>
    </xf>
    <xf numFmtId="0" fontId="0" fillId="0" borderId="0" xfId="0"/>
    <xf numFmtId="0" fontId="0" fillId="0" borderId="0" xfId="0" applyBorder="1" applyProtection="1">
      <protection locked="0"/>
    </xf>
    <xf numFmtId="2" fontId="15" fillId="0" borderId="39" xfId="5" applyNumberFormat="1" applyFont="1" applyBorder="1" applyAlignment="1" applyProtection="1">
      <alignment horizontal="center" vertical="center" wrapText="1"/>
    </xf>
    <xf numFmtId="0" fontId="6" fillId="0" borderId="2" xfId="5" applyFont="1" applyBorder="1" applyAlignment="1" applyProtection="1">
      <alignment horizontal="right" vertical="center" indent="1"/>
    </xf>
    <xf numFmtId="0" fontId="0" fillId="0" borderId="0" xfId="0" applyProtection="1"/>
    <xf numFmtId="0" fontId="8" fillId="0" borderId="0" xfId="4" applyFont="1" applyAlignment="1" applyProtection="1">
      <alignment horizontal="right" wrapText="1"/>
    </xf>
    <xf numFmtId="0" fontId="6" fillId="0" borderId="21" xfId="6" applyFont="1" applyBorder="1" applyAlignment="1" applyProtection="1">
      <alignment vertical="center" wrapText="1"/>
    </xf>
    <xf numFmtId="0" fontId="0" fillId="0" borderId="0" xfId="0"/>
    <xf numFmtId="0" fontId="0" fillId="0" borderId="0" xfId="0"/>
    <xf numFmtId="2" fontId="9" fillId="0" borderId="14" xfId="0" applyNumberFormat="1" applyFont="1" applyBorder="1" applyAlignment="1" applyProtection="1">
      <alignment horizontal="center" vertical="center" wrapText="1"/>
      <protection locked="0"/>
    </xf>
    <xf numFmtId="0" fontId="6" fillId="0" borderId="0" xfId="5" applyFont="1" applyBorder="1" applyAlignment="1" applyProtection="1">
      <alignment horizontal="right" vertical="center" indent="1"/>
    </xf>
    <xf numFmtId="2" fontId="15" fillId="0" borderId="42" xfId="5" applyNumberFormat="1" applyFont="1" applyBorder="1" applyAlignment="1" applyProtection="1">
      <alignment horizontal="center" vertical="center" wrapText="1"/>
    </xf>
    <xf numFmtId="2" fontId="15" fillId="0" borderId="42" xfId="1" applyNumberFormat="1" applyFont="1" applyBorder="1" applyAlignment="1" applyProtection="1">
      <alignment horizontal="center" vertical="center"/>
    </xf>
    <xf numFmtId="2" fontId="15" fillId="0" borderId="43" xfId="1" applyNumberFormat="1" applyFont="1" applyBorder="1" applyAlignment="1" applyProtection="1">
      <alignment horizontal="center" vertical="center"/>
    </xf>
    <xf numFmtId="2" fontId="15" fillId="0" borderId="14" xfId="5" applyNumberFormat="1" applyFont="1" applyBorder="1" applyAlignment="1" applyProtection="1">
      <alignment horizontal="center" vertical="center" wrapText="1"/>
    </xf>
    <xf numFmtId="2" fontId="15" fillId="0" borderId="14" xfId="1" applyNumberFormat="1" applyFont="1" applyBorder="1" applyAlignment="1" applyProtection="1">
      <alignment horizontal="center" vertical="center"/>
    </xf>
    <xf numFmtId="2" fontId="15" fillId="0" borderId="18" xfId="5" applyNumberFormat="1" applyFont="1" applyBorder="1" applyAlignment="1" applyProtection="1">
      <alignment horizontal="center" vertical="center" wrapText="1"/>
    </xf>
    <xf numFmtId="2" fontId="15" fillId="0" borderId="18" xfId="1" applyNumberFormat="1" applyFont="1" applyBorder="1" applyAlignment="1" applyProtection="1">
      <alignment horizontal="center" vertical="center"/>
    </xf>
    <xf numFmtId="164" fontId="9" fillId="0" borderId="14" xfId="0" applyNumberFormat="1" applyFont="1" applyBorder="1" applyAlignment="1" applyProtection="1">
      <alignment horizontal="center" vertical="center" wrapText="1"/>
      <protection locked="0"/>
    </xf>
    <xf numFmtId="164" fontId="9" fillId="0" borderId="14" xfId="0" applyNumberFormat="1" applyFont="1" applyBorder="1" applyAlignment="1" applyProtection="1">
      <alignment horizontal="center" vertical="center"/>
      <protection locked="0"/>
    </xf>
    <xf numFmtId="2" fontId="9" fillId="0" borderId="14" xfId="0" applyNumberFormat="1" applyFont="1" applyBorder="1" applyAlignment="1" applyProtection="1">
      <alignment horizontal="center" vertical="center"/>
      <protection locked="0"/>
    </xf>
    <xf numFmtId="9" fontId="9" fillId="0" borderId="14" xfId="1" applyNumberFormat="1" applyFont="1" applyBorder="1" applyAlignment="1" applyProtection="1">
      <alignment horizontal="center" vertical="center"/>
    </xf>
    <xf numFmtId="14" fontId="9" fillId="0" borderId="6" xfId="6" applyNumberFormat="1" applyFont="1" applyBorder="1" applyAlignment="1" applyProtection="1">
      <alignment horizontal="center" wrapText="1"/>
    </xf>
    <xf numFmtId="0" fontId="0" fillId="0" borderId="6" xfId="0" applyBorder="1" applyProtection="1"/>
    <xf numFmtId="0" fontId="8" fillId="0" borderId="0" xfId="4" applyFont="1" applyAlignment="1" applyProtection="1">
      <alignment horizontal="right" wrapText="1"/>
    </xf>
    <xf numFmtId="0" fontId="0" fillId="0" borderId="0" xfId="0" applyProtection="1"/>
    <xf numFmtId="0" fontId="6" fillId="0" borderId="0" xfId="5" applyFont="1" applyAlignment="1" applyProtection="1">
      <alignment horizontal="center" vertical="center"/>
    </xf>
    <xf numFmtId="0" fontId="6" fillId="0" borderId="0" xfId="5" applyFont="1" applyAlignment="1" applyProtection="1">
      <alignment horizontal="right"/>
    </xf>
    <xf numFmtId="0" fontId="12" fillId="0" borderId="4" xfId="3" applyFont="1" applyBorder="1" applyAlignment="1" applyProtection="1">
      <alignment horizontal="left"/>
    </xf>
    <xf numFmtId="0" fontId="10" fillId="0" borderId="21" xfId="4" applyFont="1" applyBorder="1" applyAlignment="1" applyProtection="1">
      <alignment horizontal="center" vertical="center" wrapText="1"/>
    </xf>
    <xf numFmtId="0" fontId="0" fillId="0" borderId="21" xfId="0" applyBorder="1" applyProtection="1"/>
    <xf numFmtId="0" fontId="6" fillId="0" borderId="0" xfId="5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8" xfId="5" applyFont="1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6" fillId="0" borderId="5" xfId="6" applyFont="1" applyAlignment="1" applyProtection="1">
      <alignment horizontal="center" vertical="center" wrapText="1"/>
    </xf>
    <xf numFmtId="0" fontId="0" fillId="0" borderId="5" xfId="0" applyBorder="1" applyProtection="1"/>
    <xf numFmtId="0" fontId="6" fillId="0" borderId="6" xfId="6" applyFont="1" applyBorder="1" applyAlignment="1" applyProtection="1">
      <alignment horizontal="center" vertical="center" wrapText="1"/>
      <protection locked="0"/>
    </xf>
    <xf numFmtId="0" fontId="0" fillId="0" borderId="6" xfId="0" applyBorder="1" applyProtection="1">
      <protection locked="0"/>
    </xf>
    <xf numFmtId="14" fontId="6" fillId="0" borderId="6" xfId="6" applyNumberFormat="1" applyFont="1" applyBorder="1" applyAlignment="1" applyProtection="1">
      <alignment horizontal="center" wrapText="1"/>
    </xf>
    <xf numFmtId="164" fontId="6" fillId="0" borderId="0" xfId="6" applyNumberFormat="1" applyFont="1" applyBorder="1" applyAlignment="1" applyProtection="1">
      <alignment horizontal="center" wrapText="1"/>
    </xf>
    <xf numFmtId="14" fontId="9" fillId="0" borderId="5" xfId="6" applyNumberFormat="1" applyFont="1" applyAlignment="1" applyProtection="1">
      <alignment horizontal="center" wrapText="1"/>
    </xf>
    <xf numFmtId="0" fontId="6" fillId="0" borderId="6" xfId="5" applyFont="1" applyBorder="1" applyAlignment="1" applyProtection="1">
      <alignment horizontal="center"/>
      <protection locked="0"/>
    </xf>
    <xf numFmtId="0" fontId="6" fillId="0" borderId="21" xfId="6" applyFont="1" applyBorder="1" applyAlignment="1" applyProtection="1">
      <alignment vertical="center" wrapText="1"/>
    </xf>
    <xf numFmtId="0" fontId="10" fillId="0" borderId="0" xfId="4" applyFont="1" applyAlignment="1" applyProtection="1">
      <alignment horizontal="center" vertical="center" wrapText="1"/>
    </xf>
    <xf numFmtId="0" fontId="12" fillId="2" borderId="34" xfId="5" applyFont="1" applyFill="1" applyBorder="1" applyAlignment="1">
      <alignment horizontal="center" vertical="center" wrapText="1"/>
    </xf>
    <xf numFmtId="0" fontId="12" fillId="2" borderId="35" xfId="5" applyFont="1" applyFill="1" applyBorder="1" applyAlignment="1">
      <alignment horizontal="center" vertical="center" wrapText="1"/>
    </xf>
    <xf numFmtId="14" fontId="17" fillId="0" borderId="13" xfId="0" applyNumberFormat="1" applyFont="1" applyBorder="1" applyAlignment="1" applyProtection="1">
      <alignment horizontal="center" vertical="center"/>
      <protection locked="0"/>
    </xf>
    <xf numFmtId="14" fontId="17" fillId="0" borderId="24" xfId="0" applyNumberFormat="1" applyFont="1" applyBorder="1" applyAlignment="1" applyProtection="1">
      <alignment horizontal="center" vertical="center"/>
      <protection locked="0"/>
    </xf>
    <xf numFmtId="0" fontId="0" fillId="0" borderId="0" xfId="0"/>
    <xf numFmtId="14" fontId="9" fillId="0" borderId="6" xfId="6" applyNumberFormat="1" applyFont="1" applyBorder="1" applyAlignment="1">
      <alignment horizontal="center" wrapText="1"/>
    </xf>
    <xf numFmtId="0" fontId="0" fillId="0" borderId="6" xfId="0" applyBorder="1"/>
    <xf numFmtId="164" fontId="9" fillId="0" borderId="6" xfId="6" applyNumberFormat="1" applyFont="1" applyBorder="1" applyAlignment="1">
      <alignment horizontal="center" wrapText="1"/>
    </xf>
    <xf numFmtId="0" fontId="14" fillId="0" borderId="0" xfId="5" applyAlignment="1">
      <alignment horizontal="right" vertical="center" indent="1"/>
    </xf>
    <xf numFmtId="14" fontId="6" fillId="0" borderId="6" xfId="6" applyNumberFormat="1" applyFont="1" applyBorder="1" applyAlignment="1">
      <alignment horizontal="center" wrapText="1"/>
    </xf>
    <xf numFmtId="0" fontId="7" fillId="0" borderId="0" xfId="4" applyAlignment="1">
      <alignment horizontal="right" vertical="center" wrapText="1"/>
    </xf>
    <xf numFmtId="0" fontId="0" fillId="0" borderId="2" xfId="0" applyBorder="1"/>
    <xf numFmtId="0" fontId="12" fillId="2" borderId="26" xfId="5" applyFont="1" applyFill="1" applyBorder="1" applyAlignment="1">
      <alignment horizontal="center" vertical="center"/>
    </xf>
    <xf numFmtId="0" fontId="0" fillId="0" borderId="33" xfId="0" applyBorder="1"/>
    <xf numFmtId="0" fontId="0" fillId="0" borderId="10" xfId="0" applyBorder="1"/>
    <xf numFmtId="2" fontId="9" fillId="0" borderId="14" xfId="0" applyNumberFormat="1" applyFont="1" applyBorder="1" applyAlignment="1" applyProtection="1">
      <alignment horizontal="center" vertical="center" wrapText="1"/>
      <protection locked="0"/>
    </xf>
    <xf numFmtId="0" fontId="9" fillId="0" borderId="14" xfId="0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0" fontId="12" fillId="2" borderId="26" xfId="5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20" xfId="0" applyBorder="1"/>
    <xf numFmtId="0" fontId="0" fillId="0" borderId="22" xfId="0" applyBorder="1"/>
    <xf numFmtId="14" fontId="17" fillId="0" borderId="17" xfId="0" applyNumberFormat="1" applyFont="1" applyBorder="1" applyAlignment="1" applyProtection="1">
      <alignment horizontal="center" vertical="center"/>
      <protection locked="0"/>
    </xf>
    <xf numFmtId="0" fontId="0" fillId="0" borderId="24" xfId="0" applyBorder="1" applyProtection="1">
      <protection locked="0"/>
    </xf>
    <xf numFmtId="0" fontId="9" fillId="0" borderId="6" xfId="6" applyFont="1" applyBorder="1" applyAlignment="1" applyProtection="1">
      <alignment horizontal="center" wrapText="1"/>
      <protection locked="0"/>
    </xf>
    <xf numFmtId="0" fontId="0" fillId="0" borderId="35" xfId="0" applyBorder="1"/>
    <xf numFmtId="0" fontId="12" fillId="0" borderId="4" xfId="3" applyFont="1" applyBorder="1" applyAlignment="1">
      <alignment horizontal="left"/>
    </xf>
    <xf numFmtId="2" fontId="9" fillId="0" borderId="38" xfId="0" applyNumberFormat="1" applyFont="1" applyBorder="1" applyAlignment="1" applyProtection="1">
      <alignment horizontal="center" vertical="center" wrapText="1"/>
      <protection locked="0"/>
    </xf>
    <xf numFmtId="0" fontId="0" fillId="0" borderId="38" xfId="0" applyBorder="1" applyProtection="1">
      <protection locked="0"/>
    </xf>
    <xf numFmtId="0" fontId="9" fillId="0" borderId="6" xfId="6" applyFont="1" applyBorder="1" applyAlignment="1">
      <alignment horizontal="center" wrapText="1"/>
    </xf>
    <xf numFmtId="0" fontId="14" fillId="0" borderId="36" xfId="5" applyBorder="1" applyAlignment="1">
      <alignment horizontal="right" vertical="center" indent="1"/>
    </xf>
    <xf numFmtId="0" fontId="0" fillId="0" borderId="36" xfId="0" applyBorder="1"/>
  </cellXfs>
  <cellStyles count="7">
    <cellStyle name="Encabezado 1" xfId="3" builtinId="16"/>
    <cellStyle name="Normal" xfId="0" builtinId="0"/>
    <cellStyle name="Porcentaje" xfId="1" builtinId="5"/>
    <cellStyle name="Texto de etiqueta" xfId="6"/>
    <cellStyle name="Título" xfId="2" builtinId="15"/>
    <cellStyle name="Título 2" xfId="4" builtinId="17"/>
    <cellStyle name="Título 3" xfId="5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98</xdr:row>
          <xdr:rowOff>352425</xdr:rowOff>
        </xdr:from>
        <xdr:to>
          <xdr:col>2</xdr:col>
          <xdr:colOff>2105025</xdr:colOff>
          <xdr:row>100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14</xdr:row>
          <xdr:rowOff>352425</xdr:rowOff>
        </xdr:from>
        <xdr:to>
          <xdr:col>2</xdr:col>
          <xdr:colOff>2105025</xdr:colOff>
          <xdr:row>16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466725</xdr:rowOff>
        </xdr:from>
        <xdr:to>
          <xdr:col>2</xdr:col>
          <xdr:colOff>1285875</xdr:colOff>
          <xdr:row>13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/>
      <sheetData sheetId="1"/>
      <sheetData sheetId="2">
        <row r="9">
          <cell r="CJ9" t="str">
            <v>Fresas</v>
          </cell>
        </row>
      </sheetData>
      <sheetData sheetId="3"/>
      <sheetData sheetId="4">
        <row r="10">
          <cell r="AE10" t="str">
            <v>Espejo Joaquin</v>
          </cell>
        </row>
      </sheetData>
      <sheetData sheetId="5">
        <row r="11">
          <cell r="D11" t="str">
            <v>Compresor</v>
          </cell>
        </row>
      </sheetData>
      <sheetData sheetId="6">
        <row r="9">
          <cell r="D9" t="str">
            <v>Bateria Control CNC</v>
          </cell>
        </row>
      </sheetData>
      <sheetData sheetId="7">
        <row r="9">
          <cell r="N9" t="str">
            <v>Corte por Laser</v>
          </cell>
        </row>
      </sheetData>
      <sheetData sheetId="8"/>
      <sheetData sheetId="9"/>
      <sheetData sheetId="10">
        <row r="3">
          <cell r="C3" t="str">
            <v>Corte por Laser</v>
          </cell>
        </row>
      </sheetData>
      <sheetData sheetId="11">
        <row r="3">
          <cell r="C3" t="str">
            <v>Corte por Agua</v>
          </cell>
        </row>
      </sheetData>
      <sheetData sheetId="12">
        <row r="3">
          <cell r="C3" t="str">
            <v>TORNO RIFA RFCZ12</v>
          </cell>
        </row>
      </sheetData>
      <sheetData sheetId="13">
        <row r="3">
          <cell r="C3" t="str">
            <v>TORNO Microcut LT65</v>
          </cell>
        </row>
      </sheetData>
      <sheetData sheetId="14">
        <row r="3">
          <cell r="C3" t="str">
            <v>TORNO HWACHEON CUTEX 240B</v>
          </cell>
        </row>
      </sheetData>
      <sheetData sheetId="15">
        <row r="3">
          <cell r="C3" t="str">
            <v>CM RIFA RFVM60</v>
          </cell>
        </row>
      </sheetData>
      <sheetData sheetId="16">
        <row r="3">
          <cell r="C3" t="str">
            <v>CM HWACHEON SIRIUS 550</v>
          </cell>
        </row>
      </sheetData>
      <sheetData sheetId="17">
        <row r="3">
          <cell r="C3" t="str">
            <v>CM Mitsubishi</v>
          </cell>
        </row>
      </sheetData>
      <sheetData sheetId="18">
        <row r="3">
          <cell r="C3" t="str">
            <v>CM RIFA 4 Ejes</v>
          </cell>
        </row>
      </sheetData>
      <sheetData sheetId="19">
        <row r="3">
          <cell r="C3" t="str">
            <v>Agujereadora</v>
          </cell>
        </row>
      </sheetData>
      <sheetData sheetId="20">
        <row r="3">
          <cell r="C3" t="str">
            <v>Roscadora</v>
          </cell>
        </row>
      </sheetData>
      <sheetData sheetId="21">
        <row r="3">
          <cell r="C3" t="str">
            <v>Torno Paralelo Chico</v>
          </cell>
        </row>
      </sheetData>
      <sheetData sheetId="22">
        <row r="3">
          <cell r="C3" t="str">
            <v>Torno Paralelo Grande</v>
          </cell>
        </row>
      </sheetData>
      <sheetData sheetId="23">
        <row r="3">
          <cell r="C3" t="str">
            <v>Piedra de Banco</v>
          </cell>
        </row>
      </sheetData>
      <sheetData sheetId="24">
        <row r="3">
          <cell r="C3" t="str">
            <v>Maquina Corta Cadenas</v>
          </cell>
        </row>
      </sheetData>
      <sheetData sheetId="25">
        <row r="3">
          <cell r="C3" t="str">
            <v>Serrucho</v>
          </cell>
        </row>
      </sheetData>
      <sheetData sheetId="26">
        <row r="3">
          <cell r="C3" t="str">
            <v>Sierra Sensitiva</v>
          </cell>
        </row>
      </sheetData>
      <sheetData sheetId="27">
        <row r="3">
          <cell r="C3" t="str">
            <v>Soldadora</v>
          </cell>
        </row>
      </sheetData>
      <sheetData sheetId="28">
        <row r="3">
          <cell r="C3" t="str">
            <v>Agujereadora (Taller)</v>
          </cell>
        </row>
      </sheetData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  <sheetName val="HERMANADORA AUT MS03 DP 02HTQJ2"/>
      <sheetName val="HERMANADORA AUT JAULA-MS03"/>
      <sheetName val="ENGRASADORA MS03  0510-5120051"/>
      <sheetName val="HERMANADORA AUT MS04 DP 03TQJ3"/>
      <sheetName val="HERMANADORA AUT JAULA-MS04"/>
    </sheetNames>
    <sheetDataSet>
      <sheetData sheetId="0"/>
      <sheetData sheetId="1"/>
      <sheetData sheetId="2">
        <row r="9">
          <cell r="E9" t="str">
            <v>ENGRASADORA MANUAL</v>
          </cell>
        </row>
      </sheetData>
      <sheetData sheetId="3">
        <row r="11">
          <cell r="D11" t="str">
            <v>Compresor</v>
          </cell>
        </row>
      </sheetData>
      <sheetData sheetId="4">
        <row r="9">
          <cell r="D9" t="str">
            <v>Repuesto 1</v>
          </cell>
        </row>
      </sheetData>
      <sheetData sheetId="5">
        <row r="9">
          <cell r="B9" t="str">
            <v>Fijadores</v>
          </cell>
        </row>
      </sheetData>
      <sheetData sheetId="6">
        <row r="9">
          <cell r="N9" t="str">
            <v>ENGRASADORA MANUAL</v>
          </cell>
        </row>
      </sheetData>
      <sheetData sheetId="7">
        <row r="3">
          <cell r="C3" t="str">
            <v>ENGRASADORA MANUAL</v>
          </cell>
        </row>
      </sheetData>
      <sheetData sheetId="8">
        <row r="3">
          <cell r="C3" t="str">
            <v>PRENSA QY-10-1</v>
          </cell>
        </row>
      </sheetData>
      <sheetData sheetId="9">
        <row r="3">
          <cell r="C3" t="str">
            <v>PRENSA QY-10-2</v>
          </cell>
        </row>
      </sheetData>
      <sheetData sheetId="10">
        <row r="3">
          <cell r="C3" t="str">
            <v>PRENSA QY-10-3</v>
          </cell>
        </row>
      </sheetData>
      <sheetData sheetId="11">
        <row r="3">
          <cell r="C3" t="str">
            <v>LAVADORA 0448</v>
          </cell>
        </row>
      </sheetData>
      <sheetData sheetId="12">
        <row r="3">
          <cell r="C3" t="str">
            <v>TB-SCAMRIVT-40120 CONICO 518</v>
          </cell>
        </row>
      </sheetData>
      <sheetData sheetId="13">
        <row r="3">
          <cell r="C3" t="str">
            <v>TE-SCAMRIVT-2060 CONICO 30207</v>
          </cell>
        </row>
      </sheetData>
      <sheetData sheetId="14">
        <row r="3">
          <cell r="C3" t="str">
            <v>HERMANADORA MANUAL IM247</v>
          </cell>
        </row>
      </sheetData>
      <sheetData sheetId="15">
        <row r="3">
          <cell r="C3" t="str">
            <v>HER. AUT MS03 DP 02HTQJ2</v>
          </cell>
        </row>
      </sheetData>
      <sheetData sheetId="16">
        <row r="3">
          <cell r="C3" t="str">
            <v>HER. AUT JAULA MS03 BCJL02A</v>
          </cell>
        </row>
      </sheetData>
      <sheetData sheetId="17">
        <row r="3">
          <cell r="C3" t="str">
            <v>ENGRASADORA MS03 0510-5120051</v>
          </cell>
        </row>
      </sheetData>
      <sheetData sheetId="18">
        <row r="3">
          <cell r="C3" t="str">
            <v>HER. AUT MS04 DP 03TQJ3</v>
          </cell>
        </row>
      </sheetData>
      <sheetData sheetId="19">
        <row r="3">
          <cell r="C3" t="str">
            <v>HER. AUT JAULA MS04 BCJL02A</v>
          </cell>
        </row>
      </sheetData>
      <sheetData sheetId="20">
        <row r="3">
          <cell r="C3" t="str">
            <v>ENGRASADORA AUTOMATICA MS04 ZYJ3H</v>
          </cell>
        </row>
      </sheetData>
      <sheetData sheetId="21">
        <row r="3">
          <cell r="C3" t="str">
            <v>LASER CHICO 30</v>
          </cell>
        </row>
      </sheetData>
      <sheetData sheetId="22">
        <row r="3">
          <cell r="C3" t="str">
            <v>LASER GRANDE 50</v>
          </cell>
        </row>
      </sheetData>
      <sheetData sheetId="23">
        <row r="3">
          <cell r="C3" t="str">
            <v>PRENSA QY-16</v>
          </cell>
        </row>
      </sheetData>
      <sheetData sheetId="24">
        <row r="3">
          <cell r="C3" t="str">
            <v>LAVADORA QXC-1-2 MS03</v>
          </cell>
        </row>
      </sheetData>
      <sheetData sheetId="25">
        <row r="3">
          <cell r="C3" t="str">
            <v>LAVADORA QXC-1 MS04</v>
          </cell>
        </row>
      </sheetData>
      <sheetData sheetId="26">
        <row r="3">
          <cell r="C3" t="str">
            <v>ANDEROMETRO IM-250</v>
          </cell>
        </row>
      </sheetData>
      <sheetData sheetId="27">
        <row r="3">
          <cell r="C3" t="str">
            <v>ANDEROMETRO IM251</v>
          </cell>
        </row>
      </sheetData>
      <sheetData sheetId="28">
        <row r="3">
          <cell r="C3" t="str">
            <v>HERMANADORA AUT MS05 LHT90</v>
          </cell>
        </row>
      </sheetData>
      <sheetData sheetId="29">
        <row r="3">
          <cell r="C3" t="str">
            <v>HER. AUT JAULA MS05 BCJT03</v>
          </cell>
        </row>
      </sheetData>
      <sheetData sheetId="30">
        <row r="3">
          <cell r="C3" t="str">
            <v>PD52 POACHER</v>
          </cell>
        </row>
      </sheetData>
      <sheetData sheetId="31">
        <row r="3">
          <cell r="C3" t="str">
            <v>RADIAL X095B</v>
          </cell>
        </row>
      </sheetData>
      <sheetData sheetId="32">
        <row r="3">
          <cell r="C3" t="str">
            <v>LAVADO MANUAL PMT25-36</v>
          </cell>
        </row>
      </sheetData>
      <sheetData sheetId="33">
        <row r="3">
          <cell r="C3" t="str">
            <v>HERMANADORA MANUAL IM248</v>
          </cell>
        </row>
      </sheetData>
      <sheetData sheetId="34">
        <row r="3">
          <cell r="C3" t="str">
            <v>RADIAL X095A</v>
          </cell>
        </row>
      </sheetData>
      <sheetData sheetId="35">
        <row r="3">
          <cell r="C3" t="str">
            <v>DESIMANTADOR NS-400-B1</v>
          </cell>
        </row>
      </sheetData>
      <sheetData sheetId="36">
        <row r="3">
          <cell r="C3" t="str">
            <v>LAVADORA GRANDE PMD-SJ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/>
      <sheetData sheetId="1"/>
      <sheetData sheetId="2">
        <row r="10">
          <cell r="AE10" t="str">
            <v>Ortiz Raul Edgardo</v>
          </cell>
        </row>
      </sheetData>
      <sheetData sheetId="3">
        <row r="11">
          <cell r="D11" t="str">
            <v>Compresor</v>
          </cell>
        </row>
      </sheetData>
      <sheetData sheetId="4"/>
      <sheetData sheetId="5">
        <row r="9">
          <cell r="B9" t="str">
            <v>Order Picker Crown 30SP42TT</v>
          </cell>
        </row>
        <row r="15">
          <cell r="B15" t="str">
            <v>Order Picker Crown 45RRTT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/>
      <sheetData sheetId="1"/>
      <sheetData sheetId="2"/>
      <sheetData sheetId="3"/>
      <sheetData sheetId="4">
        <row r="10">
          <cell r="B10" t="str">
            <v>Embaladora de Pallets</v>
          </cell>
        </row>
        <row r="16">
          <cell r="B16" t="str">
            <v>Etiquetadora Zebra ZD421</v>
          </cell>
        </row>
        <row r="22">
          <cell r="B22" t="str">
            <v>Etiquetadora Zebra ZT230 (1)</v>
          </cell>
        </row>
        <row r="28">
          <cell r="B28" t="str">
            <v>Etiquetadora Zebra ZT230 (2)</v>
          </cell>
        </row>
        <row r="40">
          <cell r="B40" t="str">
            <v>Embaladora Auto. G. QD-450X</v>
          </cell>
        </row>
        <row r="46">
          <cell r="B46" t="str">
            <v>Embaladora Auto. C. QD-250X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  <pageSetUpPr autoPageBreaks="0" fitToPage="1"/>
  </sheetPr>
  <dimension ref="A1:M113"/>
  <sheetViews>
    <sheetView showGridLines="0" tabSelected="1" topLeftCell="A55" zoomScale="80" zoomScaleNormal="80" workbookViewId="0">
      <selection activeCell="D70" sqref="D70"/>
    </sheetView>
  </sheetViews>
  <sheetFormatPr baseColWidth="10" defaultColWidth="9.140625" defaultRowHeight="30" customHeight="1"/>
  <cols>
    <col min="1" max="1" width="2.7109375" style="33" customWidth="1"/>
    <col min="2" max="2" width="4.42578125" style="33" customWidth="1"/>
    <col min="3" max="3" width="32.28515625" style="33" bestFit="1" customWidth="1"/>
    <col min="4" max="4" width="31.42578125" style="33" customWidth="1"/>
    <col min="5" max="5" width="13.42578125" style="33" customWidth="1"/>
    <col min="6" max="6" width="12.28515625" style="33" customWidth="1"/>
    <col min="7" max="7" width="21.28515625" style="33" customWidth="1"/>
    <col min="8" max="8" width="15.7109375" style="33" customWidth="1"/>
    <col min="9" max="9" width="20.85546875" style="53" customWidth="1"/>
    <col min="10" max="10" width="15.7109375" style="33" bestFit="1" customWidth="1"/>
    <col min="11" max="11" width="38.7109375" style="33" customWidth="1"/>
    <col min="12" max="12" width="2.7109375" style="33" customWidth="1"/>
    <col min="13" max="13" width="3" style="33" customWidth="1"/>
  </cols>
  <sheetData>
    <row r="1" spans="1:13" ht="12" customHeight="1" thickBot="1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3" ht="30" customHeight="1">
      <c r="A2" s="58"/>
      <c r="B2" s="59" t="s">
        <v>0</v>
      </c>
      <c r="C2" s="60"/>
      <c r="D2" s="60"/>
      <c r="E2" s="61"/>
      <c r="F2" s="61"/>
      <c r="G2" s="61"/>
      <c r="H2" s="61"/>
      <c r="I2" s="61"/>
      <c r="J2" s="61"/>
      <c r="K2" s="61"/>
      <c r="L2" s="62"/>
      <c r="M2" s="58"/>
    </row>
    <row r="3" spans="1:13" ht="30" customHeight="1">
      <c r="A3" s="58"/>
      <c r="B3" s="63"/>
      <c r="C3" s="64" t="s">
        <v>1</v>
      </c>
      <c r="D3" s="65" t="s">
        <v>2</v>
      </c>
      <c r="E3" s="166" t="s">
        <v>3</v>
      </c>
      <c r="F3" s="167"/>
      <c r="G3" s="164">
        <f ca="1">TODAY()</f>
        <v>46008</v>
      </c>
      <c r="H3" s="165"/>
      <c r="I3" s="66"/>
      <c r="J3" s="58"/>
      <c r="K3" s="67"/>
      <c r="L3" s="68"/>
      <c r="M3" s="58"/>
    </row>
    <row r="4" spans="1:13" ht="30" customHeight="1">
      <c r="A4" s="58"/>
      <c r="B4" s="170" t="s">
        <v>4</v>
      </c>
      <c r="C4" s="167"/>
      <c r="D4" s="167"/>
      <c r="E4" s="69"/>
      <c r="F4" s="70"/>
      <c r="G4" s="58"/>
      <c r="H4" s="71"/>
      <c r="I4" s="71"/>
      <c r="J4" s="71"/>
      <c r="K4" s="71"/>
      <c r="L4" s="68"/>
      <c r="M4" s="58"/>
    </row>
    <row r="5" spans="1:13" ht="30" customHeight="1">
      <c r="A5" s="58"/>
      <c r="B5" s="63"/>
      <c r="C5" s="72" t="s">
        <v>5</v>
      </c>
      <c r="D5" s="57" t="s">
        <v>6</v>
      </c>
      <c r="E5" s="169" t="s">
        <v>7</v>
      </c>
      <c r="F5" s="167"/>
      <c r="G5" s="173" t="s">
        <v>8</v>
      </c>
      <c r="H5" s="174"/>
      <c r="I5" s="58"/>
      <c r="J5" s="71"/>
      <c r="K5" s="73"/>
      <c r="L5" s="68"/>
      <c r="M5" s="58"/>
    </row>
    <row r="6" spans="1:13" ht="30" customHeight="1">
      <c r="A6" s="58"/>
      <c r="B6" s="63"/>
      <c r="C6" s="72" t="s">
        <v>9</v>
      </c>
      <c r="D6" s="57" t="s">
        <v>10</v>
      </c>
      <c r="E6" s="169" t="s">
        <v>11</v>
      </c>
      <c r="F6" s="167"/>
      <c r="G6" s="175" t="s">
        <v>12</v>
      </c>
      <c r="H6" s="176"/>
      <c r="I6" s="66"/>
      <c r="J6" s="71"/>
      <c r="K6" s="73"/>
      <c r="L6" s="68"/>
      <c r="M6" s="58"/>
    </row>
    <row r="7" spans="1:13" ht="30" customHeight="1" thickBot="1">
      <c r="A7" s="58"/>
      <c r="B7" s="63"/>
      <c r="C7" s="73"/>
      <c r="D7" s="73"/>
      <c r="E7" s="74"/>
      <c r="F7" s="74"/>
      <c r="G7" s="73"/>
      <c r="H7" s="73"/>
      <c r="I7" s="73"/>
      <c r="J7" s="75"/>
      <c r="K7" s="73"/>
      <c r="L7" s="68"/>
      <c r="M7" s="58"/>
    </row>
    <row r="8" spans="1:13" ht="32.25" customHeight="1" thickBot="1">
      <c r="A8" s="58"/>
      <c r="B8" s="76" t="s">
        <v>13</v>
      </c>
      <c r="C8" s="77" t="s">
        <v>14</v>
      </c>
      <c r="D8" s="77" t="s">
        <v>15</v>
      </c>
      <c r="E8" s="77" t="s">
        <v>16</v>
      </c>
      <c r="F8" s="77" t="s">
        <v>17</v>
      </c>
      <c r="G8" s="77" t="s">
        <v>18</v>
      </c>
      <c r="H8" s="78" t="s">
        <v>19</v>
      </c>
      <c r="I8" s="79" t="s">
        <v>74</v>
      </c>
      <c r="J8" s="80" t="s">
        <v>20</v>
      </c>
      <c r="K8" s="81" t="s">
        <v>21</v>
      </c>
      <c r="L8" s="68"/>
      <c r="M8" s="58"/>
    </row>
    <row r="9" spans="1:13" ht="30" customHeight="1">
      <c r="A9" s="58"/>
      <c r="B9" s="82">
        <v>1</v>
      </c>
      <c r="C9" s="83" t="s">
        <v>22</v>
      </c>
      <c r="D9" s="84" t="str">
        <f>'[1]Corte por Laser'!$C$3</f>
        <v>Corte por Laser</v>
      </c>
      <c r="E9" s="101">
        <v>1</v>
      </c>
      <c r="F9" s="101">
        <v>80</v>
      </c>
      <c r="G9" s="101">
        <v>380</v>
      </c>
      <c r="H9" s="101"/>
      <c r="I9" s="102">
        <v>0.6</v>
      </c>
      <c r="J9" s="85">
        <f t="shared" ref="J9:J40" si="0">F9/SUMPRODUCT($E$9:$F$98)</f>
        <v>6.2331801529310754E-2</v>
      </c>
      <c r="K9" s="86" t="s">
        <v>79</v>
      </c>
      <c r="L9" s="68"/>
      <c r="M9" s="58"/>
    </row>
    <row r="10" spans="1:13" s="53" customFormat="1" ht="30" customHeight="1">
      <c r="A10" s="58"/>
      <c r="B10" s="82">
        <v>2</v>
      </c>
      <c r="C10" s="83" t="s">
        <v>22</v>
      </c>
      <c r="D10" s="84" t="str">
        <f>'[1]Corte por Agua'!$C$3</f>
        <v>Corte por Agua</v>
      </c>
      <c r="E10" s="101">
        <v>1</v>
      </c>
      <c r="F10" s="101">
        <v>37</v>
      </c>
      <c r="G10" s="101">
        <v>380</v>
      </c>
      <c r="H10" s="101"/>
      <c r="I10" s="103">
        <v>0.6</v>
      </c>
      <c r="J10" s="87">
        <f t="shared" si="0"/>
        <v>2.8828458207306222E-2</v>
      </c>
      <c r="K10" s="86"/>
      <c r="L10" s="68"/>
      <c r="M10" s="58"/>
    </row>
    <row r="11" spans="1:13" s="53" customFormat="1" ht="30" customHeight="1">
      <c r="A11" s="58"/>
      <c r="B11" s="82">
        <v>3</v>
      </c>
      <c r="C11" s="83" t="s">
        <v>22</v>
      </c>
      <c r="D11" s="84" t="str">
        <f>'[1]Torno RIFA RFCZ12'!$C$3</f>
        <v>TORNO RIFA RFCZ12</v>
      </c>
      <c r="E11" s="101">
        <v>1</v>
      </c>
      <c r="F11" s="101">
        <v>15</v>
      </c>
      <c r="G11" s="101">
        <v>380</v>
      </c>
      <c r="H11" s="101"/>
      <c r="I11" s="103">
        <v>0.6</v>
      </c>
      <c r="J11" s="88">
        <f t="shared" si="0"/>
        <v>1.1687212786745766E-2</v>
      </c>
      <c r="K11" s="86"/>
      <c r="L11" s="68"/>
      <c r="M11" s="58"/>
    </row>
    <row r="12" spans="1:13" s="53" customFormat="1" ht="30" customHeight="1">
      <c r="A12" s="58"/>
      <c r="B12" s="82">
        <v>4</v>
      </c>
      <c r="C12" s="83" t="s">
        <v>22</v>
      </c>
      <c r="D12" s="84" t="str">
        <f>'[1]Torno Microcut LT65'!$C$3</f>
        <v>TORNO Microcut LT65</v>
      </c>
      <c r="E12" s="101">
        <v>1</v>
      </c>
      <c r="F12" s="101">
        <v>22</v>
      </c>
      <c r="G12" s="101">
        <v>380</v>
      </c>
      <c r="H12" s="101"/>
      <c r="I12" s="103">
        <v>0.6</v>
      </c>
      <c r="J12" s="89">
        <f t="shared" si="0"/>
        <v>1.7141245420560457E-2</v>
      </c>
      <c r="K12" s="86"/>
      <c r="L12" s="68"/>
      <c r="M12" s="58"/>
    </row>
    <row r="13" spans="1:13" s="53" customFormat="1" ht="30" customHeight="1">
      <c r="A13" s="58"/>
      <c r="B13" s="82">
        <v>5</v>
      </c>
      <c r="C13" s="83" t="s">
        <v>22</v>
      </c>
      <c r="D13" s="84" t="str">
        <f>'[1]Torno HWACHEON CUTEX 240B'!$C$3</f>
        <v>TORNO HWACHEON CUTEX 240B</v>
      </c>
      <c r="E13" s="101">
        <v>1</v>
      </c>
      <c r="F13" s="101">
        <v>31</v>
      </c>
      <c r="G13" s="101">
        <v>380</v>
      </c>
      <c r="H13" s="101"/>
      <c r="I13" s="103">
        <v>0.6</v>
      </c>
      <c r="J13" s="88">
        <f t="shared" si="0"/>
        <v>2.4153573092607915E-2</v>
      </c>
      <c r="K13" s="86"/>
      <c r="L13" s="68"/>
      <c r="M13" s="58"/>
    </row>
    <row r="14" spans="1:13" s="53" customFormat="1" ht="30" customHeight="1">
      <c r="A14" s="58"/>
      <c r="B14" s="82">
        <v>6</v>
      </c>
      <c r="C14" s="83" t="s">
        <v>22</v>
      </c>
      <c r="D14" s="84" t="str">
        <f>'[1]CM RIFA RFVM60'!$C$3</f>
        <v>CM RIFA RFVM60</v>
      </c>
      <c r="E14" s="101">
        <v>1</v>
      </c>
      <c r="F14" s="101">
        <v>14</v>
      </c>
      <c r="G14" s="101">
        <v>380</v>
      </c>
      <c r="H14" s="101"/>
      <c r="I14" s="103">
        <v>0.6</v>
      </c>
      <c r="J14" s="89">
        <f t="shared" si="0"/>
        <v>1.0908065267629382E-2</v>
      </c>
      <c r="K14" s="86"/>
      <c r="L14" s="68"/>
      <c r="M14" s="58"/>
    </row>
    <row r="15" spans="1:13" s="53" customFormat="1" ht="30" customHeight="1">
      <c r="A15" s="58"/>
      <c r="B15" s="82">
        <v>7</v>
      </c>
      <c r="C15" s="83" t="s">
        <v>22</v>
      </c>
      <c r="D15" s="84" t="str">
        <f>'[1]CM HWACHEON SIRIUS 550'!$C$3</f>
        <v>CM HWACHEON SIRIUS 550</v>
      </c>
      <c r="E15" s="101">
        <v>1</v>
      </c>
      <c r="F15" s="101">
        <v>23</v>
      </c>
      <c r="G15" s="101">
        <v>380</v>
      </c>
      <c r="H15" s="101"/>
      <c r="I15" s="103">
        <v>0.6</v>
      </c>
      <c r="J15" s="88">
        <f t="shared" si="0"/>
        <v>1.792039293967684E-2</v>
      </c>
      <c r="K15" s="86"/>
      <c r="L15" s="68"/>
      <c r="M15" s="58"/>
    </row>
    <row r="16" spans="1:13" s="53" customFormat="1" ht="30" customHeight="1">
      <c r="A16" s="58"/>
      <c r="B16" s="82">
        <v>8</v>
      </c>
      <c r="C16" s="83" t="s">
        <v>22</v>
      </c>
      <c r="D16" s="84" t="str">
        <f>'[1]CM Mitsubishi'!$C$3</f>
        <v>CM Mitsubishi</v>
      </c>
      <c r="E16" s="101">
        <v>1</v>
      </c>
      <c r="F16" s="101">
        <v>48</v>
      </c>
      <c r="G16" s="101">
        <v>380</v>
      </c>
      <c r="H16" s="101"/>
      <c r="I16" s="103">
        <v>0.6</v>
      </c>
      <c r="J16" s="89">
        <f t="shared" si="0"/>
        <v>3.7399080917586452E-2</v>
      </c>
      <c r="K16" s="86"/>
      <c r="L16" s="68"/>
      <c r="M16" s="58"/>
    </row>
    <row r="17" spans="1:13" s="53" customFormat="1" ht="30" customHeight="1">
      <c r="A17" s="58"/>
      <c r="B17" s="82">
        <v>9</v>
      </c>
      <c r="C17" s="83" t="s">
        <v>22</v>
      </c>
      <c r="D17" s="84" t="str">
        <f>'[1]CM RIFA 4 Ejes'!$C$3</f>
        <v>CM RIFA 4 Ejes</v>
      </c>
      <c r="E17" s="101">
        <v>1</v>
      </c>
      <c r="F17" s="101">
        <v>33</v>
      </c>
      <c r="G17" s="101">
        <v>380</v>
      </c>
      <c r="H17" s="101"/>
      <c r="I17" s="103">
        <v>0.6</v>
      </c>
      <c r="J17" s="88">
        <f t="shared" si="0"/>
        <v>2.5711868130840684E-2</v>
      </c>
      <c r="K17" s="86"/>
      <c r="L17" s="68"/>
      <c r="M17" s="58"/>
    </row>
    <row r="18" spans="1:13" s="53" customFormat="1" ht="30" customHeight="1">
      <c r="A18" s="58"/>
      <c r="B18" s="82">
        <v>10</v>
      </c>
      <c r="C18" s="83" t="s">
        <v>22</v>
      </c>
      <c r="D18" s="84" t="str">
        <f>[1]Agujereadora!$C$3</f>
        <v>Agujereadora</v>
      </c>
      <c r="E18" s="101">
        <v>1</v>
      </c>
      <c r="F18" s="101">
        <v>0.7</v>
      </c>
      <c r="G18" s="101"/>
      <c r="H18" s="101"/>
      <c r="I18" s="103">
        <v>0.6</v>
      </c>
      <c r="J18" s="87">
        <f t="shared" si="0"/>
        <v>5.4540326338146906E-4</v>
      </c>
      <c r="K18" s="86"/>
      <c r="L18" s="68"/>
      <c r="M18" s="58"/>
    </row>
    <row r="19" spans="1:13" s="53" customFormat="1" ht="30" customHeight="1">
      <c r="A19" s="58"/>
      <c r="B19" s="82">
        <v>11</v>
      </c>
      <c r="C19" s="83" t="s">
        <v>22</v>
      </c>
      <c r="D19" s="84" t="str">
        <f>[1]Roscadora!$C$3</f>
        <v>Roscadora</v>
      </c>
      <c r="E19" s="101">
        <v>1</v>
      </c>
      <c r="F19" s="101">
        <v>0.75</v>
      </c>
      <c r="G19" s="101"/>
      <c r="H19" s="101"/>
      <c r="I19" s="103">
        <v>0.6</v>
      </c>
      <c r="J19" s="88">
        <f t="shared" si="0"/>
        <v>5.8436063933728832E-4</v>
      </c>
      <c r="K19" s="86"/>
      <c r="L19" s="68"/>
      <c r="M19" s="58"/>
    </row>
    <row r="20" spans="1:13" s="53" customFormat="1" ht="30" customHeight="1">
      <c r="A20" s="58"/>
      <c r="B20" s="82">
        <v>12</v>
      </c>
      <c r="C20" s="83" t="s">
        <v>22</v>
      </c>
      <c r="D20" s="84" t="str">
        <f>'[1]Torno Paralelo Chico'!$C$3</f>
        <v>Torno Paralelo Chico</v>
      </c>
      <c r="E20" s="101">
        <v>1</v>
      </c>
      <c r="F20" s="101">
        <v>1.1000000000000001</v>
      </c>
      <c r="G20" s="101">
        <v>380</v>
      </c>
      <c r="H20" s="101"/>
      <c r="I20" s="103">
        <v>0.6</v>
      </c>
      <c r="J20" s="88">
        <f t="shared" si="0"/>
        <v>8.5706227102802296E-4</v>
      </c>
      <c r="K20" s="86"/>
      <c r="L20" s="68"/>
      <c r="M20" s="58"/>
    </row>
    <row r="21" spans="1:13" s="53" customFormat="1" ht="30" customHeight="1">
      <c r="A21" s="58"/>
      <c r="B21" s="82">
        <v>13</v>
      </c>
      <c r="C21" s="83" t="s">
        <v>22</v>
      </c>
      <c r="D21" s="84" t="str">
        <f>'[1]Torno Paralelo Grande'!$C$3</f>
        <v>Torno Paralelo Grande</v>
      </c>
      <c r="E21" s="101">
        <v>1</v>
      </c>
      <c r="F21" s="101">
        <v>1.1000000000000001</v>
      </c>
      <c r="G21" s="101">
        <v>380</v>
      </c>
      <c r="H21" s="101"/>
      <c r="I21" s="103">
        <v>0.6</v>
      </c>
      <c r="J21" s="87">
        <f t="shared" si="0"/>
        <v>8.5706227102802296E-4</v>
      </c>
      <c r="K21" s="86"/>
      <c r="L21" s="68"/>
      <c r="M21" s="58"/>
    </row>
    <row r="22" spans="1:13" s="53" customFormat="1" ht="30" customHeight="1">
      <c r="A22" s="58"/>
      <c r="B22" s="82">
        <v>14</v>
      </c>
      <c r="C22" s="83" t="s">
        <v>22</v>
      </c>
      <c r="D22" s="84" t="str">
        <f>'[1]Piedra de Banco'!$C$3</f>
        <v>Piedra de Banco</v>
      </c>
      <c r="E22" s="101">
        <v>1</v>
      </c>
      <c r="F22" s="101">
        <v>0.55000000000000004</v>
      </c>
      <c r="G22" s="101"/>
      <c r="H22" s="101"/>
      <c r="I22" s="103">
        <v>0.6</v>
      </c>
      <c r="J22" s="88">
        <f t="shared" si="0"/>
        <v>4.2853113551401148E-4</v>
      </c>
      <c r="K22" s="86"/>
      <c r="L22" s="68"/>
      <c r="M22" s="58"/>
    </row>
    <row r="23" spans="1:13" s="53" customFormat="1" ht="30" customHeight="1">
      <c r="A23" s="58"/>
      <c r="B23" s="82">
        <v>15</v>
      </c>
      <c r="C23" s="83" t="s">
        <v>22</v>
      </c>
      <c r="D23" s="84" t="str">
        <f>'[1]Maquina Corta Cadenas'!$C$3</f>
        <v>Maquina Corta Cadenas</v>
      </c>
      <c r="E23" s="101">
        <v>1</v>
      </c>
      <c r="F23" s="101">
        <v>0.5</v>
      </c>
      <c r="G23" s="101"/>
      <c r="H23" s="101"/>
      <c r="I23" s="103">
        <v>0.6</v>
      </c>
      <c r="J23" s="88">
        <f t="shared" si="0"/>
        <v>3.8957375955819221E-4</v>
      </c>
      <c r="K23" s="86"/>
      <c r="L23" s="68"/>
      <c r="M23" s="58"/>
    </row>
    <row r="24" spans="1:13" s="53" customFormat="1" ht="30" customHeight="1">
      <c r="A24" s="58"/>
      <c r="B24" s="82">
        <v>16</v>
      </c>
      <c r="C24" s="83" t="s">
        <v>22</v>
      </c>
      <c r="D24" s="84" t="str">
        <f>[1]Serrucho!$C$3</f>
        <v>Serrucho</v>
      </c>
      <c r="E24" s="101">
        <v>1</v>
      </c>
      <c r="F24" s="101">
        <v>1.25</v>
      </c>
      <c r="G24" s="101"/>
      <c r="H24" s="101"/>
      <c r="I24" s="103">
        <v>0.6</v>
      </c>
      <c r="J24" s="88">
        <f t="shared" si="0"/>
        <v>9.7393439889548053E-4</v>
      </c>
      <c r="K24" s="86"/>
      <c r="L24" s="68"/>
      <c r="M24" s="58"/>
    </row>
    <row r="25" spans="1:13" s="53" customFormat="1" ht="30" customHeight="1">
      <c r="A25" s="58"/>
      <c r="B25" s="82">
        <v>17</v>
      </c>
      <c r="C25" s="83" t="s">
        <v>22</v>
      </c>
      <c r="D25" s="84" t="str">
        <f>'[1]Sierra Sensitiva'!$C$3</f>
        <v>Sierra Sensitiva</v>
      </c>
      <c r="E25" s="101">
        <v>1</v>
      </c>
      <c r="F25" s="101">
        <v>2</v>
      </c>
      <c r="G25" s="101"/>
      <c r="H25" s="101"/>
      <c r="I25" s="103">
        <v>0.6</v>
      </c>
      <c r="J25" s="88">
        <f t="shared" si="0"/>
        <v>1.5582950382327689E-3</v>
      </c>
      <c r="K25" s="86"/>
      <c r="L25" s="68"/>
      <c r="M25" s="58"/>
    </row>
    <row r="26" spans="1:13" s="53" customFormat="1" ht="30" customHeight="1">
      <c r="A26" s="58"/>
      <c r="B26" s="82">
        <v>18</v>
      </c>
      <c r="C26" s="83" t="s">
        <v>22</v>
      </c>
      <c r="D26" s="84" t="str">
        <f>[1]Soldadora!$C$3</f>
        <v>Soldadora</v>
      </c>
      <c r="E26" s="101">
        <v>1</v>
      </c>
      <c r="F26" s="101">
        <v>3.5</v>
      </c>
      <c r="G26" s="101"/>
      <c r="H26" s="101"/>
      <c r="I26" s="103">
        <v>0.6</v>
      </c>
      <c r="J26" s="88">
        <f t="shared" si="0"/>
        <v>2.7270163169073455E-3</v>
      </c>
      <c r="K26" s="86"/>
      <c r="L26" s="68"/>
      <c r="M26" s="58"/>
    </row>
    <row r="27" spans="1:13" s="53" customFormat="1" ht="30" customHeight="1">
      <c r="A27" s="58"/>
      <c r="B27" s="82">
        <v>19</v>
      </c>
      <c r="C27" s="83" t="s">
        <v>22</v>
      </c>
      <c r="D27" s="84" t="str">
        <f>'[1]Agujereadora (Taller)'!$C$3</f>
        <v>Agujereadora (Taller)</v>
      </c>
      <c r="E27" s="101">
        <v>1</v>
      </c>
      <c r="F27" s="101">
        <v>0.7</v>
      </c>
      <c r="G27" s="101"/>
      <c r="H27" s="101"/>
      <c r="I27" s="103">
        <v>0.6</v>
      </c>
      <c r="J27" s="88">
        <f t="shared" si="0"/>
        <v>5.4540326338146906E-4</v>
      </c>
      <c r="K27" s="86"/>
      <c r="L27" s="68"/>
      <c r="M27" s="58"/>
    </row>
    <row r="28" spans="1:13" s="53" customFormat="1" ht="30" customHeight="1">
      <c r="A28" s="58"/>
      <c r="B28" s="82">
        <v>20</v>
      </c>
      <c r="C28" s="83" t="s">
        <v>22</v>
      </c>
      <c r="D28" s="84" t="s">
        <v>23</v>
      </c>
      <c r="E28" s="101">
        <v>1</v>
      </c>
      <c r="F28" s="101">
        <v>56</v>
      </c>
      <c r="G28" s="101">
        <v>380</v>
      </c>
      <c r="H28" s="101"/>
      <c r="I28" s="103">
        <v>0.6</v>
      </c>
      <c r="J28" s="88">
        <f t="shared" si="0"/>
        <v>4.3632261070517528E-2</v>
      </c>
      <c r="K28" s="86"/>
      <c r="L28" s="68"/>
      <c r="M28" s="58"/>
    </row>
    <row r="29" spans="1:13" s="53" customFormat="1" ht="30" customHeight="1">
      <c r="A29" s="58"/>
      <c r="B29" s="82">
        <v>21</v>
      </c>
      <c r="C29" s="83" t="s">
        <v>22</v>
      </c>
      <c r="D29" s="84"/>
      <c r="E29" s="101"/>
      <c r="F29" s="101"/>
      <c r="G29" s="101"/>
      <c r="H29" s="101"/>
      <c r="I29" s="103">
        <v>0.6</v>
      </c>
      <c r="J29" s="88">
        <f t="shared" si="0"/>
        <v>0</v>
      </c>
      <c r="K29" s="86"/>
      <c r="L29" s="68"/>
      <c r="M29" s="58"/>
    </row>
    <row r="30" spans="1:13" s="53" customFormat="1" ht="30" customHeight="1">
      <c r="A30" s="58"/>
      <c r="B30" s="82">
        <v>22</v>
      </c>
      <c r="C30" s="83" t="s">
        <v>22</v>
      </c>
      <c r="D30" s="84"/>
      <c r="E30" s="101"/>
      <c r="F30" s="101"/>
      <c r="G30" s="101"/>
      <c r="H30" s="101"/>
      <c r="I30" s="103">
        <v>0.6</v>
      </c>
      <c r="J30" s="88">
        <f t="shared" si="0"/>
        <v>0</v>
      </c>
      <c r="K30" s="86"/>
      <c r="L30" s="68"/>
      <c r="M30" s="58"/>
    </row>
    <row r="31" spans="1:13" s="53" customFormat="1" ht="30" customHeight="1">
      <c r="A31" s="58"/>
      <c r="B31" s="82">
        <v>23</v>
      </c>
      <c r="C31" s="83"/>
      <c r="D31" s="84"/>
      <c r="E31" s="101"/>
      <c r="F31" s="101"/>
      <c r="G31" s="101"/>
      <c r="H31" s="101"/>
      <c r="I31" s="103">
        <v>0.6</v>
      </c>
      <c r="J31" s="88">
        <f t="shared" si="0"/>
        <v>0</v>
      </c>
      <c r="K31" s="86"/>
      <c r="L31" s="68"/>
      <c r="M31" s="58"/>
    </row>
    <row r="32" spans="1:13" s="53" customFormat="1" ht="30" customHeight="1">
      <c r="A32" s="58"/>
      <c r="B32" s="82">
        <v>24</v>
      </c>
      <c r="C32" s="83" t="s">
        <v>24</v>
      </c>
      <c r="D32" s="84" t="str">
        <f>'[2]ENGRASADORA MANUAL'!$C$3</f>
        <v>ENGRASADORA MANUAL</v>
      </c>
      <c r="E32" s="101">
        <v>1</v>
      </c>
      <c r="F32" s="101">
        <v>0.8</v>
      </c>
      <c r="G32" s="101"/>
      <c r="H32" s="101"/>
      <c r="I32" s="103">
        <v>0.6</v>
      </c>
      <c r="J32" s="88">
        <f t="shared" si="0"/>
        <v>6.2331801529310758E-4</v>
      </c>
      <c r="K32" s="86"/>
      <c r="L32" s="68"/>
      <c r="M32" s="58"/>
    </row>
    <row r="33" spans="1:13" s="53" customFormat="1" ht="30" customHeight="1">
      <c r="A33" s="58"/>
      <c r="B33" s="82">
        <v>25</v>
      </c>
      <c r="C33" s="83" t="s">
        <v>24</v>
      </c>
      <c r="D33" s="84" t="str">
        <f>'[2]PRENSA QY-10-1'!$C$3</f>
        <v>PRENSA QY-10-1</v>
      </c>
      <c r="E33" s="101">
        <v>1</v>
      </c>
      <c r="F33" s="101">
        <v>2.2000000000000002</v>
      </c>
      <c r="G33" s="101"/>
      <c r="H33" s="101"/>
      <c r="I33" s="103">
        <v>0.6</v>
      </c>
      <c r="J33" s="88">
        <f t="shared" si="0"/>
        <v>1.7141245420560459E-3</v>
      </c>
      <c r="K33" s="86"/>
      <c r="L33" s="68"/>
      <c r="M33" s="58"/>
    </row>
    <row r="34" spans="1:13" s="53" customFormat="1" ht="30" customHeight="1">
      <c r="A34" s="58"/>
      <c r="B34" s="82">
        <v>26</v>
      </c>
      <c r="C34" s="83" t="s">
        <v>24</v>
      </c>
      <c r="D34" s="84" t="str">
        <f>'[2]PRENSA QY-10-2'!$C$3</f>
        <v>PRENSA QY-10-2</v>
      </c>
      <c r="E34" s="101">
        <v>1</v>
      </c>
      <c r="F34" s="101">
        <v>2.2000000000000002</v>
      </c>
      <c r="G34" s="101"/>
      <c r="H34" s="101"/>
      <c r="I34" s="103">
        <v>0.6</v>
      </c>
      <c r="J34" s="88">
        <f t="shared" si="0"/>
        <v>1.7141245420560459E-3</v>
      </c>
      <c r="K34" s="86"/>
      <c r="L34" s="68"/>
      <c r="M34" s="58"/>
    </row>
    <row r="35" spans="1:13" s="53" customFormat="1" ht="30" customHeight="1">
      <c r="A35" s="58"/>
      <c r="B35" s="82">
        <v>27</v>
      </c>
      <c r="C35" s="83" t="s">
        <v>24</v>
      </c>
      <c r="D35" s="84" t="str">
        <f>'[2]PRENSA QY-10-3'!$C$3</f>
        <v>PRENSA QY-10-3</v>
      </c>
      <c r="E35" s="101">
        <v>1</v>
      </c>
      <c r="F35" s="101">
        <v>2.2000000000000002</v>
      </c>
      <c r="G35" s="101"/>
      <c r="H35" s="101"/>
      <c r="I35" s="103">
        <v>0.6</v>
      </c>
      <c r="J35" s="88">
        <f t="shared" si="0"/>
        <v>1.7141245420560459E-3</v>
      </c>
      <c r="K35" s="86"/>
      <c r="L35" s="68"/>
      <c r="M35" s="58"/>
    </row>
    <row r="36" spans="1:13" s="53" customFormat="1" ht="30" customHeight="1">
      <c r="A36" s="58"/>
      <c r="B36" s="82">
        <v>28</v>
      </c>
      <c r="C36" s="83" t="s">
        <v>24</v>
      </c>
      <c r="D36" s="84" t="str">
        <f>'[2]LAVADORA 0448'!$C$3</f>
        <v>LAVADORA 0448</v>
      </c>
      <c r="E36" s="101">
        <v>1</v>
      </c>
      <c r="F36" s="101">
        <v>1</v>
      </c>
      <c r="G36" s="101"/>
      <c r="H36" s="101"/>
      <c r="I36" s="103">
        <v>0.6</v>
      </c>
      <c r="J36" s="88">
        <f t="shared" si="0"/>
        <v>7.7914751911638443E-4</v>
      </c>
      <c r="K36" s="86"/>
      <c r="L36" s="68"/>
      <c r="M36" s="58"/>
    </row>
    <row r="37" spans="1:13" s="53" customFormat="1" ht="30" customHeight="1">
      <c r="A37" s="58"/>
      <c r="B37" s="82">
        <v>29</v>
      </c>
      <c r="C37" s="83" t="s">
        <v>24</v>
      </c>
      <c r="D37" s="84" t="str">
        <f>'[2]TB-SCAMRIVT-40120 CONICO 518'!$C$3</f>
        <v>TB-SCAMRIVT-40120 CONICO 518</v>
      </c>
      <c r="E37" s="101">
        <v>1</v>
      </c>
      <c r="F37" s="101">
        <v>1</v>
      </c>
      <c r="G37" s="101"/>
      <c r="H37" s="101"/>
      <c r="I37" s="103">
        <v>0.6</v>
      </c>
      <c r="J37" s="88">
        <f t="shared" si="0"/>
        <v>7.7914751911638443E-4</v>
      </c>
      <c r="K37" s="86"/>
      <c r="L37" s="68"/>
      <c r="M37" s="58"/>
    </row>
    <row r="38" spans="1:13" s="53" customFormat="1" ht="30" customHeight="1">
      <c r="A38" s="58"/>
      <c r="B38" s="82">
        <v>30</v>
      </c>
      <c r="C38" s="83" t="s">
        <v>24</v>
      </c>
      <c r="D38" s="84" t="str">
        <f>'[2]TE-SCAMRIVT-2060 CONICO 30207'!$C$3</f>
        <v>TE-SCAMRIVT-2060 CONICO 30207</v>
      </c>
      <c r="E38" s="101">
        <v>1</v>
      </c>
      <c r="F38" s="101">
        <v>1</v>
      </c>
      <c r="G38" s="101"/>
      <c r="H38" s="101"/>
      <c r="I38" s="103">
        <v>0.6</v>
      </c>
      <c r="J38" s="88">
        <f t="shared" si="0"/>
        <v>7.7914751911638443E-4</v>
      </c>
      <c r="K38" s="86"/>
      <c r="L38" s="68"/>
      <c r="M38" s="58"/>
    </row>
    <row r="39" spans="1:13" s="53" customFormat="1" ht="30" customHeight="1">
      <c r="A39" s="58"/>
      <c r="B39" s="82">
        <v>31</v>
      </c>
      <c r="C39" s="83" t="s">
        <v>24</v>
      </c>
      <c r="D39" s="84" t="str">
        <f>'[2]HERMANADORA MANUAL IM247'!$C$3</f>
        <v>HERMANADORA MANUAL IM247</v>
      </c>
      <c r="E39" s="101">
        <v>1</v>
      </c>
      <c r="F39" s="101">
        <v>1</v>
      </c>
      <c r="G39" s="101"/>
      <c r="H39" s="101"/>
      <c r="I39" s="103">
        <v>0.6</v>
      </c>
      <c r="J39" s="88">
        <f t="shared" si="0"/>
        <v>7.7914751911638443E-4</v>
      </c>
      <c r="K39" s="86"/>
      <c r="L39" s="68"/>
      <c r="M39" s="58"/>
    </row>
    <row r="40" spans="1:13" s="53" customFormat="1" ht="30" customHeight="1">
      <c r="A40" s="58"/>
      <c r="B40" s="82">
        <v>32</v>
      </c>
      <c r="C40" s="83" t="s">
        <v>24</v>
      </c>
      <c r="D40" s="84" t="str">
        <f>'[2]HER. AUT MS03 DP 02HTQJ2'!$C$3</f>
        <v>HER. AUT MS03 DP 02HTQJ2</v>
      </c>
      <c r="E40" s="101">
        <v>1</v>
      </c>
      <c r="F40" s="101">
        <v>1</v>
      </c>
      <c r="G40" s="101"/>
      <c r="H40" s="101"/>
      <c r="I40" s="103">
        <v>0.6</v>
      </c>
      <c r="J40" s="88">
        <f t="shared" si="0"/>
        <v>7.7914751911638443E-4</v>
      </c>
      <c r="K40" s="86"/>
      <c r="L40" s="68"/>
      <c r="M40" s="58"/>
    </row>
    <row r="41" spans="1:13" s="53" customFormat="1" ht="30" customHeight="1">
      <c r="A41" s="58"/>
      <c r="B41" s="82">
        <v>33</v>
      </c>
      <c r="C41" s="83" t="s">
        <v>24</v>
      </c>
      <c r="D41" s="84" t="str">
        <f>'[2]HER. AUT JAULA-MS03 BCJL02A'!$C$3</f>
        <v>HER. AUT JAULA MS03 BCJL02A</v>
      </c>
      <c r="E41" s="101">
        <v>1</v>
      </c>
      <c r="F41" s="101">
        <v>1</v>
      </c>
      <c r="G41" s="101"/>
      <c r="H41" s="101"/>
      <c r="I41" s="103">
        <v>0.6</v>
      </c>
      <c r="J41" s="88">
        <f t="shared" ref="J41:J72" si="1">F41/SUMPRODUCT($E$9:$F$98)</f>
        <v>7.7914751911638443E-4</v>
      </c>
      <c r="K41" s="86"/>
      <c r="L41" s="68"/>
      <c r="M41" s="58"/>
    </row>
    <row r="42" spans="1:13" s="53" customFormat="1" ht="30" customHeight="1">
      <c r="A42" s="58"/>
      <c r="B42" s="82">
        <v>34</v>
      </c>
      <c r="C42" s="83" t="s">
        <v>24</v>
      </c>
      <c r="D42" s="84" t="str">
        <f>'[2]ENGRASADORA MS03 0510-5120051'!$C$3</f>
        <v>ENGRASADORA MS03 0510-5120051</v>
      </c>
      <c r="E42" s="101">
        <v>1</v>
      </c>
      <c r="F42" s="101">
        <v>1</v>
      </c>
      <c r="G42" s="101"/>
      <c r="H42" s="101"/>
      <c r="I42" s="103">
        <v>0.6</v>
      </c>
      <c r="J42" s="88">
        <f t="shared" si="1"/>
        <v>7.7914751911638443E-4</v>
      </c>
      <c r="K42" s="86"/>
      <c r="L42" s="68"/>
      <c r="M42" s="58"/>
    </row>
    <row r="43" spans="1:13" s="53" customFormat="1" ht="30" customHeight="1">
      <c r="A43" s="58"/>
      <c r="B43" s="82">
        <v>35</v>
      </c>
      <c r="C43" s="83" t="s">
        <v>24</v>
      </c>
      <c r="D43" s="84" t="str">
        <f>'[2]HER. AUT MS04 DP 03TQJ3'!$C$3</f>
        <v>HER. AUT MS04 DP 03TQJ3</v>
      </c>
      <c r="E43" s="101">
        <v>1</v>
      </c>
      <c r="F43" s="101">
        <v>1</v>
      </c>
      <c r="G43" s="101"/>
      <c r="H43" s="101"/>
      <c r="I43" s="103">
        <v>0.6</v>
      </c>
      <c r="J43" s="88">
        <f t="shared" si="1"/>
        <v>7.7914751911638443E-4</v>
      </c>
      <c r="K43" s="86"/>
      <c r="L43" s="68"/>
      <c r="M43" s="58"/>
    </row>
    <row r="44" spans="1:13" s="53" customFormat="1" ht="30" customHeight="1">
      <c r="A44" s="58"/>
      <c r="B44" s="82">
        <v>36</v>
      </c>
      <c r="C44" s="83" t="s">
        <v>24</v>
      </c>
      <c r="D44" s="84" t="str">
        <f>'[2]HER. AUT JAULA-MS04 BCJL02A'!$C$3</f>
        <v>HER. AUT JAULA MS04 BCJL02A</v>
      </c>
      <c r="E44" s="101">
        <v>1</v>
      </c>
      <c r="F44" s="101">
        <v>1</v>
      </c>
      <c r="G44" s="101"/>
      <c r="H44" s="101"/>
      <c r="I44" s="103">
        <v>0.6</v>
      </c>
      <c r="J44" s="88">
        <f t="shared" si="1"/>
        <v>7.7914751911638443E-4</v>
      </c>
      <c r="K44" s="86"/>
      <c r="L44" s="68"/>
      <c r="M44" s="58"/>
    </row>
    <row r="45" spans="1:13" s="53" customFormat="1" ht="30" customHeight="1">
      <c r="A45" s="58"/>
      <c r="B45" s="82">
        <v>37</v>
      </c>
      <c r="C45" s="83" t="s">
        <v>24</v>
      </c>
      <c r="D45" s="84" t="str">
        <f>'[2]ENGRASADORA AUTOM MS04 ZYJ3H '!$C$3</f>
        <v>ENGRASADORA AUTOMATICA MS04 ZYJ3H</v>
      </c>
      <c r="E45" s="101">
        <v>1</v>
      </c>
      <c r="F45" s="101">
        <v>1</v>
      </c>
      <c r="G45" s="101"/>
      <c r="H45" s="101"/>
      <c r="I45" s="103">
        <v>0.6</v>
      </c>
      <c r="J45" s="88">
        <f t="shared" si="1"/>
        <v>7.7914751911638443E-4</v>
      </c>
      <c r="K45" s="86"/>
      <c r="L45" s="68"/>
      <c r="M45" s="58"/>
    </row>
    <row r="46" spans="1:13" s="53" customFormat="1" ht="30" customHeight="1">
      <c r="A46" s="58"/>
      <c r="B46" s="82">
        <v>38</v>
      </c>
      <c r="C46" s="83" t="s">
        <v>24</v>
      </c>
      <c r="D46" s="84" t="str">
        <f>'[2]LASER CHICO 30'!$C$3</f>
        <v>LASER CHICO 30</v>
      </c>
      <c r="E46" s="101">
        <v>1</v>
      </c>
      <c r="F46" s="101">
        <v>1</v>
      </c>
      <c r="G46" s="101"/>
      <c r="H46" s="101"/>
      <c r="I46" s="103">
        <v>0.6</v>
      </c>
      <c r="J46" s="88">
        <f t="shared" si="1"/>
        <v>7.7914751911638443E-4</v>
      </c>
      <c r="K46" s="86"/>
      <c r="L46" s="68"/>
      <c r="M46" s="58"/>
    </row>
    <row r="47" spans="1:13" s="53" customFormat="1" ht="30" customHeight="1">
      <c r="A47" s="58"/>
      <c r="B47" s="82">
        <v>39</v>
      </c>
      <c r="C47" s="83" t="s">
        <v>24</v>
      </c>
      <c r="D47" s="84" t="str">
        <f>'[2]LASER GRANDE 50'!$C$3</f>
        <v>LASER GRANDE 50</v>
      </c>
      <c r="E47" s="101">
        <v>1</v>
      </c>
      <c r="F47" s="101">
        <v>1</v>
      </c>
      <c r="G47" s="101"/>
      <c r="H47" s="101"/>
      <c r="I47" s="103">
        <v>0.6</v>
      </c>
      <c r="J47" s="88">
        <f t="shared" si="1"/>
        <v>7.7914751911638443E-4</v>
      </c>
      <c r="K47" s="86"/>
      <c r="L47" s="68"/>
      <c r="M47" s="58"/>
    </row>
    <row r="48" spans="1:13" s="53" customFormat="1" ht="30" customHeight="1">
      <c r="A48" s="58"/>
      <c r="B48" s="82">
        <v>40</v>
      </c>
      <c r="C48" s="83" t="s">
        <v>24</v>
      </c>
      <c r="D48" s="84" t="str">
        <f>'[2]PRENSA QY-16'!$C$3</f>
        <v>PRENSA QY-16</v>
      </c>
      <c r="E48" s="101">
        <v>1</v>
      </c>
      <c r="F48" s="101">
        <v>2.2000000000000002</v>
      </c>
      <c r="G48" s="101"/>
      <c r="H48" s="101"/>
      <c r="I48" s="103">
        <v>0.6</v>
      </c>
      <c r="J48" s="88">
        <f t="shared" si="1"/>
        <v>1.7141245420560459E-3</v>
      </c>
      <c r="K48" s="86"/>
      <c r="L48" s="68"/>
      <c r="M48" s="58"/>
    </row>
    <row r="49" spans="1:13" s="53" customFormat="1" ht="30" customHeight="1">
      <c r="A49" s="58"/>
      <c r="B49" s="82">
        <v>41</v>
      </c>
      <c r="C49" s="83" t="s">
        <v>24</v>
      </c>
      <c r="D49" s="84" t="str">
        <f>'[2]LAVADORA QXC-1-2 MS03'!$C$3</f>
        <v>LAVADORA QXC-1-2 MS03</v>
      </c>
      <c r="E49" s="101">
        <v>1</v>
      </c>
      <c r="F49" s="101">
        <v>10</v>
      </c>
      <c r="G49" s="101"/>
      <c r="H49" s="101"/>
      <c r="I49" s="103">
        <v>0.6</v>
      </c>
      <c r="J49" s="88">
        <f t="shared" si="1"/>
        <v>7.7914751911638443E-3</v>
      </c>
      <c r="K49" s="86"/>
      <c r="L49" s="68"/>
      <c r="M49" s="58"/>
    </row>
    <row r="50" spans="1:13" s="53" customFormat="1" ht="30" customHeight="1">
      <c r="A50" s="58"/>
      <c r="B50" s="82">
        <v>42</v>
      </c>
      <c r="C50" s="83" t="s">
        <v>24</v>
      </c>
      <c r="D50" s="84" t="str">
        <f>'[2]LAVADORA QXC-1 MS04'!$C$3</f>
        <v>LAVADORA QXC-1 MS04</v>
      </c>
      <c r="E50" s="101">
        <v>1</v>
      </c>
      <c r="F50" s="101">
        <v>10</v>
      </c>
      <c r="G50" s="101"/>
      <c r="H50" s="101"/>
      <c r="I50" s="103">
        <v>0.6</v>
      </c>
      <c r="J50" s="88">
        <f t="shared" si="1"/>
        <v>7.7914751911638443E-3</v>
      </c>
      <c r="K50" s="86"/>
      <c r="L50" s="68"/>
      <c r="M50" s="58"/>
    </row>
    <row r="51" spans="1:13" s="53" customFormat="1" ht="30" customHeight="1">
      <c r="A51" s="58"/>
      <c r="B51" s="82">
        <v>43</v>
      </c>
      <c r="C51" s="83" t="s">
        <v>24</v>
      </c>
      <c r="D51" s="84" t="str">
        <f>'[2]ANDEROMETRO IM-250'!$C$3</f>
        <v>ANDEROMETRO IM-250</v>
      </c>
      <c r="E51" s="101">
        <v>1</v>
      </c>
      <c r="F51" s="101">
        <v>1</v>
      </c>
      <c r="G51" s="101"/>
      <c r="H51" s="101"/>
      <c r="I51" s="103">
        <v>0.6</v>
      </c>
      <c r="J51" s="88">
        <f t="shared" si="1"/>
        <v>7.7914751911638443E-4</v>
      </c>
      <c r="K51" s="86"/>
      <c r="L51" s="68"/>
      <c r="M51" s="58"/>
    </row>
    <row r="52" spans="1:13" s="53" customFormat="1" ht="30" customHeight="1">
      <c r="A52" s="58"/>
      <c r="B52" s="82">
        <v>44</v>
      </c>
      <c r="C52" s="83" t="s">
        <v>24</v>
      </c>
      <c r="D52" s="84" t="str">
        <f>'[2]ANDEROMETRO IM251'!$C$3</f>
        <v>ANDEROMETRO IM251</v>
      </c>
      <c r="E52" s="101">
        <v>1</v>
      </c>
      <c r="F52" s="101">
        <v>1</v>
      </c>
      <c r="G52" s="101"/>
      <c r="H52" s="101"/>
      <c r="I52" s="103">
        <v>0.6</v>
      </c>
      <c r="J52" s="88">
        <f t="shared" si="1"/>
        <v>7.7914751911638443E-4</v>
      </c>
      <c r="K52" s="86"/>
      <c r="L52" s="68"/>
      <c r="M52" s="58"/>
    </row>
    <row r="53" spans="1:13" s="53" customFormat="1" ht="30" customHeight="1">
      <c r="A53" s="58"/>
      <c r="B53" s="82">
        <v>45</v>
      </c>
      <c r="C53" s="83" t="s">
        <v>24</v>
      </c>
      <c r="D53" s="84" t="str">
        <f>'[2]HERMANADORA AUT MS05 LHT90'!$C$3</f>
        <v>HERMANADORA AUT MS05 LHT90</v>
      </c>
      <c r="E53" s="101">
        <v>1</v>
      </c>
      <c r="F53" s="101">
        <v>1</v>
      </c>
      <c r="G53" s="101"/>
      <c r="H53" s="101"/>
      <c r="I53" s="103">
        <v>0.6</v>
      </c>
      <c r="J53" s="88">
        <f t="shared" si="1"/>
        <v>7.7914751911638443E-4</v>
      </c>
      <c r="K53" s="86"/>
      <c r="L53" s="68"/>
      <c r="M53" s="58"/>
    </row>
    <row r="54" spans="1:13" s="53" customFormat="1" ht="30" customHeight="1">
      <c r="A54" s="58"/>
      <c r="B54" s="82">
        <v>46</v>
      </c>
      <c r="C54" s="83" t="s">
        <v>24</v>
      </c>
      <c r="D54" s="84" t="str">
        <f>'[2]HER. AUT JAULA MS05 BCJT03'!$C$3</f>
        <v>HER. AUT JAULA MS05 BCJT03</v>
      </c>
      <c r="E54" s="101">
        <v>1</v>
      </c>
      <c r="F54" s="101">
        <v>1</v>
      </c>
      <c r="G54" s="101"/>
      <c r="H54" s="101"/>
      <c r="I54" s="103">
        <v>0.6</v>
      </c>
      <c r="J54" s="88">
        <f t="shared" si="1"/>
        <v>7.7914751911638443E-4</v>
      </c>
      <c r="K54" s="86"/>
      <c r="L54" s="68"/>
      <c r="M54" s="58"/>
    </row>
    <row r="55" spans="1:13" s="53" customFormat="1" ht="30" customHeight="1">
      <c r="A55" s="58"/>
      <c r="B55" s="82">
        <v>47</v>
      </c>
      <c r="C55" s="83" t="s">
        <v>24</v>
      </c>
      <c r="D55" s="84" t="str">
        <f>'[2]PD52 POACHER'!$C$3</f>
        <v>PD52 POACHER</v>
      </c>
      <c r="E55" s="101">
        <v>1</v>
      </c>
      <c r="F55" s="101">
        <v>1</v>
      </c>
      <c r="G55" s="101"/>
      <c r="H55" s="101"/>
      <c r="I55" s="103">
        <v>0.6</v>
      </c>
      <c r="J55" s="88">
        <f t="shared" si="1"/>
        <v>7.7914751911638443E-4</v>
      </c>
      <c r="K55" s="86"/>
      <c r="L55" s="68"/>
      <c r="M55" s="58"/>
    </row>
    <row r="56" spans="1:13" s="53" customFormat="1" ht="30" customHeight="1">
      <c r="A56" s="58"/>
      <c r="B56" s="82">
        <v>48</v>
      </c>
      <c r="C56" s="83" t="s">
        <v>24</v>
      </c>
      <c r="D56" s="84" t="str">
        <f>'[2]RADIAL X095B'!$C$3</f>
        <v>RADIAL X095B</v>
      </c>
      <c r="E56" s="101">
        <v>1</v>
      </c>
      <c r="F56" s="101">
        <v>1</v>
      </c>
      <c r="G56" s="101"/>
      <c r="H56" s="101"/>
      <c r="I56" s="103">
        <v>0.6</v>
      </c>
      <c r="J56" s="88">
        <f t="shared" si="1"/>
        <v>7.7914751911638443E-4</v>
      </c>
      <c r="K56" s="86"/>
      <c r="L56" s="68"/>
      <c r="M56" s="58"/>
    </row>
    <row r="57" spans="1:13" s="53" customFormat="1" ht="30" customHeight="1">
      <c r="A57" s="58"/>
      <c r="B57" s="82">
        <v>49</v>
      </c>
      <c r="C57" s="83" t="s">
        <v>24</v>
      </c>
      <c r="D57" s="84" t="str">
        <f>'[2]LAVADO MANUAL PMT25-36'!$C$3</f>
        <v>LAVADO MANUAL PMT25-36</v>
      </c>
      <c r="E57" s="101">
        <v>1</v>
      </c>
      <c r="F57" s="101">
        <v>1</v>
      </c>
      <c r="G57" s="101"/>
      <c r="H57" s="101"/>
      <c r="I57" s="103">
        <v>0.6</v>
      </c>
      <c r="J57" s="88">
        <f t="shared" si="1"/>
        <v>7.7914751911638443E-4</v>
      </c>
      <c r="K57" s="86"/>
      <c r="L57" s="68"/>
      <c r="M57" s="58"/>
    </row>
    <row r="58" spans="1:13" s="53" customFormat="1" ht="30" customHeight="1">
      <c r="A58" s="58"/>
      <c r="B58" s="82">
        <v>50</v>
      </c>
      <c r="C58" s="83" t="s">
        <v>24</v>
      </c>
      <c r="D58" s="84" t="str">
        <f>'[2]HERMANADORA MANUAL IM248'!$C$3</f>
        <v>HERMANADORA MANUAL IM248</v>
      </c>
      <c r="E58" s="101">
        <v>1</v>
      </c>
      <c r="F58" s="101">
        <v>1</v>
      </c>
      <c r="G58" s="101"/>
      <c r="H58" s="101"/>
      <c r="I58" s="103">
        <v>0.6</v>
      </c>
      <c r="J58" s="88">
        <f t="shared" si="1"/>
        <v>7.7914751911638443E-4</v>
      </c>
      <c r="K58" s="86"/>
      <c r="L58" s="68"/>
      <c r="M58" s="58"/>
    </row>
    <row r="59" spans="1:13" s="53" customFormat="1" ht="30" customHeight="1">
      <c r="A59" s="58"/>
      <c r="B59" s="82">
        <v>51</v>
      </c>
      <c r="C59" s="83" t="s">
        <v>24</v>
      </c>
      <c r="D59" s="84" t="str">
        <f>'[2]RADIAL X095A'!$C$3</f>
        <v>RADIAL X095A</v>
      </c>
      <c r="E59" s="101">
        <v>1</v>
      </c>
      <c r="F59" s="101">
        <v>1</v>
      </c>
      <c r="G59" s="101"/>
      <c r="H59" s="101"/>
      <c r="I59" s="103">
        <v>0.6</v>
      </c>
      <c r="J59" s="88">
        <f t="shared" si="1"/>
        <v>7.7914751911638443E-4</v>
      </c>
      <c r="K59" s="86"/>
      <c r="L59" s="68"/>
      <c r="M59" s="58"/>
    </row>
    <row r="60" spans="1:13" s="53" customFormat="1" ht="30" customHeight="1">
      <c r="A60" s="58"/>
      <c r="B60" s="82">
        <v>52</v>
      </c>
      <c r="C60" s="83" t="s">
        <v>24</v>
      </c>
      <c r="D60" s="84" t="str">
        <f>'[2]DESIMANTADOR NS-400-B1'!$C$3</f>
        <v>DESIMANTADOR NS-400-B1</v>
      </c>
      <c r="E60" s="101">
        <v>1</v>
      </c>
      <c r="F60" s="101">
        <v>1</v>
      </c>
      <c r="G60" s="101"/>
      <c r="H60" s="101"/>
      <c r="I60" s="103">
        <v>0.6</v>
      </c>
      <c r="J60" s="88">
        <f t="shared" si="1"/>
        <v>7.7914751911638443E-4</v>
      </c>
      <c r="K60" s="86"/>
      <c r="L60" s="68"/>
      <c r="M60" s="58"/>
    </row>
    <row r="61" spans="1:13" s="53" customFormat="1" ht="30" customHeight="1">
      <c r="A61" s="58"/>
      <c r="B61" s="82">
        <v>53</v>
      </c>
      <c r="C61" s="83" t="s">
        <v>24</v>
      </c>
      <c r="D61" s="84" t="str">
        <f>'[2]LAVADORA GRANDE PMD-SJ'!$C$3</f>
        <v>LAVADORA GRANDE PMD-SJ</v>
      </c>
      <c r="E61" s="101">
        <v>1</v>
      </c>
      <c r="F61" s="101">
        <v>15</v>
      </c>
      <c r="G61" s="101"/>
      <c r="H61" s="101"/>
      <c r="I61" s="103">
        <v>0.6</v>
      </c>
      <c r="J61" s="88">
        <f t="shared" si="1"/>
        <v>1.1687212786745766E-2</v>
      </c>
      <c r="K61" s="86"/>
      <c r="L61" s="68"/>
      <c r="M61" s="58"/>
    </row>
    <row r="62" spans="1:13" s="53" customFormat="1" ht="30" customHeight="1">
      <c r="A62" s="58"/>
      <c r="B62" s="82">
        <v>54</v>
      </c>
      <c r="C62" s="83" t="s">
        <v>24</v>
      </c>
      <c r="D62" s="84"/>
      <c r="E62" s="101"/>
      <c r="F62" s="101"/>
      <c r="G62" s="101"/>
      <c r="H62" s="101"/>
      <c r="I62" s="103">
        <v>0.6</v>
      </c>
      <c r="J62" s="88">
        <f t="shared" si="1"/>
        <v>0</v>
      </c>
      <c r="K62" s="86"/>
      <c r="L62" s="68"/>
      <c r="M62" s="58"/>
    </row>
    <row r="63" spans="1:13" s="53" customFormat="1" ht="30" customHeight="1">
      <c r="A63" s="58"/>
      <c r="B63" s="82">
        <v>55</v>
      </c>
      <c r="C63" s="83" t="s">
        <v>24</v>
      </c>
      <c r="D63" s="84"/>
      <c r="E63" s="101"/>
      <c r="F63" s="101"/>
      <c r="G63" s="101"/>
      <c r="H63" s="101"/>
      <c r="I63" s="103">
        <v>0.6</v>
      </c>
      <c r="J63" s="88">
        <f t="shared" si="1"/>
        <v>0</v>
      </c>
      <c r="K63" s="86"/>
      <c r="L63" s="68"/>
      <c r="M63" s="58"/>
    </row>
    <row r="64" spans="1:13" s="53" customFormat="1" ht="30" customHeight="1">
      <c r="A64" s="58"/>
      <c r="B64" s="82">
        <v>56</v>
      </c>
      <c r="C64" s="83"/>
      <c r="D64" s="84"/>
      <c r="E64" s="101"/>
      <c r="F64" s="101"/>
      <c r="G64" s="101"/>
      <c r="H64" s="101"/>
      <c r="I64" s="103">
        <v>0.6</v>
      </c>
      <c r="J64" s="88">
        <f t="shared" si="1"/>
        <v>0</v>
      </c>
      <c r="K64" s="86"/>
      <c r="L64" s="68"/>
      <c r="M64" s="58"/>
    </row>
    <row r="65" spans="1:13" s="53" customFormat="1" ht="30" customHeight="1">
      <c r="A65" s="58"/>
      <c r="B65" s="82">
        <v>57</v>
      </c>
      <c r="C65" s="83" t="s">
        <v>25</v>
      </c>
      <c r="D65" s="84" t="str">
        <f>'[4]INFO-Pos'!$B$10</f>
        <v>Embaladora de Pallets</v>
      </c>
      <c r="E65" s="101">
        <v>1</v>
      </c>
      <c r="F65" s="101">
        <v>1.55</v>
      </c>
      <c r="G65" s="101">
        <v>220</v>
      </c>
      <c r="H65" s="101"/>
      <c r="I65" s="103">
        <v>0.6</v>
      </c>
      <c r="J65" s="88">
        <f t="shared" si="1"/>
        <v>1.2076786546303959E-3</v>
      </c>
      <c r="K65" s="86"/>
      <c r="L65" s="68"/>
      <c r="M65" s="58"/>
    </row>
    <row r="66" spans="1:13" s="53" customFormat="1" ht="30" customHeight="1">
      <c r="A66" s="58"/>
      <c r="B66" s="82">
        <v>58</v>
      </c>
      <c r="C66" s="83" t="s">
        <v>25</v>
      </c>
      <c r="D66" s="84" t="str">
        <f>'[4]INFO-Pos'!$B$40</f>
        <v>Embaladora Auto. G. QD-450X</v>
      </c>
      <c r="E66" s="101">
        <v>1</v>
      </c>
      <c r="F66" s="101">
        <v>1.55</v>
      </c>
      <c r="G66" s="101"/>
      <c r="H66" s="101"/>
      <c r="I66" s="103">
        <v>0.6</v>
      </c>
      <c r="J66" s="88">
        <f t="shared" si="1"/>
        <v>1.2076786546303959E-3</v>
      </c>
      <c r="K66" s="86"/>
      <c r="L66" s="68"/>
      <c r="M66" s="58"/>
    </row>
    <row r="67" spans="1:13" s="53" customFormat="1" ht="30" customHeight="1">
      <c r="A67" s="58"/>
      <c r="B67" s="82">
        <v>59</v>
      </c>
      <c r="C67" s="83" t="s">
        <v>25</v>
      </c>
      <c r="D67" s="84" t="str">
        <f>'[4]INFO-Pos'!$B$46</f>
        <v>Embaladora Auto. C. QD-250X</v>
      </c>
      <c r="E67" s="101">
        <v>1</v>
      </c>
      <c r="F67" s="101">
        <v>1.55</v>
      </c>
      <c r="G67" s="101"/>
      <c r="H67" s="101"/>
      <c r="I67" s="103">
        <v>0.6</v>
      </c>
      <c r="J67" s="88">
        <f t="shared" si="1"/>
        <v>1.2076786546303959E-3</v>
      </c>
      <c r="K67" s="86"/>
      <c r="L67" s="68"/>
      <c r="M67" s="58"/>
    </row>
    <row r="68" spans="1:13" s="53" customFormat="1" ht="30" customHeight="1">
      <c r="A68" s="58"/>
      <c r="B68" s="82">
        <v>60</v>
      </c>
      <c r="C68" s="83" t="s">
        <v>25</v>
      </c>
      <c r="D68" s="84" t="str">
        <f>'[4]INFO-Pos'!$B$16</f>
        <v>Etiquetadora Zebra ZD421</v>
      </c>
      <c r="E68" s="101">
        <v>1</v>
      </c>
      <c r="F68" s="101">
        <v>0.22</v>
      </c>
      <c r="G68" s="101"/>
      <c r="H68" s="101"/>
      <c r="I68" s="103">
        <v>0.6</v>
      </c>
      <c r="J68" s="88">
        <f t="shared" si="1"/>
        <v>1.7141245420560457E-4</v>
      </c>
      <c r="K68" s="86"/>
      <c r="L68" s="68"/>
      <c r="M68" s="58"/>
    </row>
    <row r="69" spans="1:13" s="53" customFormat="1" ht="30" customHeight="1">
      <c r="A69" s="58"/>
      <c r="B69" s="82">
        <v>61</v>
      </c>
      <c r="C69" s="83" t="s">
        <v>25</v>
      </c>
      <c r="D69" s="84" t="str">
        <f>'[4]INFO-Pos'!$B$22</f>
        <v>Etiquetadora Zebra ZT230 (1)</v>
      </c>
      <c r="E69" s="101">
        <v>1</v>
      </c>
      <c r="F69" s="101">
        <v>0.22</v>
      </c>
      <c r="G69" s="101"/>
      <c r="H69" s="101"/>
      <c r="I69" s="103">
        <v>0.6</v>
      </c>
      <c r="J69" s="88">
        <f t="shared" si="1"/>
        <v>1.7141245420560457E-4</v>
      </c>
      <c r="K69" s="86"/>
      <c r="L69" s="68"/>
      <c r="M69" s="58"/>
    </row>
    <row r="70" spans="1:13" s="53" customFormat="1" ht="30" customHeight="1">
      <c r="A70" s="58"/>
      <c r="B70" s="82">
        <v>62</v>
      </c>
      <c r="C70" s="83" t="s">
        <v>25</v>
      </c>
      <c r="D70" s="84" t="str">
        <f>'[4]INFO-Pos'!$B$28</f>
        <v>Etiquetadora Zebra ZT230 (2)</v>
      </c>
      <c r="E70" s="101">
        <v>1</v>
      </c>
      <c r="F70" s="101">
        <v>0.22</v>
      </c>
      <c r="G70" s="101"/>
      <c r="H70" s="101"/>
      <c r="I70" s="103">
        <v>0.6</v>
      </c>
      <c r="J70" s="88">
        <f t="shared" si="1"/>
        <v>1.7141245420560457E-4</v>
      </c>
      <c r="K70" s="86"/>
      <c r="L70" s="68"/>
      <c r="M70" s="58"/>
    </row>
    <row r="71" spans="1:13" s="53" customFormat="1" ht="30" customHeight="1">
      <c r="A71" s="58"/>
      <c r="B71" s="82">
        <v>63</v>
      </c>
      <c r="C71" s="83" t="s">
        <v>25</v>
      </c>
      <c r="D71" s="84"/>
      <c r="E71" s="101"/>
      <c r="F71" s="101"/>
      <c r="G71" s="101"/>
      <c r="H71" s="101"/>
      <c r="I71" s="103">
        <v>0.6</v>
      </c>
      <c r="J71" s="88">
        <f t="shared" si="1"/>
        <v>0</v>
      </c>
      <c r="K71" s="86"/>
      <c r="L71" s="68"/>
      <c r="M71" s="58"/>
    </row>
    <row r="72" spans="1:13" s="53" customFormat="1" ht="30" customHeight="1">
      <c r="A72" s="58"/>
      <c r="B72" s="82">
        <v>64</v>
      </c>
      <c r="C72" s="83"/>
      <c r="D72" s="84"/>
      <c r="E72" s="101"/>
      <c r="F72" s="101"/>
      <c r="G72" s="101"/>
      <c r="H72" s="101"/>
      <c r="I72" s="103">
        <v>0.6</v>
      </c>
      <c r="J72" s="88">
        <f t="shared" si="1"/>
        <v>0</v>
      </c>
      <c r="K72" s="86"/>
      <c r="L72" s="68"/>
      <c r="M72" s="58"/>
    </row>
    <row r="73" spans="1:13" s="53" customFormat="1" ht="30" customHeight="1">
      <c r="A73" s="58"/>
      <c r="B73" s="82">
        <v>65</v>
      </c>
      <c r="C73" s="83" t="s">
        <v>26</v>
      </c>
      <c r="D73" s="84" t="str">
        <f>'[3]INFO-Pos'!$B$9</f>
        <v>Order Picker Crown 30SP42TT</v>
      </c>
      <c r="E73" s="101">
        <v>1</v>
      </c>
      <c r="F73" s="101">
        <v>20</v>
      </c>
      <c r="G73" s="101"/>
      <c r="H73" s="101"/>
      <c r="I73" s="103">
        <v>0.6</v>
      </c>
      <c r="J73" s="88">
        <f t="shared" ref="J73:J95" si="2">F73/SUMPRODUCT($E$9:$F$98)</f>
        <v>1.5582950382327689E-2</v>
      </c>
      <c r="K73" s="86"/>
      <c r="L73" s="68"/>
      <c r="M73" s="58"/>
    </row>
    <row r="74" spans="1:13" s="53" customFormat="1" ht="30" customHeight="1">
      <c r="A74" s="58"/>
      <c r="B74" s="82">
        <v>66</v>
      </c>
      <c r="C74" s="83" t="s">
        <v>26</v>
      </c>
      <c r="D74" s="84" t="str">
        <f>'[3]INFO-Pos'!$B$15</f>
        <v>Order Picker Crown 45RRTT</v>
      </c>
      <c r="E74" s="101">
        <v>1</v>
      </c>
      <c r="F74" s="101">
        <v>20</v>
      </c>
      <c r="G74" s="101"/>
      <c r="H74" s="101"/>
      <c r="I74" s="103">
        <v>0.6</v>
      </c>
      <c r="J74" s="88">
        <f t="shared" si="2"/>
        <v>1.5582950382327689E-2</v>
      </c>
      <c r="K74" s="86"/>
      <c r="L74" s="68"/>
      <c r="M74" s="58"/>
    </row>
    <row r="75" spans="1:13" s="53" customFormat="1" ht="30" customHeight="1">
      <c r="A75" s="58"/>
      <c r="B75" s="82">
        <v>67</v>
      </c>
      <c r="C75" s="83" t="s">
        <v>26</v>
      </c>
      <c r="D75" s="84"/>
      <c r="E75" s="101"/>
      <c r="F75" s="101"/>
      <c r="G75" s="101"/>
      <c r="H75" s="101"/>
      <c r="I75" s="103">
        <v>0.6</v>
      </c>
      <c r="J75" s="88">
        <f t="shared" si="2"/>
        <v>0</v>
      </c>
      <c r="K75" s="86"/>
      <c r="L75" s="68"/>
      <c r="M75" s="58"/>
    </row>
    <row r="76" spans="1:13" s="53" customFormat="1" ht="30" customHeight="1">
      <c r="A76" s="58"/>
      <c r="B76" s="82">
        <v>68</v>
      </c>
      <c r="C76" s="83" t="s">
        <v>26</v>
      </c>
      <c r="D76" s="84"/>
      <c r="E76" s="101"/>
      <c r="F76" s="101"/>
      <c r="G76" s="101"/>
      <c r="H76" s="101"/>
      <c r="I76" s="103">
        <v>0.6</v>
      </c>
      <c r="J76" s="88">
        <f t="shared" si="2"/>
        <v>0</v>
      </c>
      <c r="K76" s="86"/>
      <c r="L76" s="68"/>
      <c r="M76" s="58"/>
    </row>
    <row r="77" spans="1:13" s="53" customFormat="1" ht="30" customHeight="1">
      <c r="A77" s="58"/>
      <c r="B77" s="82">
        <v>69</v>
      </c>
      <c r="C77" s="83"/>
      <c r="D77" s="84"/>
      <c r="E77" s="101"/>
      <c r="F77" s="101"/>
      <c r="G77" s="101"/>
      <c r="H77" s="101"/>
      <c r="I77" s="103">
        <v>0.6</v>
      </c>
      <c r="J77" s="88">
        <f t="shared" si="2"/>
        <v>0</v>
      </c>
      <c r="K77" s="86"/>
      <c r="L77" s="68"/>
      <c r="M77" s="58"/>
    </row>
    <row r="78" spans="1:13" s="53" customFormat="1" ht="30" customHeight="1">
      <c r="A78" s="58"/>
      <c r="B78" s="82">
        <v>70</v>
      </c>
      <c r="C78" s="83"/>
      <c r="D78" s="84"/>
      <c r="E78" s="101"/>
      <c r="F78" s="101"/>
      <c r="G78" s="101"/>
      <c r="H78" s="101"/>
      <c r="I78" s="103">
        <v>0.6</v>
      </c>
      <c r="J78" s="88">
        <f t="shared" si="2"/>
        <v>0</v>
      </c>
      <c r="K78" s="86"/>
      <c r="L78" s="68"/>
      <c r="M78" s="58"/>
    </row>
    <row r="79" spans="1:13" s="53" customFormat="1" ht="30" customHeight="1">
      <c r="A79" s="58"/>
      <c r="B79" s="82">
        <v>71</v>
      </c>
      <c r="C79" s="83"/>
      <c r="D79" s="84"/>
      <c r="E79" s="101"/>
      <c r="F79" s="101"/>
      <c r="G79" s="101"/>
      <c r="H79" s="101"/>
      <c r="I79" s="103">
        <v>0.6</v>
      </c>
      <c r="J79" s="88">
        <f t="shared" si="2"/>
        <v>0</v>
      </c>
      <c r="K79" s="86"/>
      <c r="L79" s="68"/>
      <c r="M79" s="58"/>
    </row>
    <row r="80" spans="1:13" s="53" customFormat="1" ht="30" customHeight="1">
      <c r="A80" s="58"/>
      <c r="B80" s="82">
        <v>72</v>
      </c>
      <c r="C80" s="83" t="s">
        <v>27</v>
      </c>
      <c r="D80" s="84" t="s">
        <v>28</v>
      </c>
      <c r="E80" s="101">
        <v>1</v>
      </c>
      <c r="F80" s="101">
        <v>200</v>
      </c>
      <c r="G80" s="101"/>
      <c r="H80" s="101"/>
      <c r="I80" s="103">
        <v>0.6</v>
      </c>
      <c r="J80" s="88">
        <f t="shared" si="2"/>
        <v>0.15582950382327687</v>
      </c>
      <c r="K80" s="86"/>
      <c r="L80" s="68"/>
      <c r="M80" s="58"/>
    </row>
    <row r="81" spans="1:13" s="53" customFormat="1" ht="30" customHeight="1">
      <c r="A81" s="58"/>
      <c r="B81" s="82">
        <v>73</v>
      </c>
      <c r="C81" s="83" t="s">
        <v>27</v>
      </c>
      <c r="D81" s="84" t="s">
        <v>29</v>
      </c>
      <c r="E81" s="101">
        <v>1</v>
      </c>
      <c r="F81" s="101">
        <v>170</v>
      </c>
      <c r="G81" s="101"/>
      <c r="H81" s="101"/>
      <c r="I81" s="103">
        <v>0.6</v>
      </c>
      <c r="J81" s="88">
        <f t="shared" si="2"/>
        <v>0.13245507824978536</v>
      </c>
      <c r="K81" s="86"/>
      <c r="L81" s="68"/>
      <c r="M81" s="58"/>
    </row>
    <row r="82" spans="1:13" s="53" customFormat="1" ht="30" customHeight="1">
      <c r="A82" s="58"/>
      <c r="B82" s="82">
        <v>74</v>
      </c>
      <c r="C82" s="83" t="s">
        <v>27</v>
      </c>
      <c r="D82" s="84" t="s">
        <v>30</v>
      </c>
      <c r="E82" s="101">
        <v>1</v>
      </c>
      <c r="F82" s="101">
        <v>5</v>
      </c>
      <c r="G82" s="101"/>
      <c r="H82" s="101"/>
      <c r="I82" s="103">
        <v>0.4</v>
      </c>
      <c r="J82" s="88">
        <f t="shared" si="2"/>
        <v>3.8957375955819221E-3</v>
      </c>
      <c r="K82" s="86"/>
      <c r="L82" s="68"/>
      <c r="M82" s="58"/>
    </row>
    <row r="83" spans="1:13" s="53" customFormat="1" ht="30" customHeight="1">
      <c r="A83" s="58"/>
      <c r="B83" s="82">
        <v>75</v>
      </c>
      <c r="C83" s="83" t="s">
        <v>27</v>
      </c>
      <c r="D83" s="84"/>
      <c r="E83" s="101"/>
      <c r="F83" s="101"/>
      <c r="G83" s="101"/>
      <c r="H83" s="101"/>
      <c r="I83" s="103">
        <v>0.6</v>
      </c>
      <c r="J83" s="88">
        <f t="shared" si="2"/>
        <v>0</v>
      </c>
      <c r="K83" s="86"/>
      <c r="L83" s="68"/>
      <c r="M83" s="58"/>
    </row>
    <row r="84" spans="1:13" s="53" customFormat="1" ht="30" customHeight="1">
      <c r="A84" s="58"/>
      <c r="B84" s="82">
        <v>76</v>
      </c>
      <c r="C84" s="83"/>
      <c r="D84" s="84"/>
      <c r="E84" s="101"/>
      <c r="F84" s="101"/>
      <c r="G84" s="101"/>
      <c r="H84" s="101"/>
      <c r="I84" s="103">
        <v>0.6</v>
      </c>
      <c r="J84" s="88">
        <f t="shared" si="2"/>
        <v>0</v>
      </c>
      <c r="K84" s="86"/>
      <c r="L84" s="68"/>
      <c r="M84" s="58"/>
    </row>
    <row r="85" spans="1:13" s="53" customFormat="1" ht="30" customHeight="1">
      <c r="A85" s="58"/>
      <c r="B85" s="82">
        <v>77</v>
      </c>
      <c r="C85" s="83" t="s">
        <v>31</v>
      </c>
      <c r="D85" s="84" t="s">
        <v>32</v>
      </c>
      <c r="E85" s="101">
        <v>45</v>
      </c>
      <c r="F85" s="101">
        <v>0.4</v>
      </c>
      <c r="G85" s="101">
        <v>220</v>
      </c>
      <c r="H85" s="101"/>
      <c r="I85" s="103">
        <v>0.6</v>
      </c>
      <c r="J85" s="163">
        <f t="shared" si="2"/>
        <v>3.1165900764655379E-4</v>
      </c>
      <c r="K85" s="86"/>
      <c r="L85" s="68"/>
      <c r="M85" s="58"/>
    </row>
    <row r="86" spans="1:13" s="53" customFormat="1" ht="30" customHeight="1">
      <c r="A86" s="58"/>
      <c r="B86" s="82">
        <v>78</v>
      </c>
      <c r="C86" s="83" t="s">
        <v>31</v>
      </c>
      <c r="D86" s="84" t="s">
        <v>33</v>
      </c>
      <c r="E86" s="101">
        <v>13</v>
      </c>
      <c r="F86" s="101">
        <v>0.2</v>
      </c>
      <c r="G86" s="101">
        <v>220</v>
      </c>
      <c r="H86" s="101"/>
      <c r="I86" s="103">
        <v>0.6</v>
      </c>
      <c r="J86" s="163">
        <f t="shared" si="2"/>
        <v>1.558295038232769E-4</v>
      </c>
      <c r="K86" s="86"/>
      <c r="L86" s="68"/>
      <c r="M86" s="58"/>
    </row>
    <row r="87" spans="1:13" s="53" customFormat="1" ht="30" customHeight="1">
      <c r="A87" s="58"/>
      <c r="B87" s="82">
        <v>79</v>
      </c>
      <c r="C87" s="83" t="s">
        <v>31</v>
      </c>
      <c r="D87" s="84" t="s">
        <v>34</v>
      </c>
      <c r="E87" s="101">
        <v>3</v>
      </c>
      <c r="F87" s="101">
        <v>0.4</v>
      </c>
      <c r="G87" s="101">
        <v>220</v>
      </c>
      <c r="H87" s="101"/>
      <c r="I87" s="103">
        <v>0.6</v>
      </c>
      <c r="J87" s="163">
        <f t="shared" si="2"/>
        <v>3.1165900764655379E-4</v>
      </c>
      <c r="K87" s="86"/>
      <c r="L87" s="68"/>
      <c r="M87" s="58"/>
    </row>
    <row r="88" spans="1:13" s="53" customFormat="1" ht="30" customHeight="1">
      <c r="A88" s="58"/>
      <c r="B88" s="82">
        <v>80</v>
      </c>
      <c r="C88" s="83" t="s">
        <v>31</v>
      </c>
      <c r="D88" s="84" t="s">
        <v>35</v>
      </c>
      <c r="E88" s="101">
        <v>35</v>
      </c>
      <c r="F88" s="101">
        <v>0.2</v>
      </c>
      <c r="G88" s="101">
        <v>220</v>
      </c>
      <c r="H88" s="101"/>
      <c r="I88" s="103">
        <v>0.6</v>
      </c>
      <c r="J88" s="163">
        <f t="shared" si="2"/>
        <v>1.558295038232769E-4</v>
      </c>
      <c r="K88" s="86"/>
      <c r="L88" s="68"/>
      <c r="M88" s="58"/>
    </row>
    <row r="89" spans="1:13" s="53" customFormat="1" ht="30" customHeight="1">
      <c r="A89" s="58"/>
      <c r="B89" s="82">
        <v>81</v>
      </c>
      <c r="C89" s="83" t="s">
        <v>31</v>
      </c>
      <c r="D89" s="84" t="s">
        <v>36</v>
      </c>
      <c r="E89" s="101">
        <v>8</v>
      </c>
      <c r="F89" s="101">
        <v>0.02</v>
      </c>
      <c r="G89" s="101">
        <v>220</v>
      </c>
      <c r="H89" s="101"/>
      <c r="I89" s="103">
        <v>0.6</v>
      </c>
      <c r="J89" s="163">
        <f t="shared" si="2"/>
        <v>1.5582950382327687E-5</v>
      </c>
      <c r="K89" s="86"/>
      <c r="L89" s="68"/>
      <c r="M89" s="58"/>
    </row>
    <row r="90" spans="1:13" s="53" customFormat="1" ht="30" customHeight="1">
      <c r="A90" s="58"/>
      <c r="B90" s="82">
        <v>82</v>
      </c>
      <c r="C90" s="83" t="s">
        <v>31</v>
      </c>
      <c r="D90" s="84" t="s">
        <v>37</v>
      </c>
      <c r="E90" s="101">
        <v>33</v>
      </c>
      <c r="F90" s="101">
        <v>4.8000000000000001E-2</v>
      </c>
      <c r="G90" s="101">
        <v>220</v>
      </c>
      <c r="H90" s="101"/>
      <c r="I90" s="103">
        <v>0.6</v>
      </c>
      <c r="J90" s="163">
        <f t="shared" si="2"/>
        <v>3.7399080917586453E-5</v>
      </c>
      <c r="K90" s="86"/>
      <c r="L90" s="68"/>
      <c r="M90" s="58"/>
    </row>
    <row r="91" spans="1:13" s="53" customFormat="1" ht="30" customHeight="1">
      <c r="A91" s="58"/>
      <c r="B91" s="82">
        <v>83</v>
      </c>
      <c r="C91" s="83" t="s">
        <v>31</v>
      </c>
      <c r="D91" s="84" t="s">
        <v>75</v>
      </c>
      <c r="E91" s="101">
        <v>50</v>
      </c>
      <c r="F91" s="101">
        <v>3.0000000000000001E-3</v>
      </c>
      <c r="G91" s="101">
        <v>220</v>
      </c>
      <c r="H91" s="101"/>
      <c r="I91" s="103">
        <v>0.6</v>
      </c>
      <c r="J91" s="163">
        <f t="shared" si="2"/>
        <v>2.3374425573491533E-6</v>
      </c>
      <c r="K91" s="86"/>
      <c r="L91" s="68"/>
      <c r="M91" s="58"/>
    </row>
    <row r="92" spans="1:13" s="53" customFormat="1" ht="30" customHeight="1">
      <c r="A92" s="58"/>
      <c r="B92" s="82">
        <v>84</v>
      </c>
      <c r="C92" s="83" t="s">
        <v>31</v>
      </c>
      <c r="D92" s="84" t="s">
        <v>38</v>
      </c>
      <c r="E92" s="101">
        <v>47</v>
      </c>
      <c r="F92" s="101">
        <v>0.03</v>
      </c>
      <c r="G92" s="101">
        <v>220</v>
      </c>
      <c r="H92" s="101"/>
      <c r="I92" s="103">
        <v>0.6</v>
      </c>
      <c r="J92" s="163">
        <f t="shared" si="2"/>
        <v>2.337442557349153E-5</v>
      </c>
      <c r="K92" s="86"/>
      <c r="L92" s="68"/>
      <c r="M92" s="58"/>
    </row>
    <row r="93" spans="1:13" s="53" customFormat="1" ht="30" customHeight="1">
      <c r="A93" s="58"/>
      <c r="B93" s="82">
        <v>85</v>
      </c>
      <c r="C93" s="83" t="s">
        <v>31</v>
      </c>
      <c r="D93" s="84" t="s">
        <v>39</v>
      </c>
      <c r="E93" s="101">
        <v>49</v>
      </c>
      <c r="F93" s="101">
        <v>1.7999999999999999E-2</v>
      </c>
      <c r="G93" s="101">
        <v>220</v>
      </c>
      <c r="H93" s="101"/>
      <c r="I93" s="103">
        <v>0.6</v>
      </c>
      <c r="J93" s="163">
        <f t="shared" si="2"/>
        <v>1.4024655344094919E-5</v>
      </c>
      <c r="K93" s="86"/>
      <c r="L93" s="68"/>
      <c r="M93" s="58"/>
    </row>
    <row r="94" spans="1:13" s="53" customFormat="1" ht="30" customHeight="1">
      <c r="A94" s="58"/>
      <c r="B94" s="82">
        <v>86</v>
      </c>
      <c r="C94" s="83" t="s">
        <v>31</v>
      </c>
      <c r="D94" s="84" t="s">
        <v>40</v>
      </c>
      <c r="E94" s="101">
        <v>4</v>
      </c>
      <c r="F94" s="101">
        <v>0.12</v>
      </c>
      <c r="G94" s="101">
        <v>220</v>
      </c>
      <c r="H94" s="101"/>
      <c r="I94" s="103">
        <v>0.6</v>
      </c>
      <c r="J94" s="163">
        <f t="shared" si="2"/>
        <v>9.3497702293966121E-5</v>
      </c>
      <c r="K94" s="86"/>
      <c r="L94" s="68"/>
      <c r="M94" s="58"/>
    </row>
    <row r="95" spans="1:13" s="54" customFormat="1" ht="30" customHeight="1">
      <c r="A95" s="58"/>
      <c r="B95" s="82">
        <v>87</v>
      </c>
      <c r="C95" s="83" t="s">
        <v>31</v>
      </c>
      <c r="D95" s="84" t="s">
        <v>76</v>
      </c>
      <c r="E95" s="101">
        <v>50</v>
      </c>
      <c r="F95" s="101">
        <v>0.08</v>
      </c>
      <c r="G95" s="101">
        <v>220</v>
      </c>
      <c r="H95" s="101"/>
      <c r="I95" s="103">
        <v>0.6</v>
      </c>
      <c r="J95" s="163">
        <f t="shared" si="2"/>
        <v>6.2331801529310748E-5</v>
      </c>
      <c r="K95" s="86"/>
      <c r="L95" s="68"/>
      <c r="M95" s="58"/>
    </row>
    <row r="96" spans="1:13" s="53" customFormat="1" ht="30" customHeight="1">
      <c r="A96" s="58"/>
      <c r="B96" s="82">
        <v>88</v>
      </c>
      <c r="C96" s="83" t="s">
        <v>31</v>
      </c>
      <c r="D96" s="84" t="s">
        <v>41</v>
      </c>
      <c r="E96" s="101">
        <v>14</v>
      </c>
      <c r="F96" s="101">
        <v>0.75</v>
      </c>
      <c r="G96" s="101">
        <v>220</v>
      </c>
      <c r="H96" s="101"/>
      <c r="I96" s="103">
        <v>0.6</v>
      </c>
      <c r="J96" s="163">
        <f>F96/SUMPRODUCT($E$9:$F$98)</f>
        <v>5.8436063933728832E-4</v>
      </c>
      <c r="K96" s="86"/>
      <c r="L96" s="68"/>
      <c r="M96" s="58"/>
    </row>
    <row r="97" spans="1:13" s="142" customFormat="1" ht="30" customHeight="1">
      <c r="A97" s="139"/>
      <c r="B97" s="82">
        <v>89</v>
      </c>
      <c r="C97" s="83" t="s">
        <v>31</v>
      </c>
      <c r="D97" s="84" t="s">
        <v>78</v>
      </c>
      <c r="E97" s="101">
        <v>2</v>
      </c>
      <c r="F97" s="101">
        <v>5</v>
      </c>
      <c r="G97" s="101">
        <v>220</v>
      </c>
      <c r="H97" s="101"/>
      <c r="I97" s="103">
        <v>0.35</v>
      </c>
      <c r="J97" s="163">
        <f>F97/SUMPRODUCT($E$9:$F$98)</f>
        <v>3.8957375955819221E-3</v>
      </c>
      <c r="K97" s="86"/>
      <c r="L97" s="68"/>
      <c r="M97" s="139"/>
    </row>
    <row r="98" spans="1:13" s="53" customFormat="1" ht="30" customHeight="1">
      <c r="A98" s="58"/>
      <c r="B98" s="82">
        <v>90</v>
      </c>
      <c r="C98" s="83" t="s">
        <v>31</v>
      </c>
      <c r="D98" s="84" t="s">
        <v>77</v>
      </c>
      <c r="E98" s="101">
        <v>4</v>
      </c>
      <c r="F98" s="101">
        <v>0.125</v>
      </c>
      <c r="G98" s="101">
        <v>220</v>
      </c>
      <c r="H98" s="101"/>
      <c r="I98" s="103">
        <v>0.6</v>
      </c>
      <c r="J98" s="163">
        <f>F98/SUMPRODUCT($E$9:$F$98)</f>
        <v>9.7393439889548053E-5</v>
      </c>
      <c r="K98" s="86"/>
      <c r="L98" s="68"/>
      <c r="M98" s="58"/>
    </row>
    <row r="99" spans="1:13" ht="30" customHeight="1" thickBot="1">
      <c r="A99" s="58"/>
      <c r="B99" s="63"/>
      <c r="C99" s="73"/>
      <c r="D99" s="73"/>
      <c r="E99" s="168"/>
      <c r="F99" s="167"/>
      <c r="G99" s="73"/>
      <c r="H99" s="73"/>
      <c r="I99" s="73"/>
      <c r="J99" s="171"/>
      <c r="K99" s="90"/>
      <c r="L99" s="68"/>
      <c r="M99" s="58"/>
    </row>
    <row r="100" spans="1:13" ht="30" customHeight="1">
      <c r="A100" s="58"/>
      <c r="B100" s="63"/>
      <c r="C100" s="91" t="s">
        <v>42</v>
      </c>
      <c r="D100" s="177"/>
      <c r="E100" s="178"/>
      <c r="F100" s="91" t="s">
        <v>43</v>
      </c>
      <c r="G100" s="179"/>
      <c r="H100" s="180"/>
      <c r="I100" s="66"/>
      <c r="J100" s="167"/>
      <c r="K100" s="90"/>
      <c r="L100" s="68"/>
      <c r="M100" s="58"/>
    </row>
    <row r="101" spans="1:13" ht="30" customHeight="1" thickBot="1">
      <c r="A101" s="58"/>
      <c r="B101" s="92"/>
      <c r="C101" s="93"/>
      <c r="D101" s="94"/>
      <c r="E101" s="94"/>
      <c r="F101" s="95"/>
      <c r="G101" s="94"/>
      <c r="H101" s="94"/>
      <c r="I101" s="94"/>
      <c r="J101" s="172"/>
      <c r="K101" s="96"/>
      <c r="L101" s="97"/>
      <c r="M101" s="58"/>
    </row>
    <row r="102" spans="1:13" ht="30" customHeight="1">
      <c r="A102" s="58"/>
      <c r="B102" s="58"/>
      <c r="C102" s="98"/>
      <c r="D102" s="98"/>
      <c r="E102" s="99"/>
      <c r="F102" s="99"/>
      <c r="G102" s="99"/>
      <c r="H102" s="99"/>
      <c r="I102" s="99"/>
      <c r="J102" s="99"/>
      <c r="K102" s="100"/>
      <c r="L102" s="58"/>
      <c r="M102" s="58"/>
    </row>
    <row r="103" spans="1:13" ht="30" customHeight="1">
      <c r="C103" s="39"/>
    </row>
    <row r="104" spans="1:13" ht="30" customHeight="1">
      <c r="C104" s="39"/>
    </row>
    <row r="105" spans="1:13" ht="30" customHeight="1">
      <c r="C105" s="39"/>
      <c r="D105" s="39"/>
    </row>
    <row r="106" spans="1:13" ht="30" customHeight="1">
      <c r="C106" s="39"/>
      <c r="D106" s="39"/>
    </row>
    <row r="107" spans="1:13" ht="30" customHeight="1">
      <c r="C107" s="39"/>
      <c r="D107" s="39"/>
    </row>
    <row r="108" spans="1:13" ht="30" customHeight="1">
      <c r="C108" s="39"/>
      <c r="D108" s="39"/>
    </row>
    <row r="109" spans="1:13" ht="30" customHeight="1">
      <c r="C109" s="39"/>
      <c r="D109" s="39"/>
    </row>
    <row r="110" spans="1:13" ht="30" customHeight="1">
      <c r="C110" s="39"/>
      <c r="D110" s="39"/>
    </row>
    <row r="111" spans="1:13" ht="15" customHeight="1"/>
    <row r="113" spans="4:4" ht="30" customHeight="1">
      <c r="D113" s="43"/>
    </row>
  </sheetData>
  <sheetProtection selectLockedCells="1"/>
  <mergeCells count="11">
    <mergeCell ref="J99:J101"/>
    <mergeCell ref="G5:H5"/>
    <mergeCell ref="E5:F5"/>
    <mergeCell ref="G6:H6"/>
    <mergeCell ref="D100:E100"/>
    <mergeCell ref="G100:H100"/>
    <mergeCell ref="G3:H3"/>
    <mergeCell ref="E3:F3"/>
    <mergeCell ref="E99:F99"/>
    <mergeCell ref="E6:F6"/>
    <mergeCell ref="B4:D4"/>
  </mergeCells>
  <dataValidations disablePrompts="1" count="2">
    <dataValidation allowBlank="1" showInputMessage="1" showErrorMessage="1" prompt="Escriba comentarios en las celdas de la derecha." sqref="D113"/>
    <dataValidation allowBlank="1" showInputMessage="1" showErrorMessage="1" prompt="Escriba el departamento del empleado en la celda de la derecha." sqref="C108:D110"/>
  </dataValidations>
  <printOptions horizontalCentered="1" verticalCentered="1"/>
  <pageMargins left="0.25" right="0.25" top="0.75" bottom="0.75" header="0.3" footer="0.3"/>
  <pageSetup paperSize="9" scale="28" orientation="portrait" horizontalDpi="4294967293" r:id="rId1"/>
  <headerFooter differentFirst="1">
    <oddFooter>&amp;L&amp;C&amp;R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2</xdr:col>
                    <xdr:colOff>866775</xdr:colOff>
                    <xdr:row>98</xdr:row>
                    <xdr:rowOff>352425</xdr:rowOff>
                  </from>
                  <to>
                    <xdr:col>2</xdr:col>
                    <xdr:colOff>2105025</xdr:colOff>
                    <xdr:row>100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2060"/>
    <pageSetUpPr autoPageBreaks="0" fitToPage="1"/>
  </sheetPr>
  <dimension ref="A1:AF31"/>
  <sheetViews>
    <sheetView showGridLines="0" zoomScale="80" zoomScaleNormal="80" workbookViewId="0">
      <selection activeCell="S9" sqref="S9"/>
    </sheetView>
  </sheetViews>
  <sheetFormatPr baseColWidth="10" defaultColWidth="9.140625" defaultRowHeight="30" customHeight="1"/>
  <cols>
    <col min="1" max="1" width="2.7109375" style="33" customWidth="1"/>
    <col min="2" max="2" width="4.42578125" style="33" customWidth="1"/>
    <col min="3" max="3" width="32.28515625" style="33" bestFit="1" customWidth="1"/>
    <col min="4" max="4" width="18.5703125" style="33" customWidth="1"/>
    <col min="5" max="5" width="18.5703125" style="54" customWidth="1"/>
    <col min="6" max="6" width="16.42578125" style="33" customWidth="1"/>
    <col min="7" max="7" width="34.5703125" style="33" bestFit="1" customWidth="1"/>
    <col min="8" max="8" width="13.140625" style="33" customWidth="1"/>
    <col min="9" max="9" width="16.42578125" style="33" customWidth="1"/>
    <col min="10" max="11" width="16.28515625" style="33" customWidth="1"/>
    <col min="12" max="12" width="16.28515625" style="53" customWidth="1"/>
    <col min="13" max="14" width="16.28515625" style="33" customWidth="1"/>
    <col min="15" max="15" width="17.140625" style="33" customWidth="1"/>
    <col min="16" max="16" width="17.140625" style="142" customWidth="1"/>
    <col min="17" max="17" width="17.140625" style="54" customWidth="1"/>
    <col min="18" max="18" width="24" style="33" customWidth="1"/>
    <col min="19" max="19" width="24" style="149" customWidth="1"/>
    <col min="20" max="21" width="21.5703125" style="33" customWidth="1"/>
    <col min="22" max="22" width="18.42578125" style="33" bestFit="1" customWidth="1"/>
    <col min="23" max="23" width="2.7109375" style="33" customWidth="1"/>
    <col min="24" max="24" width="3" style="33" customWidth="1"/>
    <col min="25" max="25" width="21.5703125" style="33" customWidth="1"/>
  </cols>
  <sheetData>
    <row r="1" spans="1:32" ht="12" customHeight="1" thickBot="1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139"/>
      <c r="Q1" s="58"/>
      <c r="R1" s="58"/>
      <c r="S1" s="146"/>
      <c r="T1" s="58"/>
      <c r="U1" s="58"/>
      <c r="V1" s="58"/>
      <c r="W1" s="58"/>
      <c r="X1" s="58"/>
    </row>
    <row r="2" spans="1:32" ht="30" customHeight="1">
      <c r="A2" s="58"/>
      <c r="B2" s="59" t="s">
        <v>44</v>
      </c>
      <c r="C2" s="60"/>
      <c r="D2" s="60"/>
      <c r="E2" s="60"/>
      <c r="F2" s="104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2"/>
      <c r="X2" s="58"/>
    </row>
    <row r="3" spans="1:32" ht="30" customHeight="1">
      <c r="A3" s="58"/>
      <c r="B3" s="63"/>
      <c r="C3" s="64" t="s">
        <v>1</v>
      </c>
      <c r="D3" s="181" t="s">
        <v>2</v>
      </c>
      <c r="E3" s="181"/>
      <c r="F3" s="165"/>
      <c r="G3" s="64" t="s">
        <v>3</v>
      </c>
      <c r="H3" s="183">
        <f ca="1">TODAY()</f>
        <v>46008</v>
      </c>
      <c r="I3" s="178"/>
      <c r="J3" s="105"/>
      <c r="K3" s="105"/>
      <c r="L3" s="105"/>
      <c r="M3" s="105"/>
      <c r="N3" s="105"/>
      <c r="O3" s="64"/>
      <c r="P3" s="141"/>
      <c r="Q3" s="64"/>
      <c r="R3" s="64"/>
      <c r="S3" s="147"/>
      <c r="T3" s="182"/>
      <c r="U3" s="167"/>
      <c r="V3" s="167"/>
      <c r="W3" s="68"/>
      <c r="X3" s="58"/>
    </row>
    <row r="4" spans="1:32" ht="30" customHeight="1">
      <c r="A4" s="58"/>
      <c r="B4" s="170" t="s">
        <v>4</v>
      </c>
      <c r="C4" s="167"/>
      <c r="D4" s="167"/>
      <c r="E4" s="58"/>
      <c r="F4" s="106"/>
      <c r="G4" s="71"/>
      <c r="H4" s="71"/>
      <c r="I4" s="71"/>
      <c r="J4" s="71"/>
      <c r="K4" s="71"/>
      <c r="L4" s="71"/>
      <c r="M4" s="71"/>
      <c r="N4" s="71"/>
      <c r="O4" s="58"/>
      <c r="P4" s="139"/>
      <c r="Q4" s="58"/>
      <c r="R4" s="58"/>
      <c r="S4" s="146"/>
      <c r="T4" s="58"/>
      <c r="U4" s="58"/>
      <c r="V4" s="71"/>
      <c r="W4" s="68"/>
      <c r="X4" s="58"/>
    </row>
    <row r="5" spans="1:32" ht="30" customHeight="1">
      <c r="A5" s="58"/>
      <c r="B5" s="63"/>
      <c r="C5" s="72" t="s">
        <v>5</v>
      </c>
      <c r="D5" s="184" t="s">
        <v>6</v>
      </c>
      <c r="E5" s="184"/>
      <c r="F5" s="180"/>
      <c r="G5" s="107" t="s">
        <v>7</v>
      </c>
      <c r="H5" s="184" t="s">
        <v>8</v>
      </c>
      <c r="I5" s="180"/>
      <c r="J5" s="90"/>
      <c r="K5" s="90"/>
      <c r="L5" s="90"/>
      <c r="M5" s="90"/>
      <c r="N5" s="90"/>
      <c r="O5" s="58"/>
      <c r="P5" s="139"/>
      <c r="Q5" s="58"/>
      <c r="R5" s="58"/>
      <c r="S5" s="146"/>
      <c r="T5" s="58"/>
      <c r="U5" s="58"/>
      <c r="V5" s="71"/>
      <c r="W5" s="68"/>
      <c r="X5" s="58"/>
    </row>
    <row r="6" spans="1:32" ht="30" customHeight="1">
      <c r="A6" s="58"/>
      <c r="B6" s="63"/>
      <c r="C6" s="72" t="s">
        <v>9</v>
      </c>
      <c r="D6" s="184" t="s">
        <v>10</v>
      </c>
      <c r="E6" s="184"/>
      <c r="F6" s="180"/>
      <c r="G6" s="107" t="s">
        <v>11</v>
      </c>
      <c r="H6" s="175" t="s">
        <v>12</v>
      </c>
      <c r="I6" s="176"/>
      <c r="J6" s="90"/>
      <c r="K6" s="90"/>
      <c r="L6" s="90"/>
      <c r="M6" s="90"/>
      <c r="N6" s="90"/>
      <c r="O6" s="58"/>
      <c r="P6" s="139"/>
      <c r="Q6" s="58"/>
      <c r="R6" s="58"/>
      <c r="S6" s="146"/>
      <c r="T6" s="58"/>
      <c r="U6" s="58"/>
      <c r="V6" s="71"/>
      <c r="W6" s="68"/>
      <c r="X6" s="58"/>
    </row>
    <row r="7" spans="1:32" ht="30" customHeight="1" thickBot="1">
      <c r="A7" s="58"/>
      <c r="B7" s="63"/>
      <c r="C7" s="73"/>
      <c r="D7" s="73"/>
      <c r="E7" s="73"/>
      <c r="F7" s="73"/>
      <c r="G7" s="74"/>
      <c r="H7" s="74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5"/>
      <c r="W7" s="68"/>
      <c r="X7" s="58"/>
    </row>
    <row r="8" spans="1:32" ht="30" customHeight="1" thickBot="1">
      <c r="A8" s="58"/>
      <c r="B8" s="76" t="s">
        <v>13</v>
      </c>
      <c r="C8" s="78" t="s">
        <v>45</v>
      </c>
      <c r="D8" s="78" t="str">
        <f>'INFO-Consumo'!D85</f>
        <v>Computadoras</v>
      </c>
      <c r="E8" s="78" t="str">
        <f>'INFO-Consumo'!D95</f>
        <v>Monitores</v>
      </c>
      <c r="F8" s="78" t="str">
        <f>'INFO-Consumo'!D86</f>
        <v>Impresoras</v>
      </c>
      <c r="G8" s="78" t="str">
        <f>'INFO-Consumo'!D96</f>
        <v>Aire acondicionados Chicos</v>
      </c>
      <c r="H8" s="78" t="str">
        <f>'INFO-Consumo'!D87</f>
        <v>Heladeras</v>
      </c>
      <c r="I8" s="78" t="str">
        <f>'INFO-Consumo'!D88</f>
        <v>OV</v>
      </c>
      <c r="J8" s="78" t="str">
        <f>'INFO-Consumo'!D89</f>
        <v>Reflector</v>
      </c>
      <c r="K8" s="78" t="str">
        <f>'INFO-Consumo'!D90</f>
        <v>Paneles</v>
      </c>
      <c r="L8" s="78" t="str">
        <f>'INFO-Consumo'!D91</f>
        <v>LED Chicas (Plantas)</v>
      </c>
      <c r="M8" s="78" t="str">
        <f>'INFO-Consumo'!D92</f>
        <v>LED</v>
      </c>
      <c r="N8" s="78" t="str">
        <f>'INFO-Consumo'!D93</f>
        <v>Halogenas</v>
      </c>
      <c r="O8" s="78" t="str">
        <f>'INFO-Consumo'!D94</f>
        <v>Luz Grande</v>
      </c>
      <c r="P8" s="78" t="str">
        <f>'INFO-Consumo'!D97</f>
        <v>UPS</v>
      </c>
      <c r="Q8" s="78" t="str">
        <f>'INFO-Consumo'!D98</f>
        <v xml:space="preserve">Televisor </v>
      </c>
      <c r="R8" s="78" t="s">
        <v>81</v>
      </c>
      <c r="S8" s="78" t="s">
        <v>80</v>
      </c>
      <c r="T8" s="78" t="s">
        <v>46</v>
      </c>
      <c r="U8" s="79" t="s">
        <v>47</v>
      </c>
      <c r="V8" s="79" t="s">
        <v>48</v>
      </c>
      <c r="W8" s="68"/>
      <c r="X8" s="58"/>
      <c r="AE8" s="37"/>
      <c r="AF8" s="2"/>
    </row>
    <row r="9" spans="1:32" ht="30" customHeight="1">
      <c r="A9" s="58"/>
      <c r="B9" s="108">
        <v>1</v>
      </c>
      <c r="C9" s="109" t="s">
        <v>49</v>
      </c>
      <c r="D9" s="124">
        <v>1</v>
      </c>
      <c r="E9" s="125">
        <v>1</v>
      </c>
      <c r="F9" s="126">
        <v>0</v>
      </c>
      <c r="G9" s="124">
        <v>0</v>
      </c>
      <c r="H9" s="127">
        <v>0</v>
      </c>
      <c r="I9" s="124">
        <v>20</v>
      </c>
      <c r="J9" s="127">
        <v>4</v>
      </c>
      <c r="K9" s="127"/>
      <c r="L9" s="127"/>
      <c r="M9" s="127"/>
      <c r="N9" s="127">
        <v>18</v>
      </c>
      <c r="O9" s="124">
        <v>2</v>
      </c>
      <c r="P9" s="124"/>
      <c r="Q9" s="124"/>
      <c r="R9" s="144">
        <f>SUM(D9*'INFO-Consumo'!$F$85,F9*'INFO-Consumo'!$F$86,G9*'INFO-Consumo'!$F$96,H9*'INFO-Consumo'!$F$87,I9*'INFO-Consumo'!$F$88,J9*'INFO-Consumo'!$F$89,O9*'INFO-Consumo'!$F$93,K9*'INFO-Consumo'!$F$90,'INFO-Ponderacion'!M9*'INFO-Consumo'!$F$92,'INFO-Ponderacion'!N9*'INFO-Consumo'!$F$93,L9*'INFO-Consumo'!$F$91,Q9*'INFO-Consumo'!$F$98,E9*'INFO-Ponderacion'!$F$95,P9*'INFO-Consumo'!$F$97)</f>
        <v>4.84</v>
      </c>
      <c r="S9" s="153">
        <f>SUM(D9*'INFO-Consumo'!$F$85*'INFO-Consumo'!$I$85,F9*'INFO-Consumo'!$F$86*'INFO-Consumo'!$I$86,G9*'INFO-Consumo'!$F$96*'INFO-Consumo'!$I$96,H9*'INFO-Consumo'!$F$87*'INFO-Consumo'!$I$87,I9*'INFO-Consumo'!$F$88*'INFO-Consumo'!$I$88,J9*'INFO-Consumo'!$F$89*'INFO-Consumo'!$I$89,O9*'INFO-Consumo'!$F$93*'INFO-Consumo'!$I$93,K9*'INFO-Consumo'!$F$90*'INFO-Consumo'!$I$90,M9*'INFO-Consumo'!$F$92*'INFO-Consumo'!$I$92,N9*'INFO-Consumo'!$F$93*'INFO-Consumo'!$I$93,L9*'INFO-Consumo'!$F$91*'INFO-Consumo'!$I$91,Q9*'INFO-Consumo'!$F$98*'INFO-Consumo'!$I$98,E9*'INFO-Ponderacion'!$F$95*'INFO-Consumo'!$I$95,P9*'INFO-Consumo'!$F$97*'INFO-Consumo'!$I$97)</f>
        <v>2.9039999999999995</v>
      </c>
      <c r="T9" s="154">
        <f>SUM('INFO-Consumo'!F9:F30)</f>
        <v>371.15000000000003</v>
      </c>
      <c r="U9" s="110">
        <f>R9+T9</f>
        <v>375.99</v>
      </c>
      <c r="V9" s="111">
        <f>IFERROR(U9/SUM($U$9:$U$13),"")</f>
        <v>0.41509621435432059</v>
      </c>
      <c r="W9" s="68"/>
      <c r="X9" s="58"/>
    </row>
    <row r="10" spans="1:32" ht="30" customHeight="1">
      <c r="A10" s="58"/>
      <c r="B10" s="112">
        <v>2</v>
      </c>
      <c r="C10" s="113" t="s">
        <v>24</v>
      </c>
      <c r="D10" s="128"/>
      <c r="E10" s="129"/>
      <c r="F10" s="130"/>
      <c r="G10" s="128"/>
      <c r="H10" s="131"/>
      <c r="I10" s="128">
        <v>15</v>
      </c>
      <c r="J10" s="131">
        <v>4</v>
      </c>
      <c r="K10" s="132"/>
      <c r="L10" s="132"/>
      <c r="M10" s="132">
        <v>12</v>
      </c>
      <c r="N10" s="132">
        <v>31</v>
      </c>
      <c r="O10" s="133">
        <v>1</v>
      </c>
      <c r="P10" s="133"/>
      <c r="Q10" s="133"/>
      <c r="R10" s="156">
        <f>SUM(D10*'INFO-Consumo'!$F$85,F10*'INFO-Consumo'!$F$86,G10*'INFO-Consumo'!$F$96,H10*'INFO-Consumo'!$F$87,I10*'INFO-Consumo'!$F$88,J10*'INFO-Consumo'!$F$89,O10*'INFO-Consumo'!$F$93,K10*'INFO-Consumo'!$F$90,'INFO-Ponderacion'!M10*'INFO-Consumo'!$F$92,'INFO-Ponderacion'!N10*'INFO-Consumo'!$F$93,L10*'INFO-Consumo'!$F$91,Q10*'INFO-Consumo'!$F$98,E10*'INFO-Ponderacion'!$F$95,P10*'INFO-Consumo'!$F$97)</f>
        <v>4.016</v>
      </c>
      <c r="S10" s="156">
        <f>SUM(D10*'INFO-Consumo'!$F$85*'INFO-Consumo'!$I$85,F10*'INFO-Consumo'!$F$86*'INFO-Consumo'!$I$86,G10*'INFO-Consumo'!$F$96*'INFO-Consumo'!$I$96,H10*'INFO-Consumo'!$F$87*'INFO-Consumo'!$I$87,I10*'INFO-Consumo'!$F$88*'INFO-Consumo'!$I$88,J10*'INFO-Consumo'!$F$89*'INFO-Consumo'!$I$89,O10*'INFO-Consumo'!$F$93*'INFO-Consumo'!$I$93,K10*'INFO-Consumo'!$F$90*'INFO-Consumo'!$I$90,M10*'INFO-Consumo'!$F$92*'INFO-Consumo'!$I$92,N10*'INFO-Consumo'!$F$93*'INFO-Consumo'!$I$93,L10*'INFO-Consumo'!$F$91*'INFO-Consumo'!$I$91,Q10*'INFO-Consumo'!$F$98*'INFO-Consumo'!$I$98,E10*'INFO-Ponderacion'!$F$95*'INFO-Consumo'!$I$95,P10*'INFO-Consumo'!$F$97*'INFO-Consumo'!$I$97)</f>
        <v>2.4095999999999997</v>
      </c>
      <c r="T10" s="157">
        <f>SUM('INFO-Consumo'!F32:F63)</f>
        <v>66.599999999999994</v>
      </c>
      <c r="U10" s="157">
        <f>R10+T10</f>
        <v>70.616</v>
      </c>
      <c r="V10" s="114">
        <f>IFERROR(U10/SUM($U$9:$U$13),"")</f>
        <v>7.7960675211693656E-2</v>
      </c>
      <c r="W10" s="68"/>
      <c r="X10" s="58"/>
    </row>
    <row r="11" spans="1:32" ht="30" customHeight="1">
      <c r="A11" s="58"/>
      <c r="B11" s="112">
        <v>3</v>
      </c>
      <c r="C11" s="113" t="s">
        <v>50</v>
      </c>
      <c r="D11" s="128">
        <v>40</v>
      </c>
      <c r="E11" s="129">
        <v>45</v>
      </c>
      <c r="F11" s="129">
        <v>10</v>
      </c>
      <c r="G11" s="128">
        <v>11</v>
      </c>
      <c r="H11" s="131">
        <v>2</v>
      </c>
      <c r="I11" s="128"/>
      <c r="J11" s="131"/>
      <c r="K11" s="132">
        <v>128</v>
      </c>
      <c r="L11" s="132">
        <v>50</v>
      </c>
      <c r="M11" s="132">
        <v>10</v>
      </c>
      <c r="N11" s="132"/>
      <c r="O11" s="133"/>
      <c r="P11" s="133">
        <v>3</v>
      </c>
      <c r="Q11" s="128">
        <v>4</v>
      </c>
      <c r="R11" s="156">
        <f>SUM(G11*'INFO-Consumo'!$F$96,H11*'INFO-Consumo'!$F$87,I11*'INFO-Consumo'!$F$88,J11*'INFO-Consumo'!$F$89,O11*'INFO-Consumo'!$F$93,K11*'INFO-Consumo'!$F$90,'INFO-Ponderacion'!M11*'INFO-Consumo'!$F$92,'INFO-Ponderacion'!N11*'INFO-Consumo'!$F$93,L11*'INFO-Consumo'!$F$91,Q11*'INFO-Consumo'!$F$98,P11*'INFO-Consumo'!$F$97)</f>
        <v>31.144000000000002</v>
      </c>
      <c r="S11" s="156">
        <f>SUM(G11*'INFO-Consumo'!$F$96*'INFO-Consumo'!$I$96,H11*'INFO-Consumo'!$F$87*'INFO-Consumo'!$I$87,I11*'INFO-Consumo'!$F$88*'INFO-Consumo'!$I$88,J11*'INFO-Consumo'!$F$89*'INFO-Consumo'!$I$89,O11*'INFO-Consumo'!$F$93*'INFO-Consumo'!$I$93,K11*'INFO-Consumo'!$F$90*'INFO-Consumo'!$I$90,M11*'INFO-Consumo'!$F$92*'INFO-Consumo'!$I$92,N11*'INFO-Consumo'!$F$93*'INFO-Consumo'!$I$93,L11*'INFO-Consumo'!$F$91*'INFO-Consumo'!$I$91,Q11*'INFO-Consumo'!$F$98*'INFO-Consumo'!$I$98,P11*'INFO-Consumo'!$F$97*'INFO-Consumo'!$I$97)</f>
        <v>14.936399999999999</v>
      </c>
      <c r="T11" s="157">
        <f>SUM('INFO-Consumo'!F80:F83)</f>
        <v>375</v>
      </c>
      <c r="U11" s="157">
        <f>R11+T11</f>
        <v>406.14400000000001</v>
      </c>
      <c r="V11" s="114">
        <f>IFERROR(U11/SUM($U$9:$U$13),"")</f>
        <v>0.44838649135009223</v>
      </c>
      <c r="W11" s="68"/>
      <c r="X11" s="58"/>
    </row>
    <row r="12" spans="1:32" ht="30" customHeight="1">
      <c r="A12" s="58"/>
      <c r="B12" s="112">
        <v>4</v>
      </c>
      <c r="C12" s="113" t="s">
        <v>51</v>
      </c>
      <c r="D12" s="128"/>
      <c r="E12" s="129"/>
      <c r="F12" s="129"/>
      <c r="G12" s="128"/>
      <c r="H12" s="131"/>
      <c r="I12" s="128"/>
      <c r="J12" s="131"/>
      <c r="K12" s="132"/>
      <c r="L12" s="132"/>
      <c r="M12" s="132">
        <v>25</v>
      </c>
      <c r="N12" s="132"/>
      <c r="O12" s="133"/>
      <c r="P12" s="133"/>
      <c r="Q12" s="128"/>
      <c r="R12" s="156">
        <f>SUM(D12*'INFO-Consumo'!$F$85,F12*'INFO-Consumo'!$F$86,G12*'INFO-Consumo'!$F$96,H12*'INFO-Consumo'!$F$87,I12*'INFO-Consumo'!$F$88,J12*'INFO-Consumo'!$F$89,O12*'INFO-Consumo'!$F$93,K12*'INFO-Consumo'!$F$90,'INFO-Ponderacion'!M12*'INFO-Consumo'!$F$92,'INFO-Ponderacion'!N12*'INFO-Consumo'!$F$93,L12*'INFO-Consumo'!$F$91,Q12*'INFO-Consumo'!$F$98,E12*'INFO-Ponderacion'!$F$95,P12*'INFO-Consumo'!$F$97)</f>
        <v>0.75</v>
      </c>
      <c r="S12" s="156">
        <f>SUM(D12*'INFO-Consumo'!$F$85*'INFO-Consumo'!$I$85,F12*'INFO-Consumo'!$F$86*'INFO-Consumo'!$I$86,G12*'INFO-Consumo'!$F$96*'INFO-Consumo'!$I$96,H12*'INFO-Consumo'!$F$87*'INFO-Consumo'!$I$87,I12*'INFO-Consumo'!$F$88*'INFO-Consumo'!$I$88,J12*'INFO-Consumo'!$F$89*'INFO-Consumo'!$I$89,O12*'INFO-Consumo'!$F$93*'INFO-Consumo'!$I$93,K12*'INFO-Consumo'!$F$90*'INFO-Consumo'!$I$90,M12*'INFO-Consumo'!$F$92*'INFO-Consumo'!$I$92,N12*'INFO-Consumo'!$F$93*'INFO-Consumo'!$I$93,L12*'INFO-Consumo'!$F$91*'INFO-Consumo'!$I$91,Q12*'INFO-Consumo'!$F$98*'INFO-Consumo'!$I$98,E12*'INFO-Ponderacion'!$F$95*'INFO-Consumo'!$I$95,P12*'INFO-Consumo'!$F$97*'INFO-Consumo'!$I$97)</f>
        <v>0.44999999999999996</v>
      </c>
      <c r="T12" s="157">
        <f>SUM('INFO-Consumo'!F73:F76)</f>
        <v>40</v>
      </c>
      <c r="U12" s="157">
        <f>R12+T12</f>
        <v>40.75</v>
      </c>
      <c r="V12" s="114">
        <f>IFERROR(U12/SUM($U$9:$U$13),"")</f>
        <v>4.4988352708685238E-2</v>
      </c>
      <c r="W12" s="68"/>
      <c r="X12" s="58"/>
    </row>
    <row r="13" spans="1:32" ht="30" customHeight="1" thickBot="1">
      <c r="A13" s="58"/>
      <c r="B13" s="115">
        <v>5</v>
      </c>
      <c r="C13" s="116" t="s">
        <v>25</v>
      </c>
      <c r="D13" s="134">
        <v>4</v>
      </c>
      <c r="E13" s="135">
        <v>4</v>
      </c>
      <c r="F13" s="135">
        <v>3</v>
      </c>
      <c r="G13" s="134">
        <v>3</v>
      </c>
      <c r="H13" s="136">
        <v>1</v>
      </c>
      <c r="I13" s="134"/>
      <c r="J13" s="136"/>
      <c r="K13" s="137">
        <v>44</v>
      </c>
      <c r="L13" s="137"/>
      <c r="M13" s="137"/>
      <c r="N13" s="137"/>
      <c r="O13" s="138">
        <v>1</v>
      </c>
      <c r="P13" s="138"/>
      <c r="Q13" s="138"/>
      <c r="R13" s="144">
        <f>SUM(D13*'INFO-Consumo'!$F$85,F13*'INFO-Consumo'!$F$86,G13*'INFO-Consumo'!$F$96,H13*'INFO-Consumo'!$F$87,I13*'INFO-Consumo'!$F$88,J13*'INFO-Consumo'!$F$89,O13*'INFO-Consumo'!$F$93,K13*'INFO-Consumo'!$F$90,'INFO-Ponderacion'!M13*'INFO-Consumo'!$F$92,'INFO-Ponderacion'!N13*'INFO-Consumo'!$F$93,L13*'INFO-Consumo'!$F$91,Q13*'INFO-Consumo'!$F$98,E13*'INFO-Ponderacion'!$F$95,P13*'INFO-Consumo'!$F$97)</f>
        <v>6.98</v>
      </c>
      <c r="S13" s="158">
        <f>SUM(D13*'INFO-Consumo'!$F$85*'INFO-Consumo'!$I$85,F13*'INFO-Consumo'!$F$86*'INFO-Consumo'!$I$86,G13*'INFO-Consumo'!$F$96*'INFO-Consumo'!$I$96,H13*'INFO-Consumo'!$F$87*'INFO-Consumo'!$I$87,I13*'INFO-Consumo'!$F$88*'INFO-Consumo'!$I$88,J13*'INFO-Consumo'!$F$89*'INFO-Consumo'!$I$89,O13*'INFO-Consumo'!$F$93*'INFO-Consumo'!$I$93,K13*'INFO-Consumo'!$F$90*'INFO-Consumo'!$I$90,M13*'INFO-Consumo'!$F$92*'INFO-Consumo'!$I$92,N13*'INFO-Consumo'!$F$93*'INFO-Consumo'!$I$93,L13*'INFO-Consumo'!$F$91*'INFO-Consumo'!$I$91,Q13*'INFO-Consumo'!$F$98*'INFO-Consumo'!$I$98,E13*'INFO-Ponderacion'!$F$95*'INFO-Consumo'!$I$95,P13*'INFO-Consumo'!$F$97*'INFO-Consumo'!$I$97)</f>
        <v>4.1880000000000006</v>
      </c>
      <c r="T13" s="155">
        <f>SUM('INFO-Consumo'!F65:F71)</f>
        <v>5.31</v>
      </c>
      <c r="U13" s="159">
        <f>R13+T13</f>
        <v>12.29</v>
      </c>
      <c r="V13" s="117">
        <f>IFERROR(U13/SUM($U$9:$U$13),"")</f>
        <v>1.3568266375208381E-2</v>
      </c>
      <c r="W13" s="68"/>
      <c r="X13" s="58"/>
    </row>
    <row r="14" spans="1:32" ht="30" customHeight="1">
      <c r="A14" s="58"/>
      <c r="B14" s="63"/>
      <c r="C14" s="118"/>
      <c r="D14" s="118"/>
      <c r="E14" s="118"/>
      <c r="F14" s="118"/>
      <c r="G14" s="118"/>
      <c r="H14" s="118"/>
      <c r="I14" s="73"/>
      <c r="J14" s="73"/>
      <c r="K14" s="73"/>
      <c r="L14" s="73"/>
      <c r="M14" s="73"/>
      <c r="N14" s="73"/>
      <c r="O14" s="73"/>
      <c r="P14" s="73"/>
      <c r="Q14" s="73"/>
      <c r="R14" s="145"/>
      <c r="S14" s="152"/>
      <c r="T14" s="73"/>
      <c r="U14" s="73"/>
      <c r="V14" s="118"/>
      <c r="W14" s="68"/>
      <c r="X14" s="58"/>
    </row>
    <row r="15" spans="1:32" ht="30" customHeight="1">
      <c r="A15" s="58"/>
      <c r="B15" s="63"/>
      <c r="C15" s="73"/>
      <c r="D15" s="73"/>
      <c r="E15" s="73"/>
      <c r="F15" s="73"/>
      <c r="G15" s="168"/>
      <c r="H15" s="167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186"/>
      <c r="W15" s="68"/>
      <c r="X15" s="58"/>
    </row>
    <row r="16" spans="1:32" ht="30" customHeight="1">
      <c r="A16" s="58"/>
      <c r="B16" s="63"/>
      <c r="C16" s="91" t="s">
        <v>42</v>
      </c>
      <c r="D16" s="177"/>
      <c r="E16" s="177"/>
      <c r="F16" s="178"/>
      <c r="G16" s="178"/>
      <c r="H16" s="91" t="s">
        <v>43</v>
      </c>
      <c r="I16" s="179"/>
      <c r="J16" s="180"/>
      <c r="K16" s="180"/>
      <c r="L16" s="180"/>
      <c r="M16" s="180"/>
      <c r="N16" s="180"/>
      <c r="O16" s="180"/>
      <c r="P16" s="143"/>
      <c r="Q16" s="66"/>
      <c r="R16" s="119"/>
      <c r="S16" s="119"/>
      <c r="T16" s="75"/>
      <c r="U16" s="75"/>
      <c r="V16" s="167"/>
      <c r="W16" s="68"/>
      <c r="X16" s="58"/>
    </row>
    <row r="17" spans="1:24" ht="30" customHeight="1">
      <c r="A17" s="58"/>
      <c r="B17" s="63"/>
      <c r="C17" s="120"/>
      <c r="D17" s="75"/>
      <c r="E17" s="75"/>
      <c r="F17" s="75"/>
      <c r="G17" s="75"/>
      <c r="H17" s="91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167"/>
      <c r="W17" s="68"/>
      <c r="X17" s="58"/>
    </row>
    <row r="18" spans="1:24" ht="30" customHeight="1">
      <c r="A18" s="58"/>
      <c r="B18" s="63"/>
      <c r="C18" s="120"/>
      <c r="D18" s="75"/>
      <c r="E18" s="75"/>
      <c r="F18" s="75"/>
      <c r="G18" s="75"/>
      <c r="H18" s="91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167"/>
      <c r="W18" s="68"/>
      <c r="X18" s="58"/>
    </row>
    <row r="19" spans="1:24" ht="30" customHeight="1" thickBot="1">
      <c r="A19" s="58"/>
      <c r="B19" s="92"/>
      <c r="C19" s="121"/>
      <c r="D19" s="94"/>
      <c r="E19" s="94"/>
      <c r="F19" s="94"/>
      <c r="G19" s="94"/>
      <c r="H19" s="94"/>
      <c r="I19" s="185"/>
      <c r="J19" s="172"/>
      <c r="K19" s="172"/>
      <c r="L19" s="172"/>
      <c r="M19" s="172"/>
      <c r="N19" s="172"/>
      <c r="O19" s="172"/>
      <c r="P19" s="140"/>
      <c r="Q19" s="122"/>
      <c r="R19" s="94"/>
      <c r="S19" s="148"/>
      <c r="T19" s="94"/>
      <c r="U19" s="94"/>
      <c r="V19" s="123"/>
      <c r="W19" s="97"/>
      <c r="X19" s="58"/>
    </row>
    <row r="20" spans="1:24" ht="30" customHeight="1">
      <c r="A20" s="58"/>
      <c r="B20" s="58"/>
      <c r="C20" s="98"/>
      <c r="D20" s="98"/>
      <c r="E20" s="98"/>
      <c r="F20" s="98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58"/>
      <c r="X20" s="58"/>
    </row>
    <row r="21" spans="1:24" ht="30" customHeight="1">
      <c r="C21" s="39"/>
    </row>
    <row r="22" spans="1:24" ht="30" customHeight="1">
      <c r="C22" s="39"/>
    </row>
    <row r="23" spans="1:24" ht="30" customHeight="1">
      <c r="C23" s="39"/>
      <c r="D23" s="39"/>
      <c r="E23" s="55"/>
      <c r="F23" s="39"/>
    </row>
    <row r="24" spans="1:24" ht="30" customHeight="1">
      <c r="C24" s="39"/>
      <c r="D24" s="39"/>
      <c r="E24" s="55"/>
      <c r="F24" s="39"/>
    </row>
    <row r="25" spans="1:24" ht="30" customHeight="1">
      <c r="C25" s="39"/>
      <c r="D25" s="39"/>
      <c r="E25" s="55"/>
      <c r="F25" s="39"/>
    </row>
    <row r="26" spans="1:24" ht="30" customHeight="1">
      <c r="C26" s="39"/>
      <c r="D26" s="39"/>
      <c r="E26" s="55"/>
      <c r="F26" s="39"/>
    </row>
    <row r="27" spans="1:24" ht="30" customHeight="1">
      <c r="C27" s="39"/>
      <c r="D27" s="39"/>
      <c r="E27" s="55"/>
      <c r="F27" s="39"/>
    </row>
    <row r="28" spans="1:24" ht="30" customHeight="1">
      <c r="C28" s="39"/>
      <c r="D28" s="39"/>
      <c r="E28" s="55"/>
      <c r="F28" s="39"/>
    </row>
    <row r="29" spans="1:24" ht="15" customHeight="1"/>
    <row r="31" spans="1:24" ht="30" customHeight="1">
      <c r="D31" s="43"/>
      <c r="E31" s="56"/>
      <c r="F31" s="43"/>
    </row>
  </sheetData>
  <sheetProtection selectLockedCells="1"/>
  <mergeCells count="13">
    <mergeCell ref="I19:O19"/>
    <mergeCell ref="B4:D4"/>
    <mergeCell ref="D5:F5"/>
    <mergeCell ref="H5:I5"/>
    <mergeCell ref="V15:V18"/>
    <mergeCell ref="D16:G16"/>
    <mergeCell ref="H6:I6"/>
    <mergeCell ref="D3:F3"/>
    <mergeCell ref="T3:V3"/>
    <mergeCell ref="H3:I3"/>
    <mergeCell ref="I16:O16"/>
    <mergeCell ref="D6:F6"/>
    <mergeCell ref="G15:H15"/>
  </mergeCells>
  <dataValidations disablePrompts="1" count="2">
    <dataValidation allowBlank="1" showInputMessage="1" showErrorMessage="1" prompt="Escriba comentarios en las celdas de la derecha." sqref="D31:F31"/>
    <dataValidation allowBlank="1" showInputMessage="1" showErrorMessage="1" prompt="Escriba el departamento del empleado en la celda de la derecha." sqref="C26:F28"/>
  </dataValidations>
  <printOptions horizontalCentered="1" verticalCentered="1"/>
  <pageMargins left="0.39370078740157483" right="0.39370078740157483" top="0.39370078740157483" bottom="0.39370078740157483" header="0.3" footer="0.3"/>
  <pageSetup paperSize="9" scale="41" orientation="portrait" horizontalDpi="4294967293"/>
  <headerFooter differentFirst="1">
    <oddFooter>&amp;L&amp;C&amp;R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rmarHojaActual">
                <anchor moveWithCells="1" sizeWithCells="1">
                  <from>
                    <xdr:col>2</xdr:col>
                    <xdr:colOff>866775</xdr:colOff>
                    <xdr:row>14</xdr:row>
                    <xdr:rowOff>352425</xdr:rowOff>
                  </from>
                  <to>
                    <xdr:col>2</xdr:col>
                    <xdr:colOff>2105025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2060"/>
    <pageSetUpPr autoPageBreaks="0" fitToPage="1"/>
  </sheetPr>
  <dimension ref="A1:AE316"/>
  <sheetViews>
    <sheetView showGridLines="0" topLeftCell="A4" zoomScale="80" zoomScaleNormal="80" workbookViewId="0">
      <selection activeCell="AA13" sqref="AA13"/>
    </sheetView>
  </sheetViews>
  <sheetFormatPr baseColWidth="10" defaultColWidth="9.140625" defaultRowHeight="30" customHeight="1"/>
  <cols>
    <col min="1" max="1" width="2.7109375" style="33" customWidth="1"/>
    <col min="2" max="2" width="4.42578125" style="33" customWidth="1"/>
    <col min="3" max="3" width="19.7109375" style="33" customWidth="1"/>
    <col min="4" max="4" width="12.28515625" style="33" bestFit="1" customWidth="1"/>
    <col min="5" max="5" width="12.28515625" style="33" customWidth="1"/>
    <col min="6" max="6" width="17.140625" style="33" bestFit="1" customWidth="1"/>
    <col min="7" max="7" width="15.7109375" style="33" customWidth="1"/>
    <col min="8" max="8" width="9.140625" style="33" customWidth="1"/>
    <col min="9" max="9" width="15.28515625" style="33" customWidth="1"/>
    <col min="10" max="10" width="15.7109375" style="33" customWidth="1"/>
    <col min="11" max="11" width="13.28515625" style="33" customWidth="1"/>
    <col min="12" max="12" width="10.5703125" style="33" customWidth="1"/>
    <col min="13" max="13" width="12.42578125" style="33" customWidth="1"/>
    <col min="14" max="14" width="15.140625" style="33" customWidth="1"/>
    <col min="15" max="15" width="20.5703125" style="33" customWidth="1"/>
    <col min="16" max="16" width="10.5703125" style="33" customWidth="1"/>
    <col min="17" max="17" width="17.5703125" style="33" customWidth="1"/>
    <col min="18" max="18" width="12.28515625" style="33" customWidth="1"/>
    <col min="19" max="19" width="14.5703125" style="33" customWidth="1"/>
    <col min="20" max="20" width="15.140625" style="33" customWidth="1"/>
    <col min="21" max="21" width="14.5703125" style="33" customWidth="1"/>
    <col min="22" max="22" width="11.85546875" style="33" customWidth="1"/>
    <col min="23" max="23" width="12.28515625" style="33" customWidth="1"/>
    <col min="24" max="24" width="11.85546875" style="33" customWidth="1"/>
    <col min="25" max="25" width="14" style="33" customWidth="1"/>
    <col min="26" max="26" width="15.5703125" style="33" customWidth="1"/>
    <col min="27" max="27" width="18.140625" style="33" customWidth="1"/>
    <col min="28" max="28" width="18.140625" style="150" customWidth="1"/>
    <col min="29" max="29" width="54.42578125" style="33" customWidth="1"/>
    <col min="30" max="30" width="2.7109375" style="33" customWidth="1"/>
    <col min="31" max="31" width="3" style="33" customWidth="1"/>
  </cols>
  <sheetData>
    <row r="1" spans="1:30" ht="12" customHeight="1" thickBot="1"/>
    <row r="2" spans="1:30" ht="30" customHeight="1">
      <c r="B2" s="3" t="s">
        <v>0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40"/>
    </row>
    <row r="3" spans="1:30" ht="30" customHeight="1">
      <c r="B3" s="20"/>
      <c r="C3" s="37" t="s">
        <v>1</v>
      </c>
      <c r="D3" s="196" t="s">
        <v>2</v>
      </c>
      <c r="E3" s="193"/>
      <c r="F3" s="193"/>
      <c r="G3" s="193"/>
      <c r="H3" s="193"/>
      <c r="J3" s="37" t="s">
        <v>3</v>
      </c>
      <c r="K3" s="192">
        <f ca="1">TODAY()</f>
        <v>46008</v>
      </c>
      <c r="L3" s="193"/>
      <c r="M3" s="193"/>
      <c r="N3" s="193"/>
      <c r="O3" s="193"/>
      <c r="Q3" s="37" t="s">
        <v>52</v>
      </c>
      <c r="R3" s="194">
        <f>DolarBlueVenta()</f>
        <v>1445</v>
      </c>
      <c r="S3" s="193"/>
      <c r="T3" s="2"/>
      <c r="AD3" s="21"/>
    </row>
    <row r="4" spans="1:30" ht="30" customHeight="1">
      <c r="B4" s="213" t="s">
        <v>4</v>
      </c>
      <c r="C4" s="191"/>
      <c r="D4" s="191"/>
      <c r="E4" s="191"/>
      <c r="F4" s="191"/>
      <c r="H4" s="12"/>
      <c r="I4" s="12"/>
      <c r="J4" s="8"/>
      <c r="M4" s="8"/>
      <c r="N4" s="8"/>
      <c r="U4" s="5"/>
      <c r="V4" s="5"/>
      <c r="W4" s="5"/>
      <c r="X4" s="5"/>
      <c r="Y4" s="5"/>
      <c r="Z4" s="5"/>
      <c r="AA4" s="5"/>
      <c r="AB4" s="5"/>
      <c r="AC4" s="5"/>
      <c r="AD4" s="21"/>
    </row>
    <row r="5" spans="1:30" ht="30" customHeight="1">
      <c r="B5" s="20"/>
      <c r="C5" s="36" t="s">
        <v>5</v>
      </c>
      <c r="D5" s="184" t="s">
        <v>53</v>
      </c>
      <c r="E5" s="180"/>
      <c r="F5" s="180"/>
      <c r="G5" s="180"/>
      <c r="H5" s="180"/>
      <c r="I5" s="35"/>
      <c r="J5" s="36" t="s">
        <v>7</v>
      </c>
      <c r="K5" s="184" t="s">
        <v>8</v>
      </c>
      <c r="L5" s="180"/>
      <c r="M5" s="180"/>
      <c r="N5" s="180"/>
      <c r="O5" s="180"/>
      <c r="P5" s="35"/>
      <c r="U5" s="5"/>
      <c r="V5" s="5"/>
      <c r="W5" s="5"/>
      <c r="X5" s="5"/>
      <c r="Y5" s="5"/>
      <c r="Z5" s="5"/>
      <c r="AA5" s="5"/>
      <c r="AB5" s="5"/>
      <c r="AC5" s="32"/>
      <c r="AD5" s="21"/>
    </row>
    <row r="6" spans="1:30" ht="30" customHeight="1">
      <c r="B6" s="20"/>
      <c r="C6" s="36" t="s">
        <v>9</v>
      </c>
      <c r="D6" s="175" t="s">
        <v>10</v>
      </c>
      <c r="E6" s="176"/>
      <c r="F6" s="176"/>
      <c r="G6" s="176"/>
      <c r="H6" s="176"/>
      <c r="I6" s="35"/>
      <c r="J6" s="36" t="s">
        <v>11</v>
      </c>
      <c r="K6" s="184" t="s">
        <v>12</v>
      </c>
      <c r="L6" s="180"/>
      <c r="M6" s="180"/>
      <c r="N6" s="180"/>
      <c r="O6" s="180"/>
      <c r="P6" s="35"/>
      <c r="U6" s="5"/>
      <c r="V6" s="5"/>
      <c r="W6" s="5"/>
      <c r="X6" s="5"/>
      <c r="Y6" s="5"/>
      <c r="Z6" s="5"/>
      <c r="AA6" s="5"/>
      <c r="AB6" s="5"/>
      <c r="AC6" s="32"/>
      <c r="AD6" s="21"/>
    </row>
    <row r="7" spans="1:30" ht="30" customHeight="1" thickBot="1">
      <c r="B7" s="20"/>
      <c r="C7" s="32"/>
      <c r="D7" s="32"/>
      <c r="E7" s="32"/>
      <c r="F7" s="32"/>
      <c r="G7" s="32"/>
      <c r="H7" s="32"/>
      <c r="I7" s="32"/>
      <c r="J7" s="32"/>
      <c r="K7" s="11"/>
      <c r="L7" s="11"/>
      <c r="M7" s="11"/>
      <c r="N7" s="32"/>
      <c r="O7" s="32"/>
      <c r="P7" s="32"/>
      <c r="Q7" s="6"/>
      <c r="R7" s="32"/>
      <c r="S7" s="32"/>
      <c r="T7" s="32"/>
      <c r="U7" s="7"/>
      <c r="V7" s="7"/>
      <c r="W7" s="7"/>
      <c r="X7" s="7"/>
      <c r="Y7" s="7"/>
      <c r="Z7" s="7"/>
      <c r="AA7" s="7"/>
      <c r="AB7" s="7"/>
      <c r="AC7" s="32"/>
      <c r="AD7" s="21"/>
    </row>
    <row r="8" spans="1:30" ht="30" customHeight="1" thickBot="1">
      <c r="B8" s="199" t="s">
        <v>54</v>
      </c>
      <c r="C8" s="206"/>
      <c r="D8" s="199" t="s">
        <v>55</v>
      </c>
      <c r="E8" s="200"/>
      <c r="F8" s="200"/>
      <c r="G8" s="200"/>
      <c r="H8" s="200"/>
      <c r="I8" s="200"/>
      <c r="J8" s="201"/>
      <c r="K8" s="199" t="s">
        <v>56</v>
      </c>
      <c r="L8" s="200"/>
      <c r="M8" s="200"/>
      <c r="N8" s="200"/>
      <c r="O8" s="200"/>
      <c r="P8" s="200"/>
      <c r="Q8" s="201"/>
      <c r="R8" s="199" t="s">
        <v>57</v>
      </c>
      <c r="S8" s="201"/>
      <c r="T8" s="199" t="s">
        <v>58</v>
      </c>
      <c r="U8" s="201"/>
      <c r="V8" s="205" t="s">
        <v>59</v>
      </c>
      <c r="W8" s="200"/>
      <c r="X8" s="200"/>
      <c r="Y8" s="200"/>
      <c r="Z8" s="201"/>
      <c r="AA8" s="205" t="s">
        <v>84</v>
      </c>
      <c r="AB8" s="187" t="s">
        <v>85</v>
      </c>
      <c r="AC8" s="199" t="s">
        <v>21</v>
      </c>
      <c r="AD8" s="21"/>
    </row>
    <row r="9" spans="1:30" ht="30" customHeight="1" thickBot="1">
      <c r="B9" s="207"/>
      <c r="C9" s="208"/>
      <c r="D9" s="17" t="s">
        <v>60</v>
      </c>
      <c r="E9" s="17" t="s">
        <v>61</v>
      </c>
      <c r="F9" s="17" t="s">
        <v>62</v>
      </c>
      <c r="G9" s="17" t="s">
        <v>61</v>
      </c>
      <c r="H9" s="17" t="s">
        <v>63</v>
      </c>
      <c r="I9" s="17" t="s">
        <v>61</v>
      </c>
      <c r="J9" s="17" t="s">
        <v>82</v>
      </c>
      <c r="K9" s="17" t="s">
        <v>63</v>
      </c>
      <c r="L9" s="17" t="s">
        <v>61</v>
      </c>
      <c r="M9" s="17" t="s">
        <v>64</v>
      </c>
      <c r="N9" s="17" t="s">
        <v>61</v>
      </c>
      <c r="O9" s="17" t="s">
        <v>65</v>
      </c>
      <c r="P9" s="17" t="s">
        <v>61</v>
      </c>
      <c r="Q9" s="17" t="s">
        <v>82</v>
      </c>
      <c r="R9" s="17" t="s">
        <v>61</v>
      </c>
      <c r="S9" s="17" t="s">
        <v>83</v>
      </c>
      <c r="T9" s="17" t="s">
        <v>66</v>
      </c>
      <c r="U9" s="17" t="s">
        <v>67</v>
      </c>
      <c r="V9" s="18" t="s">
        <v>68</v>
      </c>
      <c r="W9" s="18" t="s">
        <v>69</v>
      </c>
      <c r="X9" s="18" t="s">
        <v>70</v>
      </c>
      <c r="Y9" s="18" t="s">
        <v>71</v>
      </c>
      <c r="Z9" s="17" t="s">
        <v>83</v>
      </c>
      <c r="AA9" s="212"/>
      <c r="AB9" s="188"/>
      <c r="AC9" s="212"/>
      <c r="AD9" s="21"/>
    </row>
    <row r="10" spans="1:30" ht="51.75" customHeight="1">
      <c r="B10" s="209">
        <v>45901</v>
      </c>
      <c r="C10" s="210"/>
      <c r="D10" s="31">
        <v>71</v>
      </c>
      <c r="E10" s="160">
        <v>4629.4862000000003</v>
      </c>
      <c r="F10" s="29">
        <v>159</v>
      </c>
      <c r="G10" s="161">
        <v>10473.274600000001</v>
      </c>
      <c r="H10" s="29">
        <v>71</v>
      </c>
      <c r="I10" s="161">
        <v>12990.5146</v>
      </c>
      <c r="J10" s="25">
        <f>(D10*E10+F10*G10+H10*I10)/1430</f>
        <v>2039.3501525874126</v>
      </c>
      <c r="K10" s="151">
        <v>2220</v>
      </c>
      <c r="L10" s="160">
        <v>76.656580000000005</v>
      </c>
      <c r="M10" s="151">
        <v>19536</v>
      </c>
      <c r="N10" s="160">
        <v>75.262979999999999</v>
      </c>
      <c r="O10" s="162">
        <v>3378</v>
      </c>
      <c r="P10" s="29">
        <v>74.160960000000003</v>
      </c>
      <c r="Q10" s="30">
        <f>(K10*L10+M10*N10+O10*P10)/1430</f>
        <v>1322.3992361958042</v>
      </c>
      <c r="R10" s="29">
        <v>0.94099999999999995</v>
      </c>
      <c r="S10" s="23">
        <f>45957.8/1430</f>
        <v>32.138321678321681</v>
      </c>
      <c r="T10" s="24">
        <v>45900</v>
      </c>
      <c r="U10" s="24">
        <v>45930</v>
      </c>
      <c r="V10" s="26">
        <v>6.5000000000000002E-2</v>
      </c>
      <c r="W10" s="26">
        <v>0.06</v>
      </c>
      <c r="X10" s="26">
        <v>4.0000000000000001E-3</v>
      </c>
      <c r="Y10" s="26">
        <v>1E-3</v>
      </c>
      <c r="Z10" s="27">
        <f>(J10+Q10+S10)*SUM(V10:Y10)</f>
        <v>441.20540236000005</v>
      </c>
      <c r="AA10" s="27">
        <f>J10+Q10+S10+Z10</f>
        <v>3835.0931128215384</v>
      </c>
      <c r="AB10" s="27">
        <v>1430</v>
      </c>
      <c r="AC10" s="28" t="s">
        <v>72</v>
      </c>
      <c r="AD10" s="21"/>
    </row>
    <row r="11" spans="1:30" ht="32.25" customHeight="1">
      <c r="B11" s="189"/>
      <c r="C11" s="190"/>
      <c r="D11" s="202"/>
      <c r="E11" s="202"/>
      <c r="F11" s="203"/>
      <c r="G11" s="203"/>
      <c r="H11" s="203"/>
      <c r="I11" s="29"/>
      <c r="J11" s="25"/>
      <c r="K11" s="31"/>
      <c r="L11" s="31"/>
      <c r="M11" s="202"/>
      <c r="N11" s="202"/>
      <c r="O11" s="203"/>
      <c r="P11" s="203"/>
      <c r="Q11" s="204"/>
      <c r="R11" s="203"/>
      <c r="S11" s="23"/>
      <c r="T11" s="24"/>
      <c r="U11" s="24"/>
      <c r="V11" s="26"/>
      <c r="W11" s="26"/>
      <c r="X11" s="26"/>
      <c r="Y11" s="26"/>
      <c r="Z11" s="27"/>
      <c r="AA11" s="27"/>
      <c r="AB11" s="27"/>
      <c r="AC11" s="28"/>
      <c r="AD11" s="21"/>
    </row>
    <row r="12" spans="1:30" ht="48" customHeight="1">
      <c r="A12" s="21"/>
      <c r="B12" s="44"/>
      <c r="C12" s="45"/>
      <c r="D12" s="214"/>
      <c r="E12" s="215"/>
      <c r="F12" s="215"/>
      <c r="G12" s="215"/>
      <c r="H12" s="215"/>
      <c r="I12" s="45"/>
      <c r="J12" s="46"/>
      <c r="K12" s="47"/>
      <c r="L12" s="47"/>
      <c r="M12" s="214"/>
      <c r="N12" s="215"/>
      <c r="O12" s="215"/>
      <c r="P12" s="215"/>
      <c r="Q12" s="215"/>
      <c r="R12" s="215"/>
      <c r="S12" s="48"/>
      <c r="T12" s="49"/>
      <c r="U12" s="49"/>
      <c r="V12" s="50"/>
      <c r="W12" s="50"/>
      <c r="X12" s="50"/>
      <c r="Y12" s="50"/>
      <c r="Z12" s="51"/>
      <c r="AA12" s="51"/>
      <c r="AB12" s="51"/>
      <c r="AC12" s="52"/>
      <c r="AD12" s="21"/>
    </row>
    <row r="13" spans="1:30" ht="15" customHeight="1">
      <c r="B13" s="22"/>
      <c r="C13" s="19" t="s">
        <v>73</v>
      </c>
      <c r="D13" s="216"/>
      <c r="E13" s="193"/>
      <c r="F13" s="193"/>
      <c r="G13" s="193"/>
      <c r="H13" s="193"/>
      <c r="J13" s="10"/>
      <c r="K13" s="19" t="s">
        <v>43</v>
      </c>
      <c r="L13" s="19"/>
      <c r="M13" s="211"/>
      <c r="N13" s="180"/>
      <c r="O13" s="180"/>
      <c r="P13" s="180"/>
      <c r="Q13" s="180"/>
      <c r="R13" s="180"/>
      <c r="S13" s="9"/>
      <c r="T13" s="9"/>
      <c r="U13" s="35"/>
      <c r="V13" s="38"/>
      <c r="W13" s="38"/>
      <c r="X13" s="38"/>
      <c r="Y13" s="38"/>
      <c r="Z13" s="38"/>
      <c r="AA13" s="38"/>
      <c r="AB13" s="38"/>
      <c r="AC13" s="13"/>
      <c r="AD13" s="21"/>
    </row>
    <row r="14" spans="1:30" ht="30" customHeight="1">
      <c r="B14" s="41"/>
      <c r="C14" s="34"/>
      <c r="D14" s="217"/>
      <c r="E14" s="218"/>
      <c r="F14" s="218"/>
      <c r="G14" s="218"/>
      <c r="H14" s="218"/>
      <c r="I14" s="34"/>
      <c r="J14" s="14"/>
      <c r="K14" s="14"/>
      <c r="L14" s="14"/>
      <c r="M14" s="217"/>
      <c r="N14" s="218"/>
      <c r="O14" s="218"/>
      <c r="P14" s="218"/>
      <c r="Q14" s="218"/>
      <c r="R14" s="218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6"/>
      <c r="AD14" s="42"/>
    </row>
    <row r="15" spans="1:30" ht="30" customHeight="1">
      <c r="C15" s="39"/>
      <c r="D15" s="198"/>
      <c r="E15" s="198"/>
      <c r="F15" s="198"/>
      <c r="G15" s="198"/>
      <c r="H15" s="198"/>
      <c r="M15" s="198"/>
      <c r="N15" s="198"/>
      <c r="O15" s="198"/>
      <c r="P15" s="198"/>
      <c r="Q15" s="198"/>
      <c r="R15" s="198"/>
    </row>
    <row r="16" spans="1:30" ht="30" customHeight="1">
      <c r="C16" s="39"/>
      <c r="D16" s="191"/>
      <c r="E16" s="191"/>
      <c r="F16" s="191"/>
      <c r="G16" s="191"/>
      <c r="H16" s="191"/>
      <c r="M16" s="191"/>
      <c r="N16" s="191"/>
      <c r="O16" s="191"/>
      <c r="P16" s="191"/>
      <c r="Q16" s="191"/>
      <c r="R16" s="191"/>
    </row>
    <row r="17" spans="3:18" ht="30" customHeight="1">
      <c r="C17" s="39"/>
      <c r="D17" s="195"/>
      <c r="E17" s="191"/>
      <c r="F17" s="191"/>
      <c r="G17" s="191"/>
      <c r="H17" s="191"/>
      <c r="J17" s="39"/>
      <c r="K17" s="39"/>
      <c r="L17" s="39"/>
      <c r="M17" s="195"/>
      <c r="N17" s="191"/>
      <c r="O17" s="191"/>
      <c r="P17" s="191"/>
      <c r="Q17" s="191"/>
      <c r="R17" s="191"/>
    </row>
    <row r="18" spans="3:18" ht="30" customHeight="1">
      <c r="C18" s="39"/>
      <c r="D18" s="195"/>
      <c r="E18" s="191"/>
      <c r="F18" s="191"/>
      <c r="G18" s="191"/>
      <c r="H18" s="191"/>
      <c r="J18" s="39"/>
      <c r="K18" s="39"/>
      <c r="L18" s="39"/>
      <c r="M18" s="195"/>
      <c r="N18" s="191"/>
      <c r="O18" s="191"/>
      <c r="P18" s="191"/>
      <c r="Q18" s="191"/>
      <c r="R18" s="191"/>
    </row>
    <row r="19" spans="3:18" ht="30" customHeight="1">
      <c r="C19" s="39"/>
      <c r="D19" s="195"/>
      <c r="E19" s="191"/>
      <c r="F19" s="191"/>
      <c r="G19" s="191"/>
      <c r="H19" s="191"/>
      <c r="J19" s="39"/>
      <c r="K19" s="39"/>
      <c r="L19" s="39"/>
      <c r="M19" s="195"/>
      <c r="N19" s="191"/>
      <c r="O19" s="191"/>
      <c r="P19" s="191"/>
      <c r="Q19" s="191"/>
      <c r="R19" s="191"/>
    </row>
    <row r="20" spans="3:18" ht="30" customHeight="1">
      <c r="C20" s="39"/>
      <c r="D20" s="195"/>
      <c r="E20" s="191"/>
      <c r="F20" s="191"/>
      <c r="G20" s="191"/>
      <c r="H20" s="191"/>
      <c r="J20" s="39"/>
      <c r="K20" s="39"/>
      <c r="L20" s="39"/>
      <c r="M20" s="195"/>
      <c r="N20" s="191"/>
      <c r="O20" s="191"/>
      <c r="P20" s="191"/>
      <c r="Q20" s="191"/>
      <c r="R20" s="191"/>
    </row>
    <row r="21" spans="3:18" ht="30" customHeight="1">
      <c r="C21" s="39"/>
      <c r="D21" s="195"/>
      <c r="E21" s="191"/>
      <c r="F21" s="191"/>
      <c r="G21" s="191"/>
      <c r="H21" s="191"/>
      <c r="J21" s="39"/>
      <c r="K21" s="39"/>
      <c r="L21" s="39"/>
      <c r="M21" s="195"/>
      <c r="N21" s="191"/>
      <c r="O21" s="191"/>
      <c r="P21" s="191"/>
      <c r="Q21" s="191"/>
      <c r="R21" s="191"/>
    </row>
    <row r="22" spans="3:18" ht="30" customHeight="1">
      <c r="C22" s="39"/>
      <c r="D22" s="195"/>
      <c r="E22" s="191"/>
      <c r="F22" s="191"/>
      <c r="G22" s="191"/>
      <c r="H22" s="191"/>
      <c r="J22" s="39"/>
      <c r="K22" s="39"/>
      <c r="L22" s="39"/>
      <c r="M22" s="195"/>
      <c r="N22" s="191"/>
      <c r="O22" s="191"/>
      <c r="P22" s="191"/>
      <c r="Q22" s="191"/>
      <c r="R22" s="191"/>
    </row>
    <row r="23" spans="3:18" ht="30" customHeight="1">
      <c r="D23" s="191"/>
      <c r="E23" s="191"/>
      <c r="F23" s="191"/>
      <c r="G23" s="191"/>
      <c r="H23" s="191"/>
      <c r="M23" s="191"/>
      <c r="N23" s="191"/>
      <c r="O23" s="191"/>
      <c r="P23" s="191"/>
      <c r="Q23" s="191"/>
      <c r="R23" s="191"/>
    </row>
    <row r="24" spans="3:18" ht="30" customHeight="1">
      <c r="D24" s="191"/>
      <c r="E24" s="191"/>
      <c r="F24" s="191"/>
      <c r="G24" s="191"/>
      <c r="H24" s="191"/>
      <c r="M24" s="191"/>
      <c r="N24" s="191"/>
      <c r="O24" s="191"/>
      <c r="P24" s="191"/>
      <c r="Q24" s="191"/>
      <c r="R24" s="191"/>
    </row>
    <row r="25" spans="3:18" ht="30" customHeight="1">
      <c r="D25" s="197"/>
      <c r="E25" s="191"/>
      <c r="F25" s="191"/>
      <c r="G25" s="191"/>
      <c r="H25" s="191"/>
      <c r="J25" s="43"/>
      <c r="K25" s="43"/>
      <c r="L25" s="43"/>
      <c r="M25" s="197"/>
      <c r="N25" s="191"/>
      <c r="O25" s="191"/>
      <c r="P25" s="191"/>
      <c r="Q25" s="191"/>
      <c r="R25" s="191"/>
    </row>
    <row r="26" spans="3:18" ht="30" customHeight="1">
      <c r="D26" s="191"/>
      <c r="E26" s="191"/>
      <c r="F26" s="191"/>
      <c r="G26" s="191"/>
      <c r="H26" s="191"/>
      <c r="M26" s="191"/>
      <c r="N26" s="191"/>
      <c r="O26" s="191"/>
      <c r="P26" s="191"/>
      <c r="Q26" s="191"/>
      <c r="R26" s="191"/>
    </row>
    <row r="27" spans="3:18" ht="30" customHeight="1">
      <c r="D27" s="191"/>
      <c r="E27" s="191"/>
      <c r="F27" s="191"/>
      <c r="G27" s="191"/>
      <c r="H27" s="191"/>
      <c r="M27" s="191"/>
      <c r="N27" s="191"/>
      <c r="O27" s="191"/>
      <c r="P27" s="191"/>
      <c r="Q27" s="191"/>
      <c r="R27" s="191"/>
    </row>
    <row r="28" spans="3:18" ht="30" customHeight="1">
      <c r="D28" s="191"/>
      <c r="E28" s="191"/>
      <c r="F28" s="191"/>
      <c r="G28" s="191"/>
      <c r="H28" s="191"/>
      <c r="M28" s="191"/>
      <c r="N28" s="191"/>
      <c r="O28" s="191"/>
      <c r="P28" s="191"/>
      <c r="Q28" s="191"/>
      <c r="R28" s="191"/>
    </row>
    <row r="29" spans="3:18" ht="30" customHeight="1">
      <c r="D29" s="191"/>
      <c r="E29" s="191"/>
      <c r="F29" s="191"/>
      <c r="G29" s="191"/>
      <c r="H29" s="191"/>
      <c r="M29" s="191"/>
      <c r="N29" s="191"/>
      <c r="O29" s="191"/>
      <c r="P29" s="191"/>
      <c r="Q29" s="191"/>
      <c r="R29" s="191"/>
    </row>
    <row r="30" spans="3:18" ht="30" customHeight="1">
      <c r="D30" s="191"/>
      <c r="E30" s="191"/>
      <c r="F30" s="191"/>
      <c r="G30" s="191"/>
      <c r="H30" s="191"/>
      <c r="M30" s="191"/>
      <c r="N30" s="191"/>
      <c r="O30" s="191"/>
      <c r="P30" s="191"/>
      <c r="Q30" s="191"/>
      <c r="R30" s="191"/>
    </row>
    <row r="31" spans="3:18" ht="30" customHeight="1">
      <c r="D31" s="191"/>
      <c r="E31" s="191"/>
      <c r="F31" s="191"/>
      <c r="G31" s="191"/>
      <c r="H31" s="191"/>
      <c r="M31" s="191"/>
      <c r="N31" s="191"/>
      <c r="O31" s="191"/>
      <c r="P31" s="191"/>
      <c r="Q31" s="191"/>
      <c r="R31" s="191"/>
    </row>
    <row r="32" spans="3:18" ht="30" customHeight="1">
      <c r="D32" s="191"/>
      <c r="E32" s="191"/>
      <c r="F32" s="191"/>
      <c r="G32" s="191"/>
      <c r="H32" s="191"/>
      <c r="M32" s="191"/>
      <c r="N32" s="191"/>
      <c r="O32" s="191"/>
      <c r="P32" s="191"/>
      <c r="Q32" s="191"/>
      <c r="R32" s="191"/>
    </row>
    <row r="33" spans="4:18" ht="30" customHeight="1">
      <c r="D33" s="191"/>
      <c r="E33" s="191"/>
      <c r="F33" s="191"/>
      <c r="G33" s="191"/>
      <c r="H33" s="191"/>
      <c r="M33" s="191"/>
      <c r="N33" s="191"/>
      <c r="O33" s="191"/>
      <c r="P33" s="191"/>
      <c r="Q33" s="191"/>
      <c r="R33" s="191"/>
    </row>
    <row r="34" spans="4:18" ht="30" customHeight="1">
      <c r="D34" s="191"/>
      <c r="E34" s="191"/>
      <c r="F34" s="191"/>
      <c r="G34" s="191"/>
      <c r="H34" s="191"/>
      <c r="M34" s="191"/>
      <c r="N34" s="191"/>
      <c r="O34" s="191"/>
      <c r="P34" s="191"/>
      <c r="Q34" s="191"/>
      <c r="R34" s="191"/>
    </row>
    <row r="35" spans="4:18" ht="30" customHeight="1">
      <c r="D35" s="191"/>
      <c r="E35" s="191"/>
      <c r="F35" s="191"/>
      <c r="G35" s="191"/>
      <c r="H35" s="191"/>
      <c r="M35" s="191"/>
      <c r="N35" s="191"/>
      <c r="O35" s="191"/>
      <c r="P35" s="191"/>
      <c r="Q35" s="191"/>
      <c r="R35" s="191"/>
    </row>
    <row r="36" spans="4:18" ht="30" customHeight="1">
      <c r="D36" s="191"/>
      <c r="E36" s="191"/>
      <c r="F36" s="191"/>
      <c r="G36" s="191"/>
      <c r="H36" s="191"/>
      <c r="M36" s="191"/>
      <c r="N36" s="191"/>
      <c r="O36" s="191"/>
      <c r="P36" s="191"/>
      <c r="Q36" s="191"/>
      <c r="R36" s="191"/>
    </row>
    <row r="37" spans="4:18" ht="30" customHeight="1">
      <c r="D37" s="191"/>
      <c r="E37" s="191"/>
      <c r="F37" s="191"/>
      <c r="G37" s="191"/>
      <c r="H37" s="191"/>
      <c r="M37" s="191"/>
      <c r="N37" s="191"/>
      <c r="O37" s="191"/>
      <c r="P37" s="191"/>
      <c r="Q37" s="191"/>
      <c r="R37" s="191"/>
    </row>
    <row r="38" spans="4:18" ht="30" customHeight="1">
      <c r="D38" s="191"/>
      <c r="E38" s="191"/>
      <c r="F38" s="191"/>
      <c r="G38" s="191"/>
      <c r="H38" s="191"/>
      <c r="M38" s="191"/>
      <c r="N38" s="191"/>
      <c r="O38" s="191"/>
      <c r="P38" s="191"/>
      <c r="Q38" s="191"/>
      <c r="R38" s="191"/>
    </row>
    <row r="39" spans="4:18" ht="30" customHeight="1">
      <c r="D39" s="191"/>
      <c r="E39" s="191"/>
      <c r="F39" s="191"/>
      <c r="G39" s="191"/>
      <c r="H39" s="191"/>
      <c r="M39" s="191"/>
      <c r="N39" s="191"/>
      <c r="O39" s="191"/>
      <c r="P39" s="191"/>
      <c r="Q39" s="191"/>
      <c r="R39" s="191"/>
    </row>
    <row r="40" spans="4:18" ht="30" customHeight="1">
      <c r="D40" s="191"/>
      <c r="E40" s="191"/>
      <c r="F40" s="191"/>
      <c r="G40" s="191"/>
      <c r="H40" s="191"/>
      <c r="M40" s="191"/>
      <c r="N40" s="191"/>
      <c r="O40" s="191"/>
      <c r="P40" s="191"/>
      <c r="Q40" s="191"/>
      <c r="R40" s="191"/>
    </row>
    <row r="41" spans="4:18" ht="30" customHeight="1">
      <c r="D41" s="191"/>
      <c r="E41" s="191"/>
      <c r="F41" s="191"/>
      <c r="G41" s="191"/>
      <c r="H41" s="191"/>
      <c r="M41" s="191"/>
      <c r="N41" s="191"/>
      <c r="O41" s="191"/>
      <c r="P41" s="191"/>
      <c r="Q41" s="191"/>
      <c r="R41" s="191"/>
    </row>
    <row r="42" spans="4:18" ht="30" customHeight="1">
      <c r="D42" s="191"/>
      <c r="E42" s="191"/>
      <c r="F42" s="191"/>
      <c r="G42" s="191"/>
      <c r="H42" s="191"/>
      <c r="M42" s="191"/>
      <c r="N42" s="191"/>
      <c r="O42" s="191"/>
      <c r="P42" s="191"/>
      <c r="Q42" s="191"/>
      <c r="R42" s="191"/>
    </row>
    <row r="43" spans="4:18" ht="30" customHeight="1">
      <c r="D43" s="191"/>
      <c r="E43" s="191"/>
      <c r="F43" s="191"/>
      <c r="G43" s="191"/>
      <c r="H43" s="191"/>
      <c r="M43" s="191"/>
      <c r="N43" s="191"/>
      <c r="O43" s="191"/>
      <c r="P43" s="191"/>
      <c r="Q43" s="191"/>
      <c r="R43" s="191"/>
    </row>
    <row r="44" spans="4:18" ht="30" customHeight="1">
      <c r="D44" s="191"/>
      <c r="E44" s="191"/>
      <c r="F44" s="191"/>
      <c r="G44" s="191"/>
      <c r="H44" s="191"/>
      <c r="M44" s="191"/>
      <c r="N44" s="191"/>
      <c r="O44" s="191"/>
      <c r="P44" s="191"/>
      <c r="Q44" s="191"/>
      <c r="R44" s="191"/>
    </row>
    <row r="45" spans="4:18" ht="30" customHeight="1">
      <c r="D45" s="191"/>
      <c r="E45" s="191"/>
      <c r="F45" s="191"/>
      <c r="G45" s="191"/>
      <c r="H45" s="191"/>
      <c r="M45" s="191"/>
      <c r="N45" s="191"/>
      <c r="O45" s="191"/>
      <c r="P45" s="191"/>
      <c r="Q45" s="191"/>
      <c r="R45" s="191"/>
    </row>
    <row r="46" spans="4:18" ht="30" customHeight="1">
      <c r="D46" s="191"/>
      <c r="E46" s="191"/>
      <c r="F46" s="191"/>
      <c r="G46" s="191"/>
      <c r="H46" s="191"/>
      <c r="M46" s="191"/>
      <c r="N46" s="191"/>
      <c r="O46" s="191"/>
      <c r="P46" s="191"/>
      <c r="Q46" s="191"/>
      <c r="R46" s="191"/>
    </row>
    <row r="47" spans="4:18" ht="30" customHeight="1">
      <c r="D47" s="191"/>
      <c r="E47" s="191"/>
      <c r="F47" s="191"/>
      <c r="G47" s="191"/>
      <c r="H47" s="191"/>
      <c r="M47" s="191"/>
      <c r="N47" s="191"/>
      <c r="O47" s="191"/>
      <c r="P47" s="191"/>
      <c r="Q47" s="191"/>
      <c r="R47" s="191"/>
    </row>
    <row r="48" spans="4:18" ht="30" customHeight="1">
      <c r="D48" s="191"/>
      <c r="E48" s="191"/>
      <c r="F48" s="191"/>
      <c r="G48" s="191"/>
      <c r="H48" s="191"/>
      <c r="M48" s="191"/>
      <c r="N48" s="191"/>
      <c r="O48" s="191"/>
      <c r="P48" s="191"/>
      <c r="Q48" s="191"/>
      <c r="R48" s="191"/>
    </row>
    <row r="49" spans="4:18" ht="30" customHeight="1">
      <c r="D49" s="191"/>
      <c r="E49" s="191"/>
      <c r="F49" s="191"/>
      <c r="G49" s="191"/>
      <c r="H49" s="191"/>
      <c r="M49" s="191"/>
      <c r="N49" s="191"/>
      <c r="O49" s="191"/>
      <c r="P49" s="191"/>
      <c r="Q49" s="191"/>
      <c r="R49" s="191"/>
    </row>
    <row r="50" spans="4:18" ht="30" customHeight="1">
      <c r="D50" s="191"/>
      <c r="E50" s="191"/>
      <c r="F50" s="191"/>
      <c r="G50" s="191"/>
      <c r="H50" s="191"/>
      <c r="M50" s="191"/>
      <c r="N50" s="191"/>
      <c r="O50" s="191"/>
      <c r="P50" s="191"/>
      <c r="Q50" s="191"/>
      <c r="R50" s="191"/>
    </row>
    <row r="51" spans="4:18" ht="30" customHeight="1">
      <c r="D51" s="191"/>
      <c r="E51" s="191"/>
      <c r="F51" s="191"/>
      <c r="G51" s="191"/>
      <c r="H51" s="191"/>
      <c r="M51" s="191"/>
      <c r="N51" s="191"/>
      <c r="O51" s="191"/>
      <c r="P51" s="191"/>
      <c r="Q51" s="191"/>
      <c r="R51" s="191"/>
    </row>
    <row r="52" spans="4:18" ht="30" customHeight="1">
      <c r="D52" s="191"/>
      <c r="E52" s="191"/>
      <c r="F52" s="191"/>
      <c r="G52" s="191"/>
      <c r="H52" s="191"/>
      <c r="M52" s="191"/>
      <c r="N52" s="191"/>
      <c r="O52" s="191"/>
      <c r="P52" s="191"/>
      <c r="Q52" s="191"/>
      <c r="R52" s="191"/>
    </row>
    <row r="53" spans="4:18" ht="30" customHeight="1">
      <c r="D53" s="191"/>
      <c r="E53" s="191"/>
      <c r="F53" s="191"/>
      <c r="G53" s="191"/>
      <c r="H53" s="191"/>
      <c r="M53" s="191"/>
      <c r="N53" s="191"/>
      <c r="O53" s="191"/>
      <c r="P53" s="191"/>
      <c r="Q53" s="191"/>
      <c r="R53" s="191"/>
    </row>
    <row r="54" spans="4:18" ht="30" customHeight="1">
      <c r="D54" s="191"/>
      <c r="E54" s="191"/>
      <c r="F54" s="191"/>
      <c r="G54" s="191"/>
      <c r="H54" s="191"/>
      <c r="M54" s="191"/>
      <c r="N54" s="191"/>
      <c r="O54" s="191"/>
      <c r="P54" s="191"/>
      <c r="Q54" s="191"/>
      <c r="R54" s="191"/>
    </row>
    <row r="55" spans="4:18" ht="30" customHeight="1">
      <c r="D55" s="191"/>
      <c r="E55" s="191"/>
      <c r="F55" s="191"/>
      <c r="G55" s="191"/>
      <c r="H55" s="191"/>
      <c r="M55" s="191"/>
      <c r="N55" s="191"/>
      <c r="O55" s="191"/>
      <c r="P55" s="191"/>
      <c r="Q55" s="191"/>
      <c r="R55" s="191"/>
    </row>
    <row r="56" spans="4:18" ht="30" customHeight="1">
      <c r="D56" s="191"/>
      <c r="E56" s="191"/>
      <c r="F56" s="191"/>
      <c r="G56" s="191"/>
      <c r="H56" s="191"/>
      <c r="M56" s="191"/>
      <c r="N56" s="191"/>
      <c r="O56" s="191"/>
      <c r="P56" s="191"/>
      <c r="Q56" s="191"/>
      <c r="R56" s="191"/>
    </row>
    <row r="57" spans="4:18" ht="30" customHeight="1">
      <c r="D57" s="191"/>
      <c r="E57" s="191"/>
      <c r="F57" s="191"/>
      <c r="G57" s="191"/>
      <c r="H57" s="191"/>
      <c r="M57" s="191"/>
      <c r="N57" s="191"/>
      <c r="O57" s="191"/>
      <c r="P57" s="191"/>
      <c r="Q57" s="191"/>
      <c r="R57" s="191"/>
    </row>
    <row r="58" spans="4:18" ht="30" customHeight="1">
      <c r="D58" s="191"/>
      <c r="E58" s="191"/>
      <c r="F58" s="191"/>
      <c r="G58" s="191"/>
      <c r="H58" s="191"/>
      <c r="M58" s="191"/>
      <c r="N58" s="191"/>
      <c r="O58" s="191"/>
      <c r="P58" s="191"/>
      <c r="Q58" s="191"/>
      <c r="R58" s="191"/>
    </row>
    <row r="59" spans="4:18" ht="30" customHeight="1">
      <c r="D59" s="191"/>
      <c r="E59" s="191"/>
      <c r="F59" s="191"/>
      <c r="G59" s="191"/>
      <c r="H59" s="191"/>
      <c r="M59" s="191"/>
      <c r="N59" s="191"/>
      <c r="O59" s="191"/>
      <c r="P59" s="191"/>
      <c r="Q59" s="191"/>
      <c r="R59" s="191"/>
    </row>
    <row r="60" spans="4:18" ht="30" customHeight="1">
      <c r="D60" s="191"/>
      <c r="E60" s="191"/>
      <c r="F60" s="191"/>
      <c r="G60" s="191"/>
      <c r="H60" s="191"/>
      <c r="M60" s="191"/>
      <c r="N60" s="191"/>
      <c r="O60" s="191"/>
      <c r="P60" s="191"/>
      <c r="Q60" s="191"/>
      <c r="R60" s="191"/>
    </row>
    <row r="61" spans="4:18" ht="30" customHeight="1">
      <c r="D61" s="191"/>
      <c r="E61" s="191"/>
      <c r="F61" s="191"/>
      <c r="G61" s="191"/>
      <c r="H61" s="191"/>
      <c r="M61" s="191"/>
      <c r="N61" s="191"/>
      <c r="O61" s="191"/>
      <c r="P61" s="191"/>
      <c r="Q61" s="191"/>
      <c r="R61" s="191"/>
    </row>
    <row r="62" spans="4:18" ht="30" customHeight="1">
      <c r="D62" s="191"/>
      <c r="E62" s="191"/>
      <c r="F62" s="191"/>
      <c r="G62" s="191"/>
      <c r="H62" s="191"/>
      <c r="M62" s="191"/>
      <c r="N62" s="191"/>
      <c r="O62" s="191"/>
      <c r="P62" s="191"/>
      <c r="Q62" s="191"/>
      <c r="R62" s="191"/>
    </row>
    <row r="63" spans="4:18" ht="30" customHeight="1">
      <c r="D63" s="191"/>
      <c r="E63" s="191"/>
      <c r="F63" s="191"/>
      <c r="G63" s="191"/>
      <c r="H63" s="191"/>
      <c r="M63" s="191"/>
      <c r="N63" s="191"/>
      <c r="O63" s="191"/>
      <c r="P63" s="191"/>
      <c r="Q63" s="191"/>
      <c r="R63" s="191"/>
    </row>
    <row r="64" spans="4:18" ht="30" customHeight="1">
      <c r="D64" s="191"/>
      <c r="E64" s="191"/>
      <c r="F64" s="191"/>
      <c r="G64" s="191"/>
      <c r="H64" s="191"/>
      <c r="M64" s="191"/>
      <c r="N64" s="191"/>
      <c r="O64" s="191"/>
      <c r="P64" s="191"/>
      <c r="Q64" s="191"/>
      <c r="R64" s="191"/>
    </row>
    <row r="65" spans="4:18" ht="30" customHeight="1">
      <c r="D65" s="191"/>
      <c r="E65" s="191"/>
      <c r="F65" s="191"/>
      <c r="G65" s="191"/>
      <c r="H65" s="191"/>
      <c r="M65" s="191"/>
      <c r="N65" s="191"/>
      <c r="O65" s="191"/>
      <c r="P65" s="191"/>
      <c r="Q65" s="191"/>
      <c r="R65" s="191"/>
    </row>
    <row r="66" spans="4:18" ht="30" customHeight="1">
      <c r="D66" s="191"/>
      <c r="E66" s="191"/>
      <c r="F66" s="191"/>
      <c r="G66" s="191"/>
      <c r="H66" s="191"/>
      <c r="M66" s="191"/>
      <c r="N66" s="191"/>
      <c r="O66" s="191"/>
      <c r="P66" s="191"/>
      <c r="Q66" s="191"/>
      <c r="R66" s="191"/>
    </row>
    <row r="67" spans="4:18" ht="30" customHeight="1">
      <c r="D67" s="191"/>
      <c r="E67" s="191"/>
      <c r="F67" s="191"/>
      <c r="G67" s="191"/>
      <c r="H67" s="191"/>
      <c r="M67" s="191"/>
      <c r="N67" s="191"/>
      <c r="O67" s="191"/>
      <c r="P67" s="191"/>
      <c r="Q67" s="191"/>
      <c r="R67" s="191"/>
    </row>
    <row r="68" spans="4:18" ht="30" customHeight="1">
      <c r="D68" s="191"/>
      <c r="E68" s="191"/>
      <c r="F68" s="191"/>
      <c r="G68" s="191"/>
      <c r="H68" s="191"/>
      <c r="M68" s="191"/>
      <c r="N68" s="191"/>
      <c r="O68" s="191"/>
      <c r="P68" s="191"/>
      <c r="Q68" s="191"/>
      <c r="R68" s="191"/>
    </row>
    <row r="69" spans="4:18" ht="30" customHeight="1">
      <c r="D69" s="191"/>
      <c r="E69" s="191"/>
      <c r="F69" s="191"/>
      <c r="G69" s="191"/>
      <c r="H69" s="191"/>
      <c r="M69" s="191"/>
      <c r="N69" s="191"/>
      <c r="O69" s="191"/>
      <c r="P69" s="191"/>
      <c r="Q69" s="191"/>
      <c r="R69" s="191"/>
    </row>
    <row r="70" spans="4:18" ht="30" customHeight="1">
      <c r="D70" s="191"/>
      <c r="E70" s="191"/>
      <c r="F70" s="191"/>
      <c r="G70" s="191"/>
      <c r="H70" s="191"/>
      <c r="M70" s="191"/>
      <c r="N70" s="191"/>
      <c r="O70" s="191"/>
      <c r="P70" s="191"/>
      <c r="Q70" s="191"/>
      <c r="R70" s="191"/>
    </row>
    <row r="71" spans="4:18" ht="30" customHeight="1">
      <c r="D71" s="191"/>
      <c r="E71" s="191"/>
      <c r="F71" s="191"/>
      <c r="G71" s="191"/>
      <c r="H71" s="191"/>
      <c r="M71" s="191"/>
      <c r="N71" s="191"/>
      <c r="O71" s="191"/>
      <c r="P71" s="191"/>
      <c r="Q71" s="191"/>
      <c r="R71" s="191"/>
    </row>
    <row r="72" spans="4:18" ht="30" customHeight="1">
      <c r="D72" s="191"/>
      <c r="E72" s="191"/>
      <c r="F72" s="191"/>
      <c r="G72" s="191"/>
      <c r="H72" s="191"/>
      <c r="M72" s="191"/>
      <c r="N72" s="191"/>
      <c r="O72" s="191"/>
      <c r="P72" s="191"/>
      <c r="Q72" s="191"/>
      <c r="R72" s="191"/>
    </row>
    <row r="73" spans="4:18" ht="30" customHeight="1">
      <c r="D73" s="191"/>
      <c r="E73" s="191"/>
      <c r="F73" s="191"/>
      <c r="G73" s="191"/>
      <c r="H73" s="191"/>
      <c r="M73" s="191"/>
      <c r="N73" s="191"/>
      <c r="O73" s="191"/>
      <c r="P73" s="191"/>
      <c r="Q73" s="191"/>
      <c r="R73" s="191"/>
    </row>
    <row r="74" spans="4:18" ht="30" customHeight="1">
      <c r="D74" s="191"/>
      <c r="E74" s="191"/>
      <c r="F74" s="191"/>
      <c r="G74" s="191"/>
      <c r="H74" s="191"/>
      <c r="M74" s="191"/>
      <c r="N74" s="191"/>
      <c r="O74" s="191"/>
      <c r="P74" s="191"/>
      <c r="Q74" s="191"/>
      <c r="R74" s="191"/>
    </row>
    <row r="75" spans="4:18" ht="30" customHeight="1">
      <c r="D75" s="191"/>
      <c r="E75" s="191"/>
      <c r="F75" s="191"/>
      <c r="G75" s="191"/>
      <c r="H75" s="191"/>
      <c r="M75" s="191"/>
      <c r="N75" s="191"/>
      <c r="O75" s="191"/>
      <c r="P75" s="191"/>
      <c r="Q75" s="191"/>
      <c r="R75" s="191"/>
    </row>
    <row r="76" spans="4:18" ht="30" customHeight="1">
      <c r="D76" s="191"/>
      <c r="E76" s="191"/>
      <c r="F76" s="191"/>
      <c r="G76" s="191"/>
      <c r="H76" s="191"/>
      <c r="M76" s="191"/>
      <c r="N76" s="191"/>
      <c r="O76" s="191"/>
      <c r="P76" s="191"/>
      <c r="Q76" s="191"/>
      <c r="R76" s="191"/>
    </row>
    <row r="77" spans="4:18" ht="30" customHeight="1">
      <c r="D77" s="191"/>
      <c r="E77" s="191"/>
      <c r="F77" s="191"/>
      <c r="G77" s="191"/>
      <c r="H77" s="191"/>
      <c r="M77" s="191"/>
      <c r="N77" s="191"/>
      <c r="O77" s="191"/>
      <c r="P77" s="191"/>
      <c r="Q77" s="191"/>
      <c r="R77" s="191"/>
    </row>
    <row r="78" spans="4:18" ht="30" customHeight="1">
      <c r="D78" s="191"/>
      <c r="E78" s="191"/>
      <c r="F78" s="191"/>
      <c r="G78" s="191"/>
      <c r="H78" s="191"/>
      <c r="M78" s="191"/>
      <c r="N78" s="191"/>
      <c r="O78" s="191"/>
      <c r="P78" s="191"/>
      <c r="Q78" s="191"/>
      <c r="R78" s="191"/>
    </row>
    <row r="79" spans="4:18" ht="30" customHeight="1">
      <c r="D79" s="191"/>
      <c r="E79" s="191"/>
      <c r="F79" s="191"/>
      <c r="G79" s="191"/>
      <c r="H79" s="191"/>
      <c r="M79" s="191"/>
      <c r="N79" s="191"/>
      <c r="O79" s="191"/>
      <c r="P79" s="191"/>
      <c r="Q79" s="191"/>
      <c r="R79" s="191"/>
    </row>
    <row r="80" spans="4:18" ht="30" customHeight="1">
      <c r="D80" s="191"/>
      <c r="E80" s="191"/>
      <c r="F80" s="191"/>
      <c r="G80" s="191"/>
      <c r="H80" s="191"/>
      <c r="M80" s="191"/>
      <c r="N80" s="191"/>
      <c r="O80" s="191"/>
      <c r="P80" s="191"/>
      <c r="Q80" s="191"/>
      <c r="R80" s="191"/>
    </row>
    <row r="81" spans="4:18" ht="30" customHeight="1">
      <c r="D81" s="191"/>
      <c r="E81" s="191"/>
      <c r="F81" s="191"/>
      <c r="G81" s="191"/>
      <c r="H81" s="191"/>
      <c r="M81" s="191"/>
      <c r="N81" s="191"/>
      <c r="O81" s="191"/>
      <c r="P81" s="191"/>
      <c r="Q81" s="191"/>
      <c r="R81" s="191"/>
    </row>
    <row r="82" spans="4:18" ht="30" customHeight="1">
      <c r="D82" s="191"/>
      <c r="E82" s="191"/>
      <c r="F82" s="191"/>
      <c r="G82" s="191"/>
      <c r="H82" s="191"/>
      <c r="M82" s="191"/>
      <c r="N82" s="191"/>
      <c r="O82" s="191"/>
      <c r="P82" s="191"/>
      <c r="Q82" s="191"/>
      <c r="R82" s="191"/>
    </row>
    <row r="83" spans="4:18" ht="30" customHeight="1">
      <c r="D83" s="191"/>
      <c r="E83" s="191"/>
      <c r="F83" s="191"/>
      <c r="G83" s="191"/>
      <c r="H83" s="191"/>
      <c r="M83" s="191"/>
      <c r="N83" s="191"/>
      <c r="O83" s="191"/>
      <c r="P83" s="191"/>
      <c r="Q83" s="191"/>
      <c r="R83" s="191"/>
    </row>
    <row r="84" spans="4:18" ht="30" customHeight="1">
      <c r="D84" s="191"/>
      <c r="E84" s="191"/>
      <c r="F84" s="191"/>
      <c r="G84" s="191"/>
      <c r="H84" s="191"/>
      <c r="M84" s="191"/>
      <c r="N84" s="191"/>
      <c r="O84" s="191"/>
      <c r="P84" s="191"/>
      <c r="Q84" s="191"/>
      <c r="R84" s="191"/>
    </row>
    <row r="85" spans="4:18" ht="30" customHeight="1">
      <c r="D85" s="191"/>
      <c r="E85" s="191"/>
      <c r="F85" s="191"/>
      <c r="G85" s="191"/>
      <c r="H85" s="191"/>
      <c r="M85" s="191"/>
      <c r="N85" s="191"/>
      <c r="O85" s="191"/>
      <c r="P85" s="191"/>
      <c r="Q85" s="191"/>
      <c r="R85" s="191"/>
    </row>
    <row r="86" spans="4:18" ht="30" customHeight="1">
      <c r="D86" s="191"/>
      <c r="E86" s="191"/>
      <c r="F86" s="191"/>
      <c r="G86" s="191"/>
      <c r="H86" s="191"/>
      <c r="M86" s="191"/>
      <c r="N86" s="191"/>
      <c r="O86" s="191"/>
      <c r="P86" s="191"/>
      <c r="Q86" s="191"/>
      <c r="R86" s="191"/>
    </row>
    <row r="87" spans="4:18" ht="30" customHeight="1">
      <c r="D87" s="191"/>
      <c r="E87" s="191"/>
      <c r="F87" s="191"/>
      <c r="G87" s="191"/>
      <c r="H87" s="191"/>
      <c r="M87" s="191"/>
      <c r="N87" s="191"/>
      <c r="O87" s="191"/>
      <c r="P87" s="191"/>
      <c r="Q87" s="191"/>
      <c r="R87" s="191"/>
    </row>
    <row r="88" spans="4:18" ht="30" customHeight="1">
      <c r="D88" s="191"/>
      <c r="E88" s="191"/>
      <c r="F88" s="191"/>
      <c r="G88" s="191"/>
      <c r="H88" s="191"/>
      <c r="M88" s="191"/>
      <c r="N88" s="191"/>
      <c r="O88" s="191"/>
      <c r="P88" s="191"/>
      <c r="Q88" s="191"/>
      <c r="R88" s="191"/>
    </row>
    <row r="89" spans="4:18" ht="30" customHeight="1">
      <c r="D89" s="191"/>
      <c r="E89" s="191"/>
      <c r="F89" s="191"/>
      <c r="G89" s="191"/>
      <c r="H89" s="191"/>
      <c r="M89" s="191"/>
      <c r="N89" s="191"/>
      <c r="O89" s="191"/>
      <c r="P89" s="191"/>
      <c r="Q89" s="191"/>
      <c r="R89" s="191"/>
    </row>
    <row r="90" spans="4:18" ht="30" customHeight="1">
      <c r="D90" s="191"/>
      <c r="E90" s="191"/>
      <c r="F90" s="191"/>
      <c r="G90" s="191"/>
      <c r="H90" s="191"/>
      <c r="M90" s="191"/>
      <c r="N90" s="191"/>
      <c r="O90" s="191"/>
      <c r="P90" s="191"/>
      <c r="Q90" s="191"/>
      <c r="R90" s="191"/>
    </row>
    <row r="91" spans="4:18" ht="30" customHeight="1">
      <c r="D91" s="191"/>
      <c r="E91" s="191"/>
      <c r="F91" s="191"/>
      <c r="G91" s="191"/>
      <c r="H91" s="191"/>
      <c r="M91" s="191"/>
      <c r="N91" s="191"/>
      <c r="O91" s="191"/>
      <c r="P91" s="191"/>
      <c r="Q91" s="191"/>
      <c r="R91" s="191"/>
    </row>
    <row r="92" spans="4:18" ht="30" customHeight="1">
      <c r="D92" s="191"/>
      <c r="E92" s="191"/>
      <c r="F92" s="191"/>
      <c r="G92" s="191"/>
      <c r="H92" s="191"/>
      <c r="M92" s="191"/>
      <c r="N92" s="191"/>
      <c r="O92" s="191"/>
      <c r="P92" s="191"/>
      <c r="Q92" s="191"/>
      <c r="R92" s="191"/>
    </row>
    <row r="93" spans="4:18" ht="30" customHeight="1">
      <c r="D93" s="191"/>
      <c r="E93" s="191"/>
      <c r="F93" s="191"/>
      <c r="G93" s="191"/>
      <c r="H93" s="191"/>
      <c r="M93" s="191"/>
      <c r="N93" s="191"/>
      <c r="O93" s="191"/>
      <c r="P93" s="191"/>
      <c r="Q93" s="191"/>
      <c r="R93" s="191"/>
    </row>
    <row r="94" spans="4:18" ht="30" customHeight="1">
      <c r="D94" s="191"/>
      <c r="E94" s="191"/>
      <c r="F94" s="191"/>
      <c r="G94" s="191"/>
      <c r="H94" s="191"/>
      <c r="M94" s="191"/>
      <c r="N94" s="191"/>
      <c r="O94" s="191"/>
      <c r="P94" s="191"/>
      <c r="Q94" s="191"/>
      <c r="R94" s="191"/>
    </row>
    <row r="95" spans="4:18" ht="30" customHeight="1">
      <c r="D95" s="191"/>
      <c r="E95" s="191"/>
      <c r="F95" s="191"/>
      <c r="G95" s="191"/>
      <c r="H95" s="191"/>
      <c r="M95" s="191"/>
      <c r="N95" s="191"/>
      <c r="O95" s="191"/>
      <c r="P95" s="191"/>
      <c r="Q95" s="191"/>
      <c r="R95" s="191"/>
    </row>
    <row r="96" spans="4:18" ht="30" customHeight="1">
      <c r="D96" s="191"/>
      <c r="E96" s="191"/>
      <c r="F96" s="191"/>
      <c r="G96" s="191"/>
      <c r="H96" s="191"/>
      <c r="M96" s="191"/>
      <c r="N96" s="191"/>
      <c r="O96" s="191"/>
      <c r="P96" s="191"/>
      <c r="Q96" s="191"/>
      <c r="R96" s="191"/>
    </row>
    <row r="97" spans="4:18" ht="30" customHeight="1">
      <c r="D97" s="191"/>
      <c r="E97" s="191"/>
      <c r="F97" s="191"/>
      <c r="G97" s="191"/>
      <c r="H97" s="191"/>
      <c r="M97" s="191"/>
      <c r="N97" s="191"/>
      <c r="O97" s="191"/>
      <c r="P97" s="191"/>
      <c r="Q97" s="191"/>
      <c r="R97" s="191"/>
    </row>
    <row r="98" spans="4:18" ht="30" customHeight="1">
      <c r="D98" s="191"/>
      <c r="E98" s="191"/>
      <c r="F98" s="191"/>
      <c r="G98" s="191"/>
      <c r="H98" s="191"/>
      <c r="M98" s="191"/>
      <c r="N98" s="191"/>
      <c r="O98" s="191"/>
      <c r="P98" s="191"/>
      <c r="Q98" s="191"/>
      <c r="R98" s="191"/>
    </row>
    <row r="99" spans="4:18" ht="30" customHeight="1">
      <c r="D99" s="191"/>
      <c r="E99" s="191"/>
      <c r="F99" s="191"/>
      <c r="G99" s="191"/>
      <c r="H99" s="191"/>
      <c r="M99" s="191"/>
      <c r="N99" s="191"/>
      <c r="O99" s="191"/>
      <c r="P99" s="191"/>
      <c r="Q99" s="191"/>
      <c r="R99" s="191"/>
    </row>
    <row r="100" spans="4:18" ht="30" customHeight="1">
      <c r="D100" s="191"/>
      <c r="E100" s="191"/>
      <c r="F100" s="191"/>
      <c r="G100" s="191"/>
      <c r="H100" s="191"/>
      <c r="M100" s="191"/>
      <c r="N100" s="191"/>
      <c r="O100" s="191"/>
      <c r="P100" s="191"/>
      <c r="Q100" s="191"/>
      <c r="R100" s="191"/>
    </row>
    <row r="101" spans="4:18" ht="30" customHeight="1">
      <c r="D101" s="191"/>
      <c r="E101" s="191"/>
      <c r="F101" s="191"/>
      <c r="G101" s="191"/>
      <c r="H101" s="191"/>
      <c r="M101" s="191"/>
      <c r="N101" s="191"/>
      <c r="O101" s="191"/>
      <c r="P101" s="191"/>
      <c r="Q101" s="191"/>
      <c r="R101" s="191"/>
    </row>
    <row r="102" spans="4:18" ht="30" customHeight="1">
      <c r="D102" s="191"/>
      <c r="E102" s="191"/>
      <c r="F102" s="191"/>
      <c r="G102" s="191"/>
      <c r="H102" s="191"/>
      <c r="M102" s="191"/>
      <c r="N102" s="191"/>
      <c r="O102" s="191"/>
      <c r="P102" s="191"/>
      <c r="Q102" s="191"/>
      <c r="R102" s="191"/>
    </row>
    <row r="103" spans="4:18" ht="30" customHeight="1">
      <c r="D103" s="191"/>
      <c r="E103" s="191"/>
      <c r="F103" s="191"/>
      <c r="G103" s="191"/>
      <c r="H103" s="191"/>
      <c r="M103" s="191"/>
      <c r="N103" s="191"/>
      <c r="O103" s="191"/>
      <c r="P103" s="191"/>
      <c r="Q103" s="191"/>
      <c r="R103" s="191"/>
    </row>
    <row r="104" spans="4:18" ht="30" customHeight="1">
      <c r="D104" s="191"/>
      <c r="E104" s="191"/>
      <c r="F104" s="191"/>
      <c r="G104" s="191"/>
      <c r="H104" s="191"/>
      <c r="M104" s="191"/>
      <c r="N104" s="191"/>
      <c r="O104" s="191"/>
      <c r="P104" s="191"/>
      <c r="Q104" s="191"/>
      <c r="R104" s="191"/>
    </row>
    <row r="105" spans="4:18" ht="30" customHeight="1">
      <c r="D105" s="191"/>
      <c r="E105" s="191"/>
      <c r="F105" s="191"/>
      <c r="G105" s="191"/>
      <c r="H105" s="191"/>
      <c r="M105" s="191"/>
      <c r="N105" s="191"/>
      <c r="O105" s="191"/>
      <c r="P105" s="191"/>
      <c r="Q105" s="191"/>
      <c r="R105" s="191"/>
    </row>
    <row r="106" spans="4:18" ht="30" customHeight="1">
      <c r="D106" s="191"/>
      <c r="E106" s="191"/>
      <c r="F106" s="191"/>
      <c r="G106" s="191"/>
      <c r="H106" s="191"/>
      <c r="M106" s="191"/>
      <c r="N106" s="191"/>
      <c r="O106" s="191"/>
      <c r="P106" s="191"/>
      <c r="Q106" s="191"/>
      <c r="R106" s="191"/>
    </row>
    <row r="107" spans="4:18" ht="30" customHeight="1">
      <c r="D107" s="191"/>
      <c r="E107" s="191"/>
      <c r="F107" s="191"/>
      <c r="G107" s="191"/>
      <c r="H107" s="191"/>
      <c r="M107" s="191"/>
      <c r="N107" s="191"/>
      <c r="O107" s="191"/>
      <c r="P107" s="191"/>
      <c r="Q107" s="191"/>
      <c r="R107" s="191"/>
    </row>
    <row r="108" spans="4:18" ht="30" customHeight="1">
      <c r="D108" s="191"/>
      <c r="E108" s="191"/>
      <c r="F108" s="191"/>
      <c r="G108" s="191"/>
      <c r="H108" s="191"/>
      <c r="M108" s="191"/>
      <c r="N108" s="191"/>
      <c r="O108" s="191"/>
      <c r="P108" s="191"/>
      <c r="Q108" s="191"/>
      <c r="R108" s="191"/>
    </row>
    <row r="109" spans="4:18" ht="30" customHeight="1">
      <c r="D109" s="191"/>
      <c r="E109" s="191"/>
      <c r="F109" s="191"/>
      <c r="G109" s="191"/>
      <c r="H109" s="191"/>
      <c r="M109" s="191"/>
      <c r="N109" s="191"/>
      <c r="O109" s="191"/>
      <c r="P109" s="191"/>
      <c r="Q109" s="191"/>
      <c r="R109" s="191"/>
    </row>
    <row r="110" spans="4:18" ht="30" customHeight="1">
      <c r="D110" s="191"/>
      <c r="E110" s="191"/>
      <c r="F110" s="191"/>
      <c r="G110" s="191"/>
      <c r="H110" s="191"/>
      <c r="M110" s="191"/>
      <c r="N110" s="191"/>
      <c r="O110" s="191"/>
      <c r="P110" s="191"/>
      <c r="Q110" s="191"/>
      <c r="R110" s="191"/>
    </row>
    <row r="111" spans="4:18" ht="30" customHeight="1">
      <c r="D111" s="191"/>
      <c r="E111" s="191"/>
      <c r="F111" s="191"/>
      <c r="G111" s="191"/>
      <c r="H111" s="191"/>
      <c r="M111" s="191"/>
      <c r="N111" s="191"/>
      <c r="O111" s="191"/>
      <c r="P111" s="191"/>
      <c r="Q111" s="191"/>
      <c r="R111" s="191"/>
    </row>
    <row r="112" spans="4:18" ht="30" customHeight="1">
      <c r="D112" s="191"/>
      <c r="E112" s="191"/>
      <c r="F112" s="191"/>
      <c r="G112" s="191"/>
      <c r="H112" s="191"/>
    </row>
    <row r="113" spans="4:8" ht="30" customHeight="1">
      <c r="D113" s="191"/>
      <c r="E113" s="191"/>
      <c r="F113" s="191"/>
      <c r="G113" s="191"/>
      <c r="H113" s="191"/>
    </row>
    <row r="114" spans="4:8" ht="30" customHeight="1">
      <c r="D114" s="191"/>
      <c r="E114" s="191"/>
      <c r="F114" s="191"/>
      <c r="G114" s="191"/>
      <c r="H114" s="191"/>
    </row>
    <row r="115" spans="4:8" ht="30" customHeight="1">
      <c r="D115" s="191"/>
      <c r="E115" s="191"/>
      <c r="F115" s="191"/>
      <c r="G115" s="191"/>
      <c r="H115" s="191"/>
    </row>
    <row r="116" spans="4:8" ht="30" customHeight="1">
      <c r="D116" s="191"/>
      <c r="E116" s="191"/>
      <c r="F116" s="191"/>
      <c r="G116" s="191"/>
      <c r="H116" s="191"/>
    </row>
    <row r="117" spans="4:8" ht="30" customHeight="1">
      <c r="D117" s="191"/>
      <c r="E117" s="191"/>
      <c r="F117" s="191"/>
      <c r="G117" s="191"/>
      <c r="H117" s="191"/>
    </row>
    <row r="118" spans="4:8" ht="30" customHeight="1">
      <c r="D118" s="191"/>
      <c r="E118" s="191"/>
      <c r="F118" s="191"/>
      <c r="G118" s="191"/>
      <c r="H118" s="191"/>
    </row>
    <row r="119" spans="4:8" ht="30" customHeight="1">
      <c r="D119" s="191"/>
      <c r="E119" s="191"/>
      <c r="F119" s="191"/>
      <c r="G119" s="191"/>
      <c r="H119" s="191"/>
    </row>
    <row r="120" spans="4:8" ht="30" customHeight="1">
      <c r="D120" s="191"/>
      <c r="E120" s="191"/>
      <c r="F120" s="191"/>
      <c r="G120" s="191"/>
      <c r="H120" s="191"/>
    </row>
    <row r="121" spans="4:8" ht="30" customHeight="1">
      <c r="D121" s="191"/>
      <c r="E121" s="191"/>
      <c r="F121" s="191"/>
      <c r="G121" s="191"/>
      <c r="H121" s="191"/>
    </row>
    <row r="122" spans="4:8" ht="30" customHeight="1">
      <c r="D122" s="191"/>
      <c r="E122" s="191"/>
      <c r="F122" s="191"/>
      <c r="G122" s="191"/>
      <c r="H122" s="191"/>
    </row>
    <row r="123" spans="4:8" ht="30" customHeight="1">
      <c r="D123" s="191"/>
      <c r="E123" s="191"/>
      <c r="F123" s="191"/>
      <c r="G123" s="191"/>
      <c r="H123" s="191"/>
    </row>
    <row r="124" spans="4:8" ht="30" customHeight="1">
      <c r="D124" s="191"/>
      <c r="E124" s="191"/>
      <c r="F124" s="191"/>
      <c r="G124" s="191"/>
      <c r="H124" s="191"/>
    </row>
    <row r="125" spans="4:8" ht="30" customHeight="1">
      <c r="D125" s="191"/>
      <c r="E125" s="191"/>
      <c r="F125" s="191"/>
      <c r="G125" s="191"/>
      <c r="H125" s="191"/>
    </row>
    <row r="126" spans="4:8" ht="30" customHeight="1">
      <c r="D126" s="191"/>
      <c r="E126" s="191"/>
      <c r="F126" s="191"/>
      <c r="G126" s="191"/>
      <c r="H126" s="191"/>
    </row>
    <row r="127" spans="4:8" ht="30" customHeight="1">
      <c r="D127" s="191"/>
      <c r="E127" s="191"/>
      <c r="F127" s="191"/>
      <c r="G127" s="191"/>
      <c r="H127" s="191"/>
    </row>
    <row r="128" spans="4:8" ht="30" customHeight="1">
      <c r="D128" s="191"/>
      <c r="E128" s="191"/>
      <c r="F128" s="191"/>
      <c r="G128" s="191"/>
      <c r="H128" s="191"/>
    </row>
    <row r="129" spans="4:8" ht="30" customHeight="1">
      <c r="D129" s="191"/>
      <c r="E129" s="191"/>
      <c r="F129" s="191"/>
      <c r="G129" s="191"/>
      <c r="H129" s="191"/>
    </row>
    <row r="130" spans="4:8" ht="30" customHeight="1">
      <c r="D130" s="191"/>
      <c r="E130" s="191"/>
      <c r="F130" s="191"/>
      <c r="G130" s="191"/>
      <c r="H130" s="191"/>
    </row>
    <row r="131" spans="4:8" ht="30" customHeight="1">
      <c r="D131" s="191"/>
      <c r="E131" s="191"/>
      <c r="F131" s="191"/>
      <c r="G131" s="191"/>
      <c r="H131" s="191"/>
    </row>
    <row r="132" spans="4:8" ht="30" customHeight="1">
      <c r="D132" s="191"/>
      <c r="E132" s="191"/>
      <c r="F132" s="191"/>
      <c r="G132" s="191"/>
      <c r="H132" s="191"/>
    </row>
    <row r="133" spans="4:8" ht="30" customHeight="1">
      <c r="D133" s="191"/>
      <c r="E133" s="191"/>
      <c r="F133" s="191"/>
      <c r="G133" s="191"/>
      <c r="H133" s="191"/>
    </row>
    <row r="134" spans="4:8" ht="30" customHeight="1">
      <c r="D134" s="191"/>
      <c r="E134" s="191"/>
      <c r="F134" s="191"/>
      <c r="G134" s="191"/>
      <c r="H134" s="191"/>
    </row>
    <row r="135" spans="4:8" ht="30" customHeight="1">
      <c r="D135" s="191"/>
      <c r="E135" s="191"/>
      <c r="F135" s="191"/>
      <c r="G135" s="191"/>
      <c r="H135" s="191"/>
    </row>
    <row r="136" spans="4:8" ht="30" customHeight="1">
      <c r="D136" s="191"/>
      <c r="E136" s="191"/>
      <c r="F136" s="191"/>
      <c r="G136" s="191"/>
      <c r="H136" s="191"/>
    </row>
    <row r="137" spans="4:8" ht="30" customHeight="1">
      <c r="D137" s="191"/>
      <c r="E137" s="191"/>
      <c r="F137" s="191"/>
      <c r="G137" s="191"/>
      <c r="H137" s="191"/>
    </row>
    <row r="138" spans="4:8" ht="30" customHeight="1">
      <c r="D138" s="191"/>
      <c r="E138" s="191"/>
      <c r="F138" s="191"/>
      <c r="G138" s="191"/>
      <c r="H138" s="191"/>
    </row>
    <row r="139" spans="4:8" ht="30" customHeight="1">
      <c r="D139" s="191"/>
      <c r="E139" s="191"/>
      <c r="F139" s="191"/>
      <c r="G139" s="191"/>
      <c r="H139" s="191"/>
    </row>
    <row r="140" spans="4:8" ht="30" customHeight="1">
      <c r="D140" s="191"/>
      <c r="E140" s="191"/>
      <c r="F140" s="191"/>
      <c r="G140" s="191"/>
      <c r="H140" s="191"/>
    </row>
    <row r="141" spans="4:8" ht="30" customHeight="1">
      <c r="D141" s="191"/>
      <c r="E141" s="191"/>
      <c r="F141" s="191"/>
      <c r="G141" s="191"/>
      <c r="H141" s="191"/>
    </row>
    <row r="142" spans="4:8" ht="30" customHeight="1">
      <c r="D142" s="191"/>
      <c r="E142" s="191"/>
      <c r="F142" s="191"/>
      <c r="G142" s="191"/>
      <c r="H142" s="191"/>
    </row>
    <row r="143" spans="4:8" ht="30" customHeight="1">
      <c r="D143" s="191"/>
      <c r="E143" s="191"/>
      <c r="F143" s="191"/>
      <c r="G143" s="191"/>
      <c r="H143" s="191"/>
    </row>
    <row r="144" spans="4:8" ht="30" customHeight="1">
      <c r="D144" s="191"/>
      <c r="E144" s="191"/>
      <c r="F144" s="191"/>
      <c r="G144" s="191"/>
      <c r="H144" s="191"/>
    </row>
    <row r="145" spans="4:8" ht="30" customHeight="1">
      <c r="D145" s="191"/>
      <c r="E145" s="191"/>
      <c r="F145" s="191"/>
      <c r="G145" s="191"/>
      <c r="H145" s="191"/>
    </row>
    <row r="146" spans="4:8" ht="30" customHeight="1">
      <c r="D146" s="191"/>
      <c r="E146" s="191"/>
      <c r="F146" s="191"/>
      <c r="G146" s="191"/>
      <c r="H146" s="191"/>
    </row>
    <row r="147" spans="4:8" ht="30" customHeight="1">
      <c r="D147" s="191"/>
      <c r="E147" s="191"/>
      <c r="F147" s="191"/>
      <c r="G147" s="191"/>
      <c r="H147" s="191"/>
    </row>
    <row r="148" spans="4:8" ht="30" customHeight="1">
      <c r="D148" s="191"/>
      <c r="E148" s="191"/>
      <c r="F148" s="191"/>
      <c r="G148" s="191"/>
      <c r="H148" s="191"/>
    </row>
    <row r="149" spans="4:8" ht="30" customHeight="1">
      <c r="D149" s="191"/>
      <c r="E149" s="191"/>
      <c r="F149" s="191"/>
      <c r="G149" s="191"/>
      <c r="H149" s="191"/>
    </row>
    <row r="150" spans="4:8" ht="30" customHeight="1">
      <c r="D150" s="191"/>
      <c r="E150" s="191"/>
      <c r="F150" s="191"/>
      <c r="G150" s="191"/>
      <c r="H150" s="191"/>
    </row>
    <row r="151" spans="4:8" ht="30" customHeight="1">
      <c r="D151" s="191"/>
      <c r="E151" s="191"/>
      <c r="F151" s="191"/>
      <c r="G151" s="191"/>
      <c r="H151" s="191"/>
    </row>
    <row r="152" spans="4:8" ht="30" customHeight="1">
      <c r="D152" s="191"/>
      <c r="E152" s="191"/>
      <c r="F152" s="191"/>
      <c r="G152" s="191"/>
      <c r="H152" s="191"/>
    </row>
    <row r="153" spans="4:8" ht="30" customHeight="1">
      <c r="D153" s="191"/>
      <c r="E153" s="191"/>
      <c r="F153" s="191"/>
      <c r="G153" s="191"/>
      <c r="H153" s="191"/>
    </row>
    <row r="154" spans="4:8" ht="30" customHeight="1">
      <c r="D154" s="191"/>
      <c r="E154" s="191"/>
      <c r="F154" s="191"/>
      <c r="G154" s="191"/>
      <c r="H154" s="191"/>
    </row>
    <row r="155" spans="4:8" ht="30" customHeight="1">
      <c r="D155" s="191"/>
      <c r="E155" s="191"/>
      <c r="F155" s="191"/>
      <c r="G155" s="191"/>
      <c r="H155" s="191"/>
    </row>
    <row r="156" spans="4:8" ht="30" customHeight="1">
      <c r="D156" s="191"/>
      <c r="E156" s="191"/>
      <c r="F156" s="191"/>
      <c r="G156" s="191"/>
      <c r="H156" s="191"/>
    </row>
    <row r="157" spans="4:8" ht="30" customHeight="1">
      <c r="D157" s="191"/>
      <c r="E157" s="191"/>
      <c r="F157" s="191"/>
      <c r="G157" s="191"/>
      <c r="H157" s="191"/>
    </row>
    <row r="158" spans="4:8" ht="30" customHeight="1">
      <c r="D158" s="191"/>
      <c r="E158" s="191"/>
      <c r="F158" s="191"/>
      <c r="G158" s="191"/>
      <c r="H158" s="191"/>
    </row>
    <row r="159" spans="4:8" ht="30" customHeight="1">
      <c r="D159" s="191"/>
      <c r="E159" s="191"/>
      <c r="F159" s="191"/>
      <c r="G159" s="191"/>
      <c r="H159" s="191"/>
    </row>
    <row r="160" spans="4:8" ht="30" customHeight="1">
      <c r="D160" s="191"/>
      <c r="E160" s="191"/>
      <c r="F160" s="191"/>
      <c r="G160" s="191"/>
      <c r="H160" s="191"/>
    </row>
    <row r="161" spans="4:8" ht="30" customHeight="1">
      <c r="D161" s="191"/>
      <c r="E161" s="191"/>
      <c r="F161" s="191"/>
      <c r="G161" s="191"/>
      <c r="H161" s="191"/>
    </row>
    <row r="162" spans="4:8" ht="30" customHeight="1">
      <c r="D162" s="191"/>
      <c r="E162" s="191"/>
      <c r="F162" s="191"/>
      <c r="G162" s="191"/>
      <c r="H162" s="191"/>
    </row>
    <row r="163" spans="4:8" ht="30" customHeight="1">
      <c r="D163" s="191"/>
      <c r="E163" s="191"/>
      <c r="F163" s="191"/>
      <c r="G163" s="191"/>
      <c r="H163" s="191"/>
    </row>
    <row r="164" spans="4:8" ht="30" customHeight="1">
      <c r="D164" s="191"/>
      <c r="E164" s="191"/>
      <c r="F164" s="191"/>
      <c r="G164" s="191"/>
      <c r="H164" s="191"/>
    </row>
    <row r="165" spans="4:8" ht="30" customHeight="1">
      <c r="D165" s="191"/>
      <c r="E165" s="191"/>
      <c r="F165" s="191"/>
      <c r="G165" s="191"/>
      <c r="H165" s="191"/>
    </row>
    <row r="166" spans="4:8" ht="30" customHeight="1">
      <c r="D166" s="191"/>
      <c r="E166" s="191"/>
      <c r="F166" s="191"/>
      <c r="G166" s="191"/>
      <c r="H166" s="191"/>
    </row>
    <row r="167" spans="4:8" ht="30" customHeight="1">
      <c r="D167" s="191"/>
      <c r="E167" s="191"/>
      <c r="F167" s="191"/>
      <c r="G167" s="191"/>
      <c r="H167" s="191"/>
    </row>
    <row r="168" spans="4:8" ht="30" customHeight="1">
      <c r="D168" s="191"/>
      <c r="E168" s="191"/>
      <c r="F168" s="191"/>
      <c r="G168" s="191"/>
      <c r="H168" s="191"/>
    </row>
    <row r="169" spans="4:8" ht="30" customHeight="1">
      <c r="D169" s="191"/>
      <c r="E169" s="191"/>
      <c r="F169" s="191"/>
      <c r="G169" s="191"/>
      <c r="H169" s="191"/>
    </row>
    <row r="170" spans="4:8" ht="30" customHeight="1">
      <c r="D170" s="191"/>
      <c r="E170" s="191"/>
      <c r="F170" s="191"/>
      <c r="G170" s="191"/>
      <c r="H170" s="191"/>
    </row>
    <row r="171" spans="4:8" ht="30" customHeight="1">
      <c r="D171" s="191"/>
      <c r="E171" s="191"/>
      <c r="F171" s="191"/>
      <c r="G171" s="191"/>
      <c r="H171" s="191"/>
    </row>
    <row r="172" spans="4:8" ht="30" customHeight="1">
      <c r="D172" s="191"/>
      <c r="E172" s="191"/>
      <c r="F172" s="191"/>
      <c r="G172" s="191"/>
      <c r="H172" s="191"/>
    </row>
    <row r="173" spans="4:8" ht="30" customHeight="1">
      <c r="D173" s="191"/>
      <c r="E173" s="191"/>
      <c r="F173" s="191"/>
      <c r="G173" s="191"/>
      <c r="H173" s="191"/>
    </row>
    <row r="174" spans="4:8" ht="30" customHeight="1">
      <c r="D174" s="191"/>
      <c r="E174" s="191"/>
      <c r="F174" s="191"/>
      <c r="G174" s="191"/>
      <c r="H174" s="191"/>
    </row>
    <row r="175" spans="4:8" ht="30" customHeight="1">
      <c r="D175" s="191"/>
      <c r="E175" s="191"/>
      <c r="F175" s="191"/>
      <c r="G175" s="191"/>
      <c r="H175" s="191"/>
    </row>
    <row r="176" spans="4:8" ht="30" customHeight="1">
      <c r="D176" s="191"/>
      <c r="E176" s="191"/>
      <c r="F176" s="191"/>
      <c r="G176" s="191"/>
      <c r="H176" s="191"/>
    </row>
    <row r="177" spans="4:8" ht="30" customHeight="1">
      <c r="D177" s="191"/>
      <c r="E177" s="191"/>
      <c r="F177" s="191"/>
      <c r="G177" s="191"/>
      <c r="H177" s="191"/>
    </row>
    <row r="178" spans="4:8" ht="30" customHeight="1">
      <c r="D178" s="191"/>
      <c r="E178" s="191"/>
      <c r="F178" s="191"/>
      <c r="G178" s="191"/>
      <c r="H178" s="191"/>
    </row>
    <row r="179" spans="4:8" ht="30" customHeight="1">
      <c r="D179" s="191"/>
      <c r="E179" s="191"/>
      <c r="F179" s="191"/>
      <c r="G179" s="191"/>
      <c r="H179" s="191"/>
    </row>
    <row r="180" spans="4:8" ht="30" customHeight="1">
      <c r="D180" s="191"/>
      <c r="E180" s="191"/>
      <c r="F180" s="191"/>
      <c r="G180" s="191"/>
      <c r="H180" s="191"/>
    </row>
    <row r="181" spans="4:8" ht="30" customHeight="1">
      <c r="D181" s="191"/>
      <c r="E181" s="191"/>
      <c r="F181" s="191"/>
      <c r="G181" s="191"/>
      <c r="H181" s="191"/>
    </row>
    <row r="182" spans="4:8" ht="30" customHeight="1">
      <c r="D182" s="191"/>
      <c r="E182" s="191"/>
      <c r="F182" s="191"/>
      <c r="G182" s="191"/>
      <c r="H182" s="191"/>
    </row>
    <row r="183" spans="4:8" ht="30" customHeight="1">
      <c r="D183" s="191"/>
      <c r="E183" s="191"/>
      <c r="F183" s="191"/>
      <c r="G183" s="191"/>
      <c r="H183" s="191"/>
    </row>
    <row r="184" spans="4:8" ht="30" customHeight="1">
      <c r="D184" s="191"/>
      <c r="E184" s="191"/>
      <c r="F184" s="191"/>
      <c r="G184" s="191"/>
      <c r="H184" s="191"/>
    </row>
    <row r="185" spans="4:8" ht="30" customHeight="1">
      <c r="D185" s="191"/>
      <c r="E185" s="191"/>
      <c r="F185" s="191"/>
      <c r="G185" s="191"/>
      <c r="H185" s="191"/>
    </row>
    <row r="186" spans="4:8" ht="30" customHeight="1">
      <c r="D186" s="191"/>
      <c r="E186" s="191"/>
      <c r="F186" s="191"/>
      <c r="G186" s="191"/>
      <c r="H186" s="191"/>
    </row>
    <row r="187" spans="4:8" ht="30" customHeight="1">
      <c r="D187" s="191"/>
      <c r="E187" s="191"/>
      <c r="F187" s="191"/>
      <c r="G187" s="191"/>
      <c r="H187" s="191"/>
    </row>
    <row r="188" spans="4:8" ht="30" customHeight="1">
      <c r="D188" s="191"/>
      <c r="E188" s="191"/>
      <c r="F188" s="191"/>
      <c r="G188" s="191"/>
      <c r="H188" s="191"/>
    </row>
    <row r="189" spans="4:8" ht="30" customHeight="1">
      <c r="D189" s="191"/>
      <c r="E189" s="191"/>
      <c r="F189" s="191"/>
      <c r="G189" s="191"/>
      <c r="H189" s="191"/>
    </row>
    <row r="190" spans="4:8" ht="30" customHeight="1">
      <c r="D190" s="191"/>
      <c r="E190" s="191"/>
      <c r="F190" s="191"/>
      <c r="G190" s="191"/>
      <c r="H190" s="191"/>
    </row>
    <row r="191" spans="4:8" ht="30" customHeight="1">
      <c r="D191" s="191"/>
      <c r="E191" s="191"/>
      <c r="F191" s="191"/>
      <c r="G191" s="191"/>
      <c r="H191" s="191"/>
    </row>
    <row r="192" spans="4:8" ht="30" customHeight="1">
      <c r="D192" s="191"/>
      <c r="E192" s="191"/>
      <c r="F192" s="191"/>
      <c r="G192" s="191"/>
      <c r="H192" s="191"/>
    </row>
    <row r="193" spans="4:8" ht="30" customHeight="1">
      <c r="D193" s="191"/>
      <c r="E193" s="191"/>
      <c r="F193" s="191"/>
      <c r="G193" s="191"/>
      <c r="H193" s="191"/>
    </row>
    <row r="194" spans="4:8" ht="30" customHeight="1">
      <c r="D194" s="191"/>
      <c r="E194" s="191"/>
      <c r="F194" s="191"/>
      <c r="G194" s="191"/>
      <c r="H194" s="191"/>
    </row>
    <row r="195" spans="4:8" ht="30" customHeight="1">
      <c r="D195" s="191"/>
      <c r="E195" s="191"/>
      <c r="F195" s="191"/>
      <c r="G195" s="191"/>
      <c r="H195" s="191"/>
    </row>
    <row r="196" spans="4:8" ht="30" customHeight="1">
      <c r="D196" s="191"/>
      <c r="E196" s="191"/>
      <c r="F196" s="191"/>
      <c r="G196" s="191"/>
      <c r="H196" s="191"/>
    </row>
    <row r="197" spans="4:8" ht="30" customHeight="1">
      <c r="D197" s="191"/>
      <c r="E197" s="191"/>
      <c r="F197" s="191"/>
      <c r="G197" s="191"/>
      <c r="H197" s="191"/>
    </row>
    <row r="198" spans="4:8" ht="30" customHeight="1">
      <c r="D198" s="191"/>
      <c r="E198" s="191"/>
      <c r="F198" s="191"/>
      <c r="G198" s="191"/>
      <c r="H198" s="191"/>
    </row>
    <row r="199" spans="4:8" ht="30" customHeight="1">
      <c r="D199" s="191"/>
      <c r="E199" s="191"/>
      <c r="F199" s="191"/>
      <c r="G199" s="191"/>
      <c r="H199" s="191"/>
    </row>
    <row r="200" spans="4:8" ht="30" customHeight="1">
      <c r="D200" s="191"/>
      <c r="E200" s="191"/>
      <c r="F200" s="191"/>
      <c r="G200" s="191"/>
      <c r="H200" s="191"/>
    </row>
    <row r="201" spans="4:8" ht="30" customHeight="1">
      <c r="D201" s="191"/>
      <c r="E201" s="191"/>
      <c r="F201" s="191"/>
      <c r="G201" s="191"/>
      <c r="H201" s="191"/>
    </row>
    <row r="202" spans="4:8" ht="30" customHeight="1">
      <c r="D202" s="191"/>
      <c r="E202" s="191"/>
      <c r="F202" s="191"/>
      <c r="G202" s="191"/>
      <c r="H202" s="191"/>
    </row>
    <row r="203" spans="4:8" ht="30" customHeight="1">
      <c r="D203" s="191"/>
      <c r="E203" s="191"/>
      <c r="F203" s="191"/>
      <c r="G203" s="191"/>
      <c r="H203" s="191"/>
    </row>
    <row r="204" spans="4:8" ht="30" customHeight="1">
      <c r="D204" s="191"/>
      <c r="E204" s="191"/>
      <c r="F204" s="191"/>
      <c r="G204" s="191"/>
      <c r="H204" s="191"/>
    </row>
    <row r="205" spans="4:8" ht="30" customHeight="1">
      <c r="D205" s="191"/>
      <c r="E205" s="191"/>
      <c r="F205" s="191"/>
      <c r="G205" s="191"/>
      <c r="H205" s="191"/>
    </row>
    <row r="206" spans="4:8" ht="30" customHeight="1">
      <c r="D206" s="191"/>
      <c r="E206" s="191"/>
      <c r="F206" s="191"/>
      <c r="G206" s="191"/>
      <c r="H206" s="191"/>
    </row>
    <row r="207" spans="4:8" ht="30" customHeight="1">
      <c r="D207" s="191"/>
      <c r="E207" s="191"/>
      <c r="F207" s="191"/>
      <c r="G207" s="191"/>
      <c r="H207" s="191"/>
    </row>
    <row r="208" spans="4:8" ht="30" customHeight="1">
      <c r="D208" s="191"/>
      <c r="E208" s="191"/>
      <c r="F208" s="191"/>
      <c r="G208" s="191"/>
      <c r="H208" s="191"/>
    </row>
    <row r="209" spans="4:8" ht="30" customHeight="1">
      <c r="D209" s="191"/>
      <c r="E209" s="191"/>
      <c r="F209" s="191"/>
      <c r="G209" s="191"/>
      <c r="H209" s="191"/>
    </row>
    <row r="210" spans="4:8" ht="30" customHeight="1">
      <c r="D210" s="191"/>
      <c r="E210" s="191"/>
      <c r="F210" s="191"/>
      <c r="G210" s="191"/>
      <c r="H210" s="191"/>
    </row>
    <row r="211" spans="4:8" ht="30" customHeight="1">
      <c r="D211" s="191"/>
      <c r="E211" s="191"/>
      <c r="F211" s="191"/>
      <c r="G211" s="191"/>
      <c r="H211" s="191"/>
    </row>
    <row r="212" spans="4:8" ht="30" customHeight="1">
      <c r="D212" s="191"/>
      <c r="E212" s="191"/>
      <c r="F212" s="191"/>
      <c r="G212" s="191"/>
      <c r="H212" s="191"/>
    </row>
    <row r="213" spans="4:8" ht="30" customHeight="1">
      <c r="D213" s="191"/>
      <c r="E213" s="191"/>
      <c r="F213" s="191"/>
      <c r="G213" s="191"/>
      <c r="H213" s="191"/>
    </row>
    <row r="214" spans="4:8" ht="30" customHeight="1">
      <c r="D214" s="191"/>
      <c r="E214" s="191"/>
      <c r="F214" s="191"/>
      <c r="G214" s="191"/>
      <c r="H214" s="191"/>
    </row>
    <row r="215" spans="4:8" ht="30" customHeight="1">
      <c r="D215" s="191"/>
      <c r="E215" s="191"/>
      <c r="F215" s="191"/>
      <c r="G215" s="191"/>
      <c r="H215" s="191"/>
    </row>
    <row r="216" spans="4:8" ht="30" customHeight="1">
      <c r="D216" s="191"/>
      <c r="E216" s="191"/>
      <c r="F216" s="191"/>
      <c r="G216" s="191"/>
      <c r="H216" s="191"/>
    </row>
    <row r="217" spans="4:8" ht="30" customHeight="1">
      <c r="D217" s="191"/>
      <c r="E217" s="191"/>
      <c r="F217" s="191"/>
      <c r="G217" s="191"/>
      <c r="H217" s="191"/>
    </row>
    <row r="218" spans="4:8" ht="30" customHeight="1">
      <c r="D218" s="191"/>
      <c r="E218" s="191"/>
      <c r="F218" s="191"/>
      <c r="G218" s="191"/>
      <c r="H218" s="191"/>
    </row>
    <row r="219" spans="4:8" ht="30" customHeight="1">
      <c r="D219" s="191"/>
      <c r="E219" s="191"/>
      <c r="F219" s="191"/>
      <c r="G219" s="191"/>
      <c r="H219" s="191"/>
    </row>
    <row r="220" spans="4:8" ht="30" customHeight="1">
      <c r="D220" s="191"/>
      <c r="E220" s="191"/>
      <c r="F220" s="191"/>
      <c r="G220" s="191"/>
      <c r="H220" s="191"/>
    </row>
    <row r="221" spans="4:8" ht="30" customHeight="1">
      <c r="D221" s="191"/>
      <c r="E221" s="191"/>
      <c r="F221" s="191"/>
      <c r="G221" s="191"/>
      <c r="H221" s="191"/>
    </row>
    <row r="222" spans="4:8" ht="30" customHeight="1">
      <c r="D222" s="191"/>
      <c r="E222" s="191"/>
      <c r="F222" s="191"/>
      <c r="G222" s="191"/>
      <c r="H222" s="191"/>
    </row>
    <row r="223" spans="4:8" ht="30" customHeight="1">
      <c r="D223" s="191"/>
      <c r="E223" s="191"/>
      <c r="F223" s="191"/>
      <c r="G223" s="191"/>
      <c r="H223" s="191"/>
    </row>
    <row r="224" spans="4:8" ht="30" customHeight="1">
      <c r="D224" s="191"/>
      <c r="E224" s="191"/>
      <c r="F224" s="191"/>
      <c r="G224" s="191"/>
      <c r="H224" s="191"/>
    </row>
    <row r="225" spans="4:8" ht="30" customHeight="1">
      <c r="D225" s="191"/>
      <c r="E225" s="191"/>
      <c r="F225" s="191"/>
      <c r="G225" s="191"/>
      <c r="H225" s="191"/>
    </row>
    <row r="226" spans="4:8" ht="30" customHeight="1">
      <c r="D226" s="191"/>
      <c r="E226" s="191"/>
      <c r="F226" s="191"/>
      <c r="G226" s="191"/>
      <c r="H226" s="191"/>
    </row>
    <row r="227" spans="4:8" ht="30" customHeight="1">
      <c r="D227" s="191"/>
      <c r="E227" s="191"/>
      <c r="F227" s="191"/>
      <c r="G227" s="191"/>
      <c r="H227" s="191"/>
    </row>
    <row r="228" spans="4:8" ht="30" customHeight="1">
      <c r="D228" s="191"/>
      <c r="E228" s="191"/>
      <c r="F228" s="191"/>
      <c r="G228" s="191"/>
      <c r="H228" s="191"/>
    </row>
    <row r="229" spans="4:8" ht="30" customHeight="1">
      <c r="D229" s="191"/>
      <c r="E229" s="191"/>
      <c r="F229" s="191"/>
      <c r="G229" s="191"/>
      <c r="H229" s="191"/>
    </row>
    <row r="230" spans="4:8" ht="30" customHeight="1">
      <c r="D230" s="191"/>
      <c r="E230" s="191"/>
      <c r="F230" s="191"/>
      <c r="G230" s="191"/>
      <c r="H230" s="191"/>
    </row>
    <row r="231" spans="4:8" ht="30" customHeight="1">
      <c r="D231" s="191"/>
      <c r="E231" s="191"/>
      <c r="F231" s="191"/>
      <c r="G231" s="191"/>
      <c r="H231" s="191"/>
    </row>
    <row r="232" spans="4:8" ht="30" customHeight="1">
      <c r="D232" s="191"/>
      <c r="E232" s="191"/>
      <c r="F232" s="191"/>
      <c r="G232" s="191"/>
      <c r="H232" s="191"/>
    </row>
    <row r="233" spans="4:8" ht="30" customHeight="1">
      <c r="D233" s="191"/>
      <c r="E233" s="191"/>
      <c r="F233" s="191"/>
      <c r="G233" s="191"/>
      <c r="H233" s="191"/>
    </row>
    <row r="234" spans="4:8" ht="30" customHeight="1">
      <c r="D234" s="191"/>
      <c r="E234" s="191"/>
      <c r="F234" s="191"/>
      <c r="G234" s="191"/>
      <c r="H234" s="191"/>
    </row>
    <row r="235" spans="4:8" ht="30" customHeight="1">
      <c r="D235" s="191"/>
      <c r="E235" s="191"/>
      <c r="F235" s="191"/>
      <c r="G235" s="191"/>
      <c r="H235" s="191"/>
    </row>
    <row r="236" spans="4:8" ht="30" customHeight="1">
      <c r="D236" s="191"/>
      <c r="E236" s="191"/>
      <c r="F236" s="191"/>
      <c r="G236" s="191"/>
      <c r="H236" s="191"/>
    </row>
    <row r="237" spans="4:8" ht="30" customHeight="1">
      <c r="D237" s="191"/>
      <c r="E237" s="191"/>
      <c r="F237" s="191"/>
      <c r="G237" s="191"/>
      <c r="H237" s="191"/>
    </row>
    <row r="238" spans="4:8" ht="30" customHeight="1">
      <c r="D238" s="191"/>
      <c r="E238" s="191"/>
      <c r="F238" s="191"/>
      <c r="G238" s="191"/>
      <c r="H238" s="191"/>
    </row>
    <row r="239" spans="4:8" ht="30" customHeight="1">
      <c r="D239" s="191"/>
      <c r="E239" s="191"/>
      <c r="F239" s="191"/>
      <c r="G239" s="191"/>
      <c r="H239" s="191"/>
    </row>
    <row r="240" spans="4:8" ht="30" customHeight="1">
      <c r="D240" s="191"/>
      <c r="E240" s="191"/>
      <c r="F240" s="191"/>
      <c r="G240" s="191"/>
      <c r="H240" s="191"/>
    </row>
    <row r="241" spans="4:8" ht="30" customHeight="1">
      <c r="D241" s="191"/>
      <c r="E241" s="191"/>
      <c r="F241" s="191"/>
      <c r="G241" s="191"/>
      <c r="H241" s="191"/>
    </row>
    <row r="242" spans="4:8" ht="30" customHeight="1">
      <c r="D242" s="191"/>
      <c r="E242" s="191"/>
      <c r="F242" s="191"/>
      <c r="G242" s="191"/>
      <c r="H242" s="191"/>
    </row>
    <row r="243" spans="4:8" ht="30" customHeight="1">
      <c r="D243" s="191"/>
      <c r="E243" s="191"/>
      <c r="F243" s="191"/>
      <c r="G243" s="191"/>
      <c r="H243" s="191"/>
    </row>
    <row r="244" spans="4:8" ht="30" customHeight="1">
      <c r="D244" s="191"/>
      <c r="E244" s="191"/>
      <c r="F244" s="191"/>
      <c r="G244" s="191"/>
      <c r="H244" s="191"/>
    </row>
    <row r="245" spans="4:8" ht="30" customHeight="1">
      <c r="D245" s="191"/>
      <c r="E245" s="191"/>
      <c r="F245" s="191"/>
      <c r="G245" s="191"/>
      <c r="H245" s="191"/>
    </row>
    <row r="246" spans="4:8" ht="30" customHeight="1">
      <c r="D246" s="191"/>
      <c r="E246" s="191"/>
      <c r="F246" s="191"/>
      <c r="G246" s="191"/>
      <c r="H246" s="191"/>
    </row>
    <row r="247" spans="4:8" ht="30" customHeight="1">
      <c r="D247" s="191"/>
      <c r="E247" s="191"/>
      <c r="F247" s="191"/>
      <c r="G247" s="191"/>
      <c r="H247" s="191"/>
    </row>
    <row r="248" spans="4:8" ht="30" customHeight="1">
      <c r="D248" s="191"/>
      <c r="E248" s="191"/>
      <c r="F248" s="191"/>
      <c r="G248" s="191"/>
      <c r="H248" s="191"/>
    </row>
    <row r="249" spans="4:8" ht="30" customHeight="1">
      <c r="D249" s="191"/>
      <c r="E249" s="191"/>
      <c r="F249" s="191"/>
      <c r="G249" s="191"/>
      <c r="H249" s="191"/>
    </row>
    <row r="250" spans="4:8" ht="30" customHeight="1">
      <c r="D250" s="191"/>
      <c r="E250" s="191"/>
      <c r="F250" s="191"/>
      <c r="G250" s="191"/>
      <c r="H250" s="191"/>
    </row>
    <row r="251" spans="4:8" ht="30" customHeight="1">
      <c r="D251" s="191"/>
      <c r="E251" s="191"/>
      <c r="F251" s="191"/>
      <c r="G251" s="191"/>
      <c r="H251" s="191"/>
    </row>
    <row r="252" spans="4:8" ht="30" customHeight="1">
      <c r="D252" s="191"/>
      <c r="E252" s="191"/>
      <c r="F252" s="191"/>
      <c r="G252" s="191"/>
      <c r="H252" s="191"/>
    </row>
    <row r="253" spans="4:8" ht="30" customHeight="1">
      <c r="D253" s="191"/>
      <c r="E253" s="191"/>
      <c r="F253" s="191"/>
      <c r="G253" s="191"/>
      <c r="H253" s="191"/>
    </row>
    <row r="254" spans="4:8" ht="30" customHeight="1">
      <c r="D254" s="191"/>
      <c r="E254" s="191"/>
      <c r="F254" s="191"/>
      <c r="G254" s="191"/>
      <c r="H254" s="191"/>
    </row>
    <row r="255" spans="4:8" ht="30" customHeight="1">
      <c r="D255" s="191"/>
      <c r="E255" s="191"/>
      <c r="F255" s="191"/>
      <c r="G255" s="191"/>
      <c r="H255" s="191"/>
    </row>
    <row r="256" spans="4:8" ht="30" customHeight="1">
      <c r="D256" s="191"/>
      <c r="E256" s="191"/>
      <c r="F256" s="191"/>
      <c r="G256" s="191"/>
      <c r="H256" s="191"/>
    </row>
    <row r="257" spans="4:8" ht="30" customHeight="1">
      <c r="D257" s="191"/>
      <c r="E257" s="191"/>
      <c r="F257" s="191"/>
      <c r="G257" s="191"/>
      <c r="H257" s="191"/>
    </row>
    <row r="258" spans="4:8" ht="30" customHeight="1">
      <c r="D258" s="191"/>
      <c r="E258" s="191"/>
      <c r="F258" s="191"/>
      <c r="G258" s="191"/>
      <c r="H258" s="191"/>
    </row>
    <row r="259" spans="4:8" ht="30" customHeight="1">
      <c r="D259" s="191"/>
      <c r="E259" s="191"/>
      <c r="F259" s="191"/>
      <c r="G259" s="191"/>
      <c r="H259" s="191"/>
    </row>
    <row r="260" spans="4:8" ht="30" customHeight="1">
      <c r="D260" s="191"/>
      <c r="E260" s="191"/>
      <c r="F260" s="191"/>
      <c r="G260" s="191"/>
      <c r="H260" s="191"/>
    </row>
    <row r="261" spans="4:8" ht="30" customHeight="1">
      <c r="D261" s="191"/>
      <c r="E261" s="191"/>
      <c r="F261" s="191"/>
      <c r="G261" s="191"/>
      <c r="H261" s="191"/>
    </row>
    <row r="262" spans="4:8" ht="30" customHeight="1">
      <c r="D262" s="191"/>
      <c r="E262" s="191"/>
      <c r="F262" s="191"/>
      <c r="G262" s="191"/>
      <c r="H262" s="191"/>
    </row>
    <row r="263" spans="4:8" ht="30" customHeight="1">
      <c r="D263" s="191"/>
      <c r="E263" s="191"/>
      <c r="F263" s="191"/>
      <c r="G263" s="191"/>
      <c r="H263" s="191"/>
    </row>
    <row r="264" spans="4:8" ht="30" customHeight="1">
      <c r="D264" s="191"/>
      <c r="E264" s="191"/>
      <c r="F264" s="191"/>
      <c r="G264" s="191"/>
      <c r="H264" s="191"/>
    </row>
    <row r="265" spans="4:8" ht="30" customHeight="1">
      <c r="D265" s="191"/>
      <c r="E265" s="191"/>
      <c r="F265" s="191"/>
      <c r="G265" s="191"/>
      <c r="H265" s="191"/>
    </row>
    <row r="266" spans="4:8" ht="30" customHeight="1">
      <c r="D266" s="191"/>
      <c r="E266" s="191"/>
      <c r="F266" s="191"/>
      <c r="G266" s="191"/>
      <c r="H266" s="191"/>
    </row>
    <row r="267" spans="4:8" ht="30" customHeight="1">
      <c r="D267" s="191"/>
      <c r="E267" s="191"/>
      <c r="F267" s="191"/>
      <c r="G267" s="191"/>
      <c r="H267" s="191"/>
    </row>
    <row r="268" spans="4:8" ht="30" customHeight="1">
      <c r="D268" s="191"/>
      <c r="E268" s="191"/>
      <c r="F268" s="191"/>
      <c r="G268" s="191"/>
      <c r="H268" s="191"/>
    </row>
    <row r="269" spans="4:8" ht="30" customHeight="1">
      <c r="D269" s="191"/>
      <c r="E269" s="191"/>
      <c r="F269" s="191"/>
      <c r="G269" s="191"/>
      <c r="H269" s="191"/>
    </row>
    <row r="270" spans="4:8" ht="30" customHeight="1">
      <c r="D270" s="191"/>
      <c r="E270" s="191"/>
      <c r="F270" s="191"/>
      <c r="G270" s="191"/>
      <c r="H270" s="191"/>
    </row>
    <row r="271" spans="4:8" ht="30" customHeight="1">
      <c r="D271" s="191"/>
      <c r="E271" s="191"/>
      <c r="F271" s="191"/>
      <c r="G271" s="191"/>
      <c r="H271" s="191"/>
    </row>
    <row r="272" spans="4:8" ht="30" customHeight="1">
      <c r="D272" s="191"/>
      <c r="E272" s="191"/>
      <c r="F272" s="191"/>
      <c r="G272" s="191"/>
      <c r="H272" s="191"/>
    </row>
    <row r="273" spans="4:8" ht="30" customHeight="1">
      <c r="D273" s="191"/>
      <c r="E273" s="191"/>
      <c r="F273" s="191"/>
      <c r="G273" s="191"/>
      <c r="H273" s="191"/>
    </row>
    <row r="274" spans="4:8" ht="30" customHeight="1">
      <c r="D274" s="191"/>
      <c r="E274" s="191"/>
      <c r="F274" s="191"/>
      <c r="G274" s="191"/>
      <c r="H274" s="191"/>
    </row>
    <row r="275" spans="4:8" ht="30" customHeight="1">
      <c r="D275" s="191"/>
      <c r="E275" s="191"/>
      <c r="F275" s="191"/>
      <c r="G275" s="191"/>
      <c r="H275" s="191"/>
    </row>
    <row r="276" spans="4:8" ht="30" customHeight="1">
      <c r="D276" s="191"/>
      <c r="E276" s="191"/>
      <c r="F276" s="191"/>
      <c r="G276" s="191"/>
      <c r="H276" s="191"/>
    </row>
    <row r="277" spans="4:8" ht="30" customHeight="1">
      <c r="D277" s="191"/>
      <c r="E277" s="191"/>
      <c r="F277" s="191"/>
      <c r="G277" s="191"/>
      <c r="H277" s="191"/>
    </row>
    <row r="278" spans="4:8" ht="30" customHeight="1">
      <c r="D278" s="191"/>
      <c r="E278" s="191"/>
      <c r="F278" s="191"/>
      <c r="G278" s="191"/>
      <c r="H278" s="191"/>
    </row>
    <row r="279" spans="4:8" ht="30" customHeight="1">
      <c r="D279" s="191"/>
      <c r="E279" s="191"/>
      <c r="F279" s="191"/>
      <c r="G279" s="191"/>
      <c r="H279" s="191"/>
    </row>
    <row r="280" spans="4:8" ht="30" customHeight="1">
      <c r="D280" s="191"/>
      <c r="E280" s="191"/>
      <c r="F280" s="191"/>
      <c r="G280" s="191"/>
      <c r="H280" s="191"/>
    </row>
    <row r="281" spans="4:8" ht="30" customHeight="1">
      <c r="D281" s="191"/>
      <c r="E281" s="191"/>
      <c r="F281" s="191"/>
      <c r="G281" s="191"/>
      <c r="H281" s="191"/>
    </row>
    <row r="282" spans="4:8" ht="30" customHeight="1">
      <c r="D282" s="191"/>
      <c r="E282" s="191"/>
      <c r="F282" s="191"/>
      <c r="G282" s="191"/>
      <c r="H282" s="191"/>
    </row>
    <row r="283" spans="4:8" ht="30" customHeight="1">
      <c r="D283" s="191"/>
      <c r="E283" s="191"/>
      <c r="F283" s="191"/>
      <c r="G283" s="191"/>
      <c r="H283" s="191"/>
    </row>
    <row r="284" spans="4:8" ht="30" customHeight="1">
      <c r="D284" s="191"/>
      <c r="E284" s="191"/>
      <c r="F284" s="191"/>
      <c r="G284" s="191"/>
      <c r="H284" s="191"/>
    </row>
    <row r="285" spans="4:8" ht="30" customHeight="1">
      <c r="D285" s="191"/>
      <c r="E285" s="191"/>
      <c r="F285" s="191"/>
      <c r="G285" s="191"/>
      <c r="H285" s="191"/>
    </row>
    <row r="286" spans="4:8" ht="30" customHeight="1">
      <c r="D286" s="191"/>
      <c r="E286" s="191"/>
      <c r="F286" s="191"/>
      <c r="G286" s="191"/>
      <c r="H286" s="191"/>
    </row>
    <row r="287" spans="4:8" ht="30" customHeight="1">
      <c r="D287" s="191"/>
      <c r="E287" s="191"/>
      <c r="F287" s="191"/>
      <c r="G287" s="191"/>
      <c r="H287" s="191"/>
    </row>
    <row r="288" spans="4:8" ht="30" customHeight="1">
      <c r="D288" s="191"/>
      <c r="E288" s="191"/>
      <c r="F288" s="191"/>
      <c r="G288" s="191"/>
      <c r="H288" s="191"/>
    </row>
    <row r="289" spans="4:8" ht="30" customHeight="1">
      <c r="D289" s="191"/>
      <c r="E289" s="191"/>
      <c r="F289" s="191"/>
      <c r="G289" s="191"/>
      <c r="H289" s="191"/>
    </row>
    <row r="290" spans="4:8" ht="30" customHeight="1">
      <c r="D290" s="191"/>
      <c r="E290" s="191"/>
      <c r="F290" s="191"/>
      <c r="G290" s="191"/>
      <c r="H290" s="191"/>
    </row>
    <row r="291" spans="4:8" ht="30" customHeight="1">
      <c r="D291" s="191"/>
      <c r="E291" s="191"/>
      <c r="F291" s="191"/>
      <c r="G291" s="191"/>
      <c r="H291" s="191"/>
    </row>
    <row r="292" spans="4:8" ht="30" customHeight="1">
      <c r="D292" s="191"/>
      <c r="E292" s="191"/>
      <c r="F292" s="191"/>
      <c r="G292" s="191"/>
      <c r="H292" s="191"/>
    </row>
    <row r="293" spans="4:8" ht="30" customHeight="1">
      <c r="D293" s="191"/>
      <c r="E293" s="191"/>
      <c r="F293" s="191"/>
      <c r="G293" s="191"/>
      <c r="H293" s="191"/>
    </row>
    <row r="294" spans="4:8" ht="30" customHeight="1">
      <c r="D294" s="191"/>
      <c r="E294" s="191"/>
      <c r="F294" s="191"/>
      <c r="G294" s="191"/>
      <c r="H294" s="191"/>
    </row>
    <row r="295" spans="4:8" ht="30" customHeight="1">
      <c r="D295" s="191"/>
      <c r="E295" s="191"/>
      <c r="F295" s="191"/>
      <c r="G295" s="191"/>
      <c r="H295" s="191"/>
    </row>
    <row r="296" spans="4:8" ht="30" customHeight="1">
      <c r="D296" s="191"/>
      <c r="E296" s="191"/>
      <c r="F296" s="191"/>
      <c r="G296" s="191"/>
      <c r="H296" s="191"/>
    </row>
    <row r="297" spans="4:8" ht="30" customHeight="1">
      <c r="D297" s="191"/>
      <c r="E297" s="191"/>
      <c r="F297" s="191"/>
      <c r="G297" s="191"/>
      <c r="H297" s="191"/>
    </row>
    <row r="298" spans="4:8" ht="30" customHeight="1">
      <c r="D298" s="191"/>
      <c r="E298" s="191"/>
      <c r="F298" s="191"/>
      <c r="G298" s="191"/>
      <c r="H298" s="191"/>
    </row>
    <row r="299" spans="4:8" ht="30" customHeight="1">
      <c r="D299" s="191"/>
      <c r="E299" s="191"/>
      <c r="F299" s="191"/>
      <c r="G299" s="191"/>
      <c r="H299" s="191"/>
    </row>
    <row r="300" spans="4:8" ht="30" customHeight="1">
      <c r="D300" s="191"/>
      <c r="E300" s="191"/>
      <c r="F300" s="191"/>
      <c r="G300" s="191"/>
      <c r="H300" s="191"/>
    </row>
    <row r="301" spans="4:8" ht="30" customHeight="1">
      <c r="D301" s="191"/>
      <c r="E301" s="191"/>
      <c r="F301" s="191"/>
      <c r="G301" s="191"/>
      <c r="H301" s="191"/>
    </row>
    <row r="302" spans="4:8" ht="30" customHeight="1">
      <c r="D302" s="191"/>
      <c r="E302" s="191"/>
      <c r="F302" s="191"/>
      <c r="G302" s="191"/>
      <c r="H302" s="191"/>
    </row>
    <row r="303" spans="4:8" ht="30" customHeight="1">
      <c r="D303" s="191"/>
      <c r="E303" s="191"/>
      <c r="F303" s="191"/>
      <c r="G303" s="191"/>
      <c r="H303" s="191"/>
    </row>
    <row r="304" spans="4:8" ht="30" customHeight="1">
      <c r="D304" s="191"/>
      <c r="E304" s="191"/>
      <c r="F304" s="191"/>
      <c r="G304" s="191"/>
      <c r="H304" s="191"/>
    </row>
    <row r="305" spans="4:8" ht="30" customHeight="1">
      <c r="D305" s="191"/>
      <c r="E305" s="191"/>
      <c r="F305" s="191"/>
      <c r="G305" s="191"/>
      <c r="H305" s="191"/>
    </row>
    <row r="306" spans="4:8" ht="30" customHeight="1">
      <c r="D306" s="191"/>
      <c r="E306" s="191"/>
      <c r="F306" s="191"/>
      <c r="G306" s="191"/>
      <c r="H306" s="191"/>
    </row>
    <row r="307" spans="4:8" ht="30" customHeight="1">
      <c r="D307" s="191"/>
      <c r="E307" s="191"/>
      <c r="F307" s="191"/>
      <c r="G307" s="191"/>
      <c r="H307" s="191"/>
    </row>
    <row r="308" spans="4:8" ht="30" customHeight="1">
      <c r="D308" s="191"/>
      <c r="E308" s="191"/>
      <c r="F308" s="191"/>
      <c r="G308" s="191"/>
      <c r="H308" s="191"/>
    </row>
    <row r="309" spans="4:8" ht="30" customHeight="1">
      <c r="D309" s="191"/>
      <c r="E309" s="191"/>
      <c r="F309" s="191"/>
      <c r="G309" s="191"/>
      <c r="H309" s="191"/>
    </row>
    <row r="310" spans="4:8" ht="30" customHeight="1">
      <c r="D310" s="191"/>
      <c r="E310" s="191"/>
      <c r="F310" s="191"/>
      <c r="G310" s="191"/>
      <c r="H310" s="191"/>
    </row>
    <row r="311" spans="4:8" ht="30" customHeight="1">
      <c r="D311" s="191"/>
      <c r="E311" s="191"/>
      <c r="F311" s="191"/>
      <c r="G311" s="191"/>
      <c r="H311" s="191"/>
    </row>
    <row r="312" spans="4:8" ht="30" customHeight="1">
      <c r="D312" s="191"/>
      <c r="E312" s="191"/>
      <c r="F312" s="191"/>
      <c r="G312" s="191"/>
      <c r="H312" s="191"/>
    </row>
    <row r="313" spans="4:8" ht="30" customHeight="1">
      <c r="D313" s="191"/>
      <c r="E313" s="191"/>
      <c r="F313" s="191"/>
      <c r="G313" s="191"/>
      <c r="H313" s="191"/>
    </row>
    <row r="314" spans="4:8" ht="30" customHeight="1">
      <c r="D314" s="191"/>
      <c r="E314" s="191"/>
      <c r="F314" s="191"/>
      <c r="G314" s="191"/>
      <c r="H314" s="191"/>
    </row>
    <row r="315" spans="4:8" ht="30" customHeight="1">
      <c r="D315" s="191"/>
      <c r="E315" s="191"/>
      <c r="F315" s="191"/>
      <c r="G315" s="191"/>
      <c r="H315" s="191"/>
    </row>
    <row r="316" spans="4:8" ht="15" customHeight="1"/>
  </sheetData>
  <mergeCells count="425">
    <mergeCell ref="D217:H217"/>
    <mergeCell ref="D246:H246"/>
    <mergeCell ref="D248:H248"/>
    <mergeCell ref="D104:H104"/>
    <mergeCell ref="D278:H278"/>
    <mergeCell ref="D215:H215"/>
    <mergeCell ref="D264:H264"/>
    <mergeCell ref="D93:H93"/>
    <mergeCell ref="D275:H275"/>
    <mergeCell ref="D266:H266"/>
    <mergeCell ref="D251:H251"/>
    <mergeCell ref="D148:H148"/>
    <mergeCell ref="D249:H249"/>
    <mergeCell ref="D109:H109"/>
    <mergeCell ref="D114:H114"/>
    <mergeCell ref="D186:H186"/>
    <mergeCell ref="D173:H173"/>
    <mergeCell ref="D218:H218"/>
    <mergeCell ref="D213:H213"/>
    <mergeCell ref="D209:H209"/>
    <mergeCell ref="D208:H208"/>
    <mergeCell ref="D202:H202"/>
    <mergeCell ref="D166:H166"/>
    <mergeCell ref="D160:H160"/>
    <mergeCell ref="M14:R14"/>
    <mergeCell ref="M85:R85"/>
    <mergeCell ref="M79:R79"/>
    <mergeCell ref="D241:H241"/>
    <mergeCell ref="D38:H38"/>
    <mergeCell ref="M69:R69"/>
    <mergeCell ref="M34:R34"/>
    <mergeCell ref="M98:R98"/>
    <mergeCell ref="M73:R73"/>
    <mergeCell ref="M29:R29"/>
    <mergeCell ref="D64:H64"/>
    <mergeCell ref="D56:H56"/>
    <mergeCell ref="D16:H16"/>
    <mergeCell ref="D29:H29"/>
    <mergeCell ref="M97:R97"/>
    <mergeCell ref="D28:H28"/>
    <mergeCell ref="D22:H22"/>
    <mergeCell ref="D212:H212"/>
    <mergeCell ref="M95:R95"/>
    <mergeCell ref="M70:R70"/>
    <mergeCell ref="D133:H133"/>
    <mergeCell ref="D207:H207"/>
    <mergeCell ref="D169:H169"/>
    <mergeCell ref="M44:R44"/>
    <mergeCell ref="D313:H313"/>
    <mergeCell ref="M12:R12"/>
    <mergeCell ref="D158:H158"/>
    <mergeCell ref="M104:R104"/>
    <mergeCell ref="M35:R35"/>
    <mergeCell ref="D287:H287"/>
    <mergeCell ref="D306:H306"/>
    <mergeCell ref="D293:H293"/>
    <mergeCell ref="D149:H149"/>
    <mergeCell ref="D214:H214"/>
    <mergeCell ref="D14:H14"/>
    <mergeCell ref="D176:H176"/>
    <mergeCell ref="D32:H32"/>
    <mergeCell ref="M51:R51"/>
    <mergeCell ref="M38:R38"/>
    <mergeCell ref="M109:R109"/>
    <mergeCell ref="D78:H78"/>
    <mergeCell ref="M22:R22"/>
    <mergeCell ref="D277:H277"/>
    <mergeCell ref="D268:H268"/>
    <mergeCell ref="D295:H295"/>
    <mergeCell ref="D243:H243"/>
    <mergeCell ref="D74:H74"/>
    <mergeCell ref="D297:H297"/>
    <mergeCell ref="D12:H12"/>
    <mergeCell ref="D150:H150"/>
    <mergeCell ref="M25:R25"/>
    <mergeCell ref="D303:H303"/>
    <mergeCell ref="D11:H11"/>
    <mergeCell ref="D82:H82"/>
    <mergeCell ref="D13:H13"/>
    <mergeCell ref="D84:H84"/>
    <mergeCell ref="D59:H59"/>
    <mergeCell ref="D180:H180"/>
    <mergeCell ref="D101:H101"/>
    <mergeCell ref="D272:H272"/>
    <mergeCell ref="D132:H132"/>
    <mergeCell ref="D190:H190"/>
    <mergeCell ref="D127:H127"/>
    <mergeCell ref="D198:H198"/>
    <mergeCell ref="D185:H185"/>
    <mergeCell ref="D290:H290"/>
    <mergeCell ref="D292:H292"/>
    <mergeCell ref="D193:H193"/>
    <mergeCell ref="D211:H211"/>
    <mergeCell ref="D145:H145"/>
    <mergeCell ref="D222:H222"/>
    <mergeCell ref="D220:H220"/>
    <mergeCell ref="D312:H312"/>
    <mergeCell ref="D164:H164"/>
    <mergeCell ref="D235:H235"/>
    <mergeCell ref="D91:H91"/>
    <mergeCell ref="D151:H151"/>
    <mergeCell ref="AC8:AC9"/>
    <mergeCell ref="M100:R100"/>
    <mergeCell ref="D135:H135"/>
    <mergeCell ref="D262:H262"/>
    <mergeCell ref="M99:R99"/>
    <mergeCell ref="D199:H199"/>
    <mergeCell ref="D291:H291"/>
    <mergeCell ref="M101:R101"/>
    <mergeCell ref="D70:H70"/>
    <mergeCell ref="D201:H201"/>
    <mergeCell ref="D57:H57"/>
    <mergeCell ref="D72:H72"/>
    <mergeCell ref="D230:H230"/>
    <mergeCell ref="D19:H19"/>
    <mergeCell ref="D83:H83"/>
    <mergeCell ref="D154:H154"/>
    <mergeCell ref="D195:H195"/>
    <mergeCell ref="D102:H102"/>
    <mergeCell ref="D77:H77"/>
    <mergeCell ref="D315:H315"/>
    <mergeCell ref="D119:H119"/>
    <mergeCell ref="D239:H239"/>
    <mergeCell ref="D285:H285"/>
    <mergeCell ref="D280:H280"/>
    <mergeCell ref="D296:H296"/>
    <mergeCell ref="D311:H311"/>
    <mergeCell ref="D286:H286"/>
    <mergeCell ref="D288:H288"/>
    <mergeCell ref="D299:H299"/>
    <mergeCell ref="D274:H274"/>
    <mergeCell ref="D276:H276"/>
    <mergeCell ref="D258:H258"/>
    <mergeCell ref="D302:H302"/>
    <mergeCell ref="D289:H289"/>
    <mergeCell ref="D271:H271"/>
    <mergeCell ref="D307:H307"/>
    <mergeCell ref="D162:H162"/>
    <mergeCell ref="D233:H233"/>
    <mergeCell ref="D314:H314"/>
    <mergeCell ref="D301:H301"/>
    <mergeCell ref="D309:H309"/>
    <mergeCell ref="D138:H138"/>
    <mergeCell ref="D283:H283"/>
    <mergeCell ref="B4:F4"/>
    <mergeCell ref="M59:R59"/>
    <mergeCell ref="D270:H270"/>
    <mergeCell ref="D261:H261"/>
    <mergeCell ref="D236:H236"/>
    <mergeCell ref="D30:H30"/>
    <mergeCell ref="D107:H107"/>
    <mergeCell ref="D238:H238"/>
    <mergeCell ref="D265:H265"/>
    <mergeCell ref="D94:H94"/>
    <mergeCell ref="D31:H31"/>
    <mergeCell ref="D267:H267"/>
    <mergeCell ref="D96:H96"/>
    <mergeCell ref="M62:R62"/>
    <mergeCell ref="M49:R49"/>
    <mergeCell ref="D183:H183"/>
    <mergeCell ref="D69:H69"/>
    <mergeCell ref="M75:R75"/>
    <mergeCell ref="M37:R37"/>
    <mergeCell ref="D237:H237"/>
    <mergeCell ref="M16:R16"/>
    <mergeCell ref="D106:H106"/>
    <mergeCell ref="D204:H204"/>
    <mergeCell ref="D117:H117"/>
    <mergeCell ref="D182:H182"/>
    <mergeCell ref="D184:H184"/>
    <mergeCell ref="D187:H187"/>
    <mergeCell ref="D66:H66"/>
    <mergeCell ref="D191:H191"/>
    <mergeCell ref="M66:R66"/>
    <mergeCell ref="D41:H41"/>
    <mergeCell ref="AA8:AA9"/>
    <mergeCell ref="D112:H112"/>
    <mergeCell ref="D172:H172"/>
    <mergeCell ref="M47:R47"/>
    <mergeCell ref="D147:H147"/>
    <mergeCell ref="D122:H122"/>
    <mergeCell ref="M21:R21"/>
    <mergeCell ref="D146:H146"/>
    <mergeCell ref="D170:H170"/>
    <mergeCell ref="D24:H24"/>
    <mergeCell ref="M43:R43"/>
    <mergeCell ref="D34:H34"/>
    <mergeCell ref="M27:R27"/>
    <mergeCell ref="M31:R31"/>
    <mergeCell ref="M28:R28"/>
    <mergeCell ref="D27:H27"/>
    <mergeCell ref="D21:H21"/>
    <mergeCell ref="B8:C9"/>
    <mergeCell ref="D97:H97"/>
    <mergeCell ref="D168:H168"/>
    <mergeCell ref="M93:R93"/>
    <mergeCell ref="M30:R30"/>
    <mergeCell ref="M53:R53"/>
    <mergeCell ref="D143:H143"/>
    <mergeCell ref="M89:R89"/>
    <mergeCell ref="D118:H118"/>
    <mergeCell ref="B10:C10"/>
    <mergeCell ref="M84:R84"/>
    <mergeCell ref="D40:H40"/>
    <mergeCell ref="D42:H42"/>
    <mergeCell ref="M102:R102"/>
    <mergeCell ref="M105:R105"/>
    <mergeCell ref="D140:H140"/>
    <mergeCell ref="M13:R13"/>
    <mergeCell ref="K8:Q8"/>
    <mergeCell ref="D73:H73"/>
    <mergeCell ref="D129:H129"/>
    <mergeCell ref="D67:H67"/>
    <mergeCell ref="D116:H116"/>
    <mergeCell ref="M110:R110"/>
    <mergeCell ref="M41:R41"/>
    <mergeCell ref="V8:Z8"/>
    <mergeCell ref="D130:H130"/>
    <mergeCell ref="D257:H257"/>
    <mergeCell ref="M76:R76"/>
    <mergeCell ref="D51:H51"/>
    <mergeCell ref="M94:R94"/>
    <mergeCell ref="D123:H123"/>
    <mergeCell ref="M88:R88"/>
    <mergeCell ref="D194:H194"/>
    <mergeCell ref="D188:H188"/>
    <mergeCell ref="D115:H115"/>
    <mergeCell ref="M96:R96"/>
    <mergeCell ref="D65:H65"/>
    <mergeCell ref="D125:H125"/>
    <mergeCell ref="D196:H196"/>
    <mergeCell ref="D252:H252"/>
    <mergeCell ref="D52:H52"/>
    <mergeCell ref="M71:R71"/>
    <mergeCell ref="D46:H46"/>
    <mergeCell ref="T8:U8"/>
    <mergeCell ref="D254:H254"/>
    <mergeCell ref="M91:R91"/>
    <mergeCell ref="M54:R54"/>
    <mergeCell ref="D120:H120"/>
    <mergeCell ref="M11:R11"/>
    <mergeCell ref="D141:H141"/>
    <mergeCell ref="M87:R87"/>
    <mergeCell ref="D128:H128"/>
    <mergeCell ref="M81:R81"/>
    <mergeCell ref="R8:S8"/>
    <mergeCell ref="M18:R18"/>
    <mergeCell ref="D6:H6"/>
    <mergeCell ref="M78:R78"/>
    <mergeCell ref="D45:H45"/>
    <mergeCell ref="M64:R64"/>
    <mergeCell ref="D110:H110"/>
    <mergeCell ref="M20:R20"/>
    <mergeCell ref="D48:H48"/>
    <mergeCell ref="M46:R46"/>
    <mergeCell ref="M107:R107"/>
    <mergeCell ref="D80:H80"/>
    <mergeCell ref="D98:H98"/>
    <mergeCell ref="D100:H100"/>
    <mergeCell ref="D75:H75"/>
    <mergeCell ref="M56:R56"/>
    <mergeCell ref="D85:H85"/>
    <mergeCell ref="D49:H49"/>
    <mergeCell ref="M68:R68"/>
    <mergeCell ref="D159:H159"/>
    <mergeCell ref="M15:R15"/>
    <mergeCell ref="D20:H20"/>
    <mergeCell ref="M26:R26"/>
    <mergeCell ref="M17:R17"/>
    <mergeCell ref="D144:H144"/>
    <mergeCell ref="M90:R90"/>
    <mergeCell ref="D15:H15"/>
    <mergeCell ref="D86:H86"/>
    <mergeCell ref="D156:H156"/>
    <mergeCell ref="D43:H43"/>
    <mergeCell ref="M80:R80"/>
    <mergeCell ref="D44:H44"/>
    <mergeCell ref="M83:R83"/>
    <mergeCell ref="D53:H53"/>
    <mergeCell ref="M72:R72"/>
    <mergeCell ref="D54:H54"/>
    <mergeCell ref="D273:H273"/>
    <mergeCell ref="D244:H244"/>
    <mergeCell ref="M92:R92"/>
    <mergeCell ref="D300:H300"/>
    <mergeCell ref="D121:H121"/>
    <mergeCell ref="D192:H192"/>
    <mergeCell ref="D223:H223"/>
    <mergeCell ref="D17:H17"/>
    <mergeCell ref="D210:H210"/>
    <mergeCell ref="D81:H81"/>
    <mergeCell ref="M108:R108"/>
    <mergeCell ref="D137:H137"/>
    <mergeCell ref="D99:H99"/>
    <mergeCell ref="M74:R74"/>
    <mergeCell ref="M39:R39"/>
    <mergeCell ref="D139:H139"/>
    <mergeCell ref="D157:H157"/>
    <mergeCell ref="D228:H228"/>
    <mergeCell ref="M103:R103"/>
    <mergeCell ref="D76:H76"/>
    <mergeCell ref="D203:H203"/>
    <mergeCell ref="D197:H197"/>
    <mergeCell ref="M40:R40"/>
    <mergeCell ref="D161:H161"/>
    <mergeCell ref="D305:H305"/>
    <mergeCell ref="D134:H134"/>
    <mergeCell ref="D205:H205"/>
    <mergeCell ref="M23:R23"/>
    <mergeCell ref="D71:H71"/>
    <mergeCell ref="M65:R65"/>
    <mergeCell ref="D234:H234"/>
    <mergeCell ref="M52:R52"/>
    <mergeCell ref="M67:R67"/>
    <mergeCell ref="D23:H23"/>
    <mergeCell ref="D259:H259"/>
    <mergeCell ref="D88:H88"/>
    <mergeCell ref="M45:R45"/>
    <mergeCell ref="M36:R36"/>
    <mergeCell ref="M60:R60"/>
    <mergeCell ref="M111:R111"/>
    <mergeCell ref="M55:R55"/>
    <mergeCell ref="M42:R42"/>
    <mergeCell ref="M106:R106"/>
    <mergeCell ref="D155:H155"/>
    <mergeCell ref="D226:H226"/>
    <mergeCell ref="D263:H263"/>
    <mergeCell ref="D219:H219"/>
    <mergeCell ref="D68:H68"/>
    <mergeCell ref="D308:H308"/>
    <mergeCell ref="D87:H87"/>
    <mergeCell ref="D25:H25"/>
    <mergeCell ref="D152:H152"/>
    <mergeCell ref="D310:H310"/>
    <mergeCell ref="D18:H18"/>
    <mergeCell ref="D89:H89"/>
    <mergeCell ref="D260:H260"/>
    <mergeCell ref="D216:H216"/>
    <mergeCell ref="D178:H178"/>
    <mergeCell ref="D165:H165"/>
    <mergeCell ref="D36:H36"/>
    <mergeCell ref="D229:H229"/>
    <mergeCell ref="D167:H167"/>
    <mergeCell ref="D179:H179"/>
    <mergeCell ref="D142:H142"/>
    <mergeCell ref="D231:H231"/>
    <mergeCell ref="D206:H206"/>
    <mergeCell ref="D255:H255"/>
    <mergeCell ref="D37:H37"/>
    <mergeCell ref="D298:H298"/>
    <mergeCell ref="D221:H221"/>
    <mergeCell ref="D224:H224"/>
    <mergeCell ref="D245:H245"/>
    <mergeCell ref="K3:O3"/>
    <mergeCell ref="D62:H62"/>
    <mergeCell ref="D79:H79"/>
    <mergeCell ref="K5:O5"/>
    <mergeCell ref="M24:R24"/>
    <mergeCell ref="D95:H95"/>
    <mergeCell ref="M32:R32"/>
    <mergeCell ref="D26:H26"/>
    <mergeCell ref="D153:H153"/>
    <mergeCell ref="M61:R61"/>
    <mergeCell ref="D90:H90"/>
    <mergeCell ref="D105:H105"/>
    <mergeCell ref="D92:H92"/>
    <mergeCell ref="M86:R86"/>
    <mergeCell ref="M58:R58"/>
    <mergeCell ref="D39:H39"/>
    <mergeCell ref="R3:S3"/>
    <mergeCell ref="K6:O6"/>
    <mergeCell ref="M19:R19"/>
    <mergeCell ref="D3:H3"/>
    <mergeCell ref="D5:H5"/>
    <mergeCell ref="D131:H131"/>
    <mergeCell ref="D50:H50"/>
    <mergeCell ref="D8:J8"/>
    <mergeCell ref="D281:H281"/>
    <mergeCell ref="D256:H256"/>
    <mergeCell ref="D247:H247"/>
    <mergeCell ref="D103:H103"/>
    <mergeCell ref="D136:H136"/>
    <mergeCell ref="M82:R82"/>
    <mergeCell ref="M33:R33"/>
    <mergeCell ref="D225:H225"/>
    <mergeCell ref="D200:H200"/>
    <mergeCell ref="M48:R48"/>
    <mergeCell ref="D163:H163"/>
    <mergeCell ref="D240:H240"/>
    <mergeCell ref="D227:H227"/>
    <mergeCell ref="D58:H58"/>
    <mergeCell ref="M77:R77"/>
    <mergeCell ref="M57:R57"/>
    <mergeCell ref="D250:H250"/>
    <mergeCell ref="M63:R63"/>
    <mergeCell ref="M50:R50"/>
    <mergeCell ref="D181:H181"/>
    <mergeCell ref="D279:H279"/>
    <mergeCell ref="D108:H108"/>
    <mergeCell ref="D189:H189"/>
    <mergeCell ref="D232:H232"/>
    <mergeCell ref="AB8:AB9"/>
    <mergeCell ref="B11:C11"/>
    <mergeCell ref="D294:H294"/>
    <mergeCell ref="D177:H177"/>
    <mergeCell ref="D33:H33"/>
    <mergeCell ref="D171:H171"/>
    <mergeCell ref="D304:H304"/>
    <mergeCell ref="D242:H242"/>
    <mergeCell ref="D269:H269"/>
    <mergeCell ref="D35:H35"/>
    <mergeCell ref="D60:H60"/>
    <mergeCell ref="D253:H253"/>
    <mergeCell ref="D47:H47"/>
    <mergeCell ref="D174:H174"/>
    <mergeCell ref="D124:H124"/>
    <mergeCell ref="D111:H111"/>
    <mergeCell ref="D282:H282"/>
    <mergeCell ref="D61:H61"/>
    <mergeCell ref="D55:H55"/>
    <mergeCell ref="D126:H126"/>
    <mergeCell ref="D175:H175"/>
    <mergeCell ref="D284:H284"/>
    <mergeCell ref="D113:H113"/>
    <mergeCell ref="D63:H63"/>
  </mergeCells>
  <printOptions horizontalCentered="1" verticalCentered="1"/>
  <pageMargins left="0.25" right="0.25" top="0.75" bottom="0.75" header="0.3" footer="0.3"/>
  <pageSetup paperSize="9" scale="10" orientation="portrait" horizontalDpi="4294967293"/>
  <headerFooter differentFirst="1">
    <oddFooter>&amp;L&amp;C&amp;R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rmarHojaActual">
                <anchor moveWithCells="1">
                  <from>
                    <xdr:col>2</xdr:col>
                    <xdr:colOff>9525</xdr:colOff>
                    <xdr:row>11</xdr:row>
                    <xdr:rowOff>466725</xdr:rowOff>
                  </from>
                  <to>
                    <xdr:col>2</xdr:col>
                    <xdr:colOff>1285875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INFO-Consumo</vt:lpstr>
      <vt:lpstr>INFO-Ponderacion</vt:lpstr>
      <vt:lpstr>INFO-Factura</vt:lpstr>
      <vt:lpstr>'INFO-Consumo'!Areas</vt:lpstr>
      <vt:lpstr>'INFO-Consumo'!Lubricantes</vt:lpstr>
      <vt:lpstr>'INFO-Consumo'!Refrigerantes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2025-12-05T14:15:14Z</cp:lastPrinted>
  <dcterms:created xsi:type="dcterms:W3CDTF">2025-12-02T17:20:17Z</dcterms:created>
  <dcterms:modified xsi:type="dcterms:W3CDTF">2025-12-17T19:41:55Z</dcterms:modified>
</cp:coreProperties>
</file>