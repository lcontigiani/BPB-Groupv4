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uxiliares\Analisis de Costos Personal\"/>
    </mc:Choice>
  </mc:AlternateContent>
  <bookViews>
    <workbookView xWindow="0" yWindow="0" windowWidth="28800" windowHeight="12330"/>
  </bookViews>
  <sheets>
    <sheet name="Personal" sheetId="1" r:id="rId1"/>
  </sheets>
  <functionGroups builtInGroupCount="18"/>
  <definedNames>
    <definedName name="Areas">Personal!$N$40:$N$43</definedName>
    <definedName name="Fresas">OFFSET(#REF!,0,0,COUNTIF(#REF!,"?*"),1)</definedName>
    <definedName name="Herramientas">OFFSET(#REF!,0,0,COUNTIF(#REF!,"?*"),1)</definedName>
    <definedName name="INSUMOS">OFFSET(#REF!,0,0,COUNTIF(#REF!,"?*"),1)</definedName>
    <definedName name="Lubricantes">Personal!$F$14:$F$19</definedName>
    <definedName name="Maquinaria">OFFSET(#REF!,0,0,COUNTIF(#REF!,"?*"),1)</definedName>
    <definedName name="Personal">#REF!</definedName>
    <definedName name="Refrigerantes">Personal!$F$22:$F$27</definedName>
    <definedName name="Repuesto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K3" i="1"/>
</calcChain>
</file>

<file path=xl/comments1.xml><?xml version="1.0" encoding="utf-8"?>
<comments xmlns="http://schemas.openxmlformats.org/spreadsheetml/2006/main">
  <authors>
    <author>Lorenzo Contigiani</author>
  </authors>
  <commentList>
    <comment ref="K8" authorId="0" shapeId="0">
      <text>
        <r>
          <rPr>
            <b/>
            <sz val="9"/>
            <color indexed="81"/>
            <rFont val="Tahoma"/>
            <family val="2"/>
          </rPr>
          <t>Lorenzo Contigiani:</t>
        </r>
        <r>
          <rPr>
            <sz val="9"/>
            <color indexed="81"/>
            <rFont val="Tahoma"/>
            <family val="2"/>
          </rPr>
          <t xml:space="preserve">
% hace referencia al tiempo que se le dedica al area respecto al resto.</t>
        </r>
      </text>
    </comment>
  </commentList>
</comments>
</file>

<file path=xl/sharedStrings.xml><?xml version="1.0" encoding="utf-8"?>
<sst xmlns="http://schemas.openxmlformats.org/spreadsheetml/2006/main" count="106" uniqueCount="62">
  <si>
    <t>TIPO DE COSTOS:</t>
  </si>
  <si>
    <t>FECHA DE ANALISIS:</t>
  </si>
  <si>
    <t>INFORMACIÓN DEL RESPONSABLE:</t>
  </si>
  <si>
    <t>NOMBRE</t>
  </si>
  <si>
    <t>PUESTO</t>
  </si>
  <si>
    <t>DEPARTAMENTO</t>
  </si>
  <si>
    <t>Observaciones</t>
  </si>
  <si>
    <t>%</t>
  </si>
  <si>
    <t xml:space="preserve">NOTAS: </t>
  </si>
  <si>
    <t>PLANILLA DE DATOS PERSONAL</t>
  </si>
  <si>
    <t>PERSONAL</t>
  </si>
  <si>
    <t>Personal</t>
  </si>
  <si>
    <t>Area 1</t>
  </si>
  <si>
    <t>Area 2</t>
  </si>
  <si>
    <t>Area 3</t>
  </si>
  <si>
    <t>Area 4</t>
  </si>
  <si>
    <t>N</t>
  </si>
  <si>
    <t>Espejo Joaquin</t>
  </si>
  <si>
    <t>Maldonado Virginia</t>
  </si>
  <si>
    <t>Ghella Juan Pablo</t>
  </si>
  <si>
    <t>Ferro Juan Manuel</t>
  </si>
  <si>
    <t>Areas:</t>
  </si>
  <si>
    <t>Producción</t>
  </si>
  <si>
    <t>Ensamble</t>
  </si>
  <si>
    <t>Embalaje</t>
  </si>
  <si>
    <t>Deposito y Logística</t>
  </si>
  <si>
    <t>Operario de Producción (Tornos)</t>
  </si>
  <si>
    <t>Operario de Producción (CM)</t>
  </si>
  <si>
    <t>Supervisor de Producción (CM)</t>
  </si>
  <si>
    <t>Supervisor de Producción (Tornos), Ensamble y Embalaje</t>
  </si>
  <si>
    <t>Supervisor de Planta</t>
  </si>
  <si>
    <t>Operario de Produccion</t>
  </si>
  <si>
    <t>Operario de Produccion (Taller)</t>
  </si>
  <si>
    <t>Operario de Ensamble y tareas complementarias en Producción</t>
  </si>
  <si>
    <t>Costo del Personal ($ Pesos)</t>
  </si>
  <si>
    <t>Appendino Tomas</t>
  </si>
  <si>
    <t>Supervisor de Deposito</t>
  </si>
  <si>
    <t>Operario de Expedición</t>
  </si>
  <si>
    <t>Agüero Juan Pablo</t>
  </si>
  <si>
    <t xml:space="preserve"> Acosta Eric Jose</t>
  </si>
  <si>
    <t>Coria Jairo Yamil</t>
  </si>
  <si>
    <t>D'olivo Gaston Fernando</t>
  </si>
  <si>
    <t>Guardia Jonatan Dario</t>
  </si>
  <si>
    <t>Dominguez Jose Alberto</t>
  </si>
  <si>
    <t>Sayago Alberto Martin</t>
  </si>
  <si>
    <t>Rinaldi Jorge Gabriel</t>
  </si>
  <si>
    <t>Ortiz Raul Edgardo</t>
  </si>
  <si>
    <t>Oviedo Leandro Carlos</t>
  </si>
  <si>
    <t>Piacenza Facundo Javier</t>
  </si>
  <si>
    <t xml:space="preserve">APROBADO POR: </t>
  </si>
  <si>
    <t>Roda Gabriel Cesar</t>
  </si>
  <si>
    <t>Barrios Ortiz Ignacio</t>
  </si>
  <si>
    <t>Deheza Pambosian Fernando</t>
  </si>
  <si>
    <t>Operario de Ensamble</t>
  </si>
  <si>
    <t>Supervisor de Ensamble</t>
  </si>
  <si>
    <t>Lorenzo</t>
  </si>
  <si>
    <t>Oficina Tecnica</t>
  </si>
  <si>
    <t>Ing. en Operaciones</t>
  </si>
  <si>
    <t>SUPERIOR</t>
  </si>
  <si>
    <t>Luciano Cochis</t>
  </si>
  <si>
    <t>VALOR DÓLAR:</t>
  </si>
  <si>
    <t>Lorenzo Contigiani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</si>
</sst>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\ #,##0.00"/>
  </numFmts>
  <fonts count="19"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66CC"/>
      <name val="Manrope"/>
    </font>
    <font>
      <sz val="11"/>
      <name val="Manrope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9" fontId="1" fillId="0" borderId="0" applyFill="0" applyBorder="0" applyAlignment="0" applyProtection="0"/>
    <xf numFmtId="0" fontId="2" fillId="0" borderId="0" applyProtection="0">
      <alignment vertical="top"/>
    </xf>
    <xf numFmtId="0" fontId="9" fillId="0" borderId="0" applyFill="0" applyProtection="0"/>
    <xf numFmtId="0" fontId="6" fillId="0" borderId="0" applyFill="0" applyProtection="0">
      <alignment horizontal="right" vertical="center" wrapText="1"/>
    </xf>
    <xf numFmtId="0" fontId="12" fillId="0" borderId="0" applyFill="0" applyProtection="0">
      <alignment horizontal="right" vertical="center" indent="1"/>
    </xf>
    <xf numFmtId="0" fontId="1" fillId="0" borderId="5">
      <alignment horizontal="left" vertical="center" wrapText="1"/>
    </xf>
  </cellStyleXfs>
  <cellXfs count="99">
    <xf numFmtId="0" fontId="0" fillId="0" borderId="0" xfId="0"/>
    <xf numFmtId="0" fontId="4" fillId="0" borderId="2" xfId="2" applyFont="1" applyBorder="1">
      <alignment vertical="top"/>
    </xf>
    <xf numFmtId="0" fontId="5" fillId="0" borderId="2" xfId="0" applyFont="1" applyBorder="1"/>
    <xf numFmtId="14" fontId="5" fillId="0" borderId="5" xfId="6" applyNumberFormat="1" applyFont="1" applyBorder="1" applyAlignment="1">
      <alignment horizontal="center" wrapText="1"/>
    </xf>
    <xf numFmtId="0" fontId="7" fillId="0" borderId="0" xfId="4" applyFont="1" applyBorder="1" applyAlignment="1">
      <alignment horizontal="right" wrapText="1"/>
    </xf>
    <xf numFmtId="0" fontId="11" fillId="0" borderId="0" xfId="3" applyFont="1" applyBorder="1"/>
    <xf numFmtId="0" fontId="5" fillId="0" borderId="0" xfId="0" applyFont="1" applyBorder="1"/>
    <xf numFmtId="0" fontId="5" fillId="0" borderId="0" xfId="5" applyFont="1" applyBorder="1" applyAlignment="1">
      <alignment horizontal="right" indent="1"/>
    </xf>
    <xf numFmtId="0" fontId="5" fillId="0" borderId="0" xfId="5" applyFont="1" applyBorder="1" applyAlignment="1">
      <alignment horizontal="right" vertical="center" indent="1"/>
    </xf>
    <xf numFmtId="0" fontId="5" fillId="0" borderId="0" xfId="6" applyFont="1" applyBorder="1">
      <alignment horizontal="left" vertical="center" wrapText="1"/>
    </xf>
    <xf numFmtId="0" fontId="5" fillId="0" borderId="0" xfId="5" applyFont="1" applyBorder="1">
      <alignment horizontal="right" vertical="center" indent="1"/>
    </xf>
    <xf numFmtId="0" fontId="5" fillId="0" borderId="0" xfId="6" applyFont="1" applyBorder="1" applyAlignment="1">
      <alignment vertical="center" wrapText="1"/>
    </xf>
    <xf numFmtId="0" fontId="5" fillId="0" borderId="0" xfId="5" applyFont="1" applyBorder="1" applyAlignment="1">
      <alignment horizontal="center" vertical="center"/>
    </xf>
    <xf numFmtId="0" fontId="8" fillId="0" borderId="0" xfId="4" applyFont="1" applyBorder="1" applyAlignment="1">
      <alignment horizontal="right"/>
    </xf>
    <xf numFmtId="0" fontId="5" fillId="0" borderId="20" xfId="6" applyFont="1" applyBorder="1" applyAlignment="1">
      <alignment vertical="center" wrapText="1"/>
    </xf>
    <xf numFmtId="0" fontId="5" fillId="0" borderId="20" xfId="0" applyFont="1" applyBorder="1"/>
    <xf numFmtId="0" fontId="12" fillId="0" borderId="0" xfId="5" applyAlignment="1">
      <alignment horizontal="right" vertical="center" indent="1"/>
    </xf>
    <xf numFmtId="0" fontId="14" fillId="0" borderId="0" xfId="0" applyFont="1" applyAlignment="1">
      <alignment horizontal="center"/>
    </xf>
    <xf numFmtId="0" fontId="12" fillId="0" borderId="0" xfId="5" applyBorder="1" applyAlignment="1">
      <alignment horizontal="center" vertical="center"/>
    </xf>
    <xf numFmtId="0" fontId="6" fillId="0" borderId="0" xfId="4">
      <alignment horizontal="right" vertical="center" wrapText="1"/>
    </xf>
    <xf numFmtId="14" fontId="5" fillId="0" borderId="0" xfId="6" applyNumberFormat="1" applyFont="1" applyBorder="1" applyAlignment="1">
      <alignment horizontal="center" wrapText="1"/>
    </xf>
    <xf numFmtId="0" fontId="5" fillId="0" borderId="0" xfId="5" applyFont="1" applyBorder="1" applyAlignment="1">
      <alignment vertical="center"/>
    </xf>
    <xf numFmtId="14" fontId="5" fillId="0" borderId="0" xfId="6" applyNumberFormat="1" applyFont="1" applyBorder="1" applyAlignment="1">
      <alignment vertical="center" wrapText="1"/>
    </xf>
    <xf numFmtId="0" fontId="5" fillId="0" borderId="0" xfId="5" applyFont="1" applyBorder="1" applyAlignment="1">
      <alignment horizontal="right"/>
    </xf>
    <xf numFmtId="0" fontId="8" fillId="0" borderId="0" xfId="4" applyFont="1" applyBorder="1">
      <alignment horizontal="right" vertical="center" wrapText="1"/>
    </xf>
    <xf numFmtId="0" fontId="5" fillId="0" borderId="20" xfId="5" applyFont="1" applyBorder="1" applyAlignment="1">
      <alignment horizontal="right" vertical="center" indent="1"/>
    </xf>
    <xf numFmtId="0" fontId="0" fillId="0" borderId="4" xfId="0" applyBorder="1"/>
    <xf numFmtId="0" fontId="0" fillId="0" borderId="19" xfId="0" applyBorder="1"/>
    <xf numFmtId="0" fontId="3" fillId="0" borderId="1" xfId="2" applyFont="1" applyBorder="1" applyAlignment="1">
      <alignment vertical="top"/>
    </xf>
    <xf numFmtId="0" fontId="3" fillId="0" borderId="2" xfId="2" applyFont="1" applyBorder="1" applyAlignment="1">
      <alignment vertical="top"/>
    </xf>
    <xf numFmtId="14" fontId="8" fillId="0" borderId="0" xfId="4" applyNumberFormat="1" applyFont="1" applyBorder="1">
      <alignment horizontal="right" vertical="center" wrapText="1"/>
    </xf>
    <xf numFmtId="0" fontId="5" fillId="0" borderId="20" xfId="5" applyFont="1" applyBorder="1" applyAlignment="1">
      <alignment horizontal="center" vertical="center" wrapText="1"/>
    </xf>
    <xf numFmtId="0" fontId="0" fillId="0" borderId="3" xfId="0" applyBorder="1"/>
    <xf numFmtId="0" fontId="0" fillId="0" borderId="6" xfId="0" applyBorder="1"/>
    <xf numFmtId="0" fontId="0" fillId="0" borderId="21" xfId="0" applyBorder="1"/>
    <xf numFmtId="0" fontId="5" fillId="2" borderId="12" xfId="5" applyFont="1" applyFill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25" xfId="5" applyFont="1" applyBorder="1" applyAlignment="1" applyProtection="1">
      <alignment horizontal="center" vertical="center" wrapText="1"/>
      <protection locked="0"/>
    </xf>
    <xf numFmtId="0" fontId="13" fillId="0" borderId="29" xfId="0" applyFont="1" applyBorder="1" applyAlignment="1">
      <alignment horizontal="center" vertical="center"/>
    </xf>
    <xf numFmtId="0" fontId="13" fillId="0" borderId="12" xfId="5" applyFont="1" applyBorder="1" applyAlignment="1" applyProtection="1">
      <alignment horizontal="center" vertical="center" wrapText="1"/>
      <protection locked="0"/>
    </xf>
    <xf numFmtId="0" fontId="13" fillId="0" borderId="17" xfId="5" applyFont="1" applyBorder="1" applyAlignment="1" applyProtection="1">
      <alignment horizontal="center" vertical="center"/>
      <protection locked="0"/>
    </xf>
    <xf numFmtId="0" fontId="13" fillId="0" borderId="23" xfId="0" applyFont="1" applyBorder="1" applyAlignment="1">
      <alignment horizontal="center" vertical="center"/>
    </xf>
    <xf numFmtId="0" fontId="13" fillId="0" borderId="26" xfId="5" applyFont="1" applyBorder="1" applyAlignment="1" applyProtection="1">
      <alignment horizontal="center" vertical="center"/>
      <protection locked="0"/>
    </xf>
    <xf numFmtId="0" fontId="13" fillId="0" borderId="26" xfId="5" applyFont="1" applyBorder="1" applyAlignment="1" applyProtection="1">
      <alignment horizontal="center" vertical="center" wrapText="1"/>
      <protection locked="0"/>
    </xf>
    <xf numFmtId="0" fontId="13" fillId="0" borderId="11" xfId="5" applyFont="1" applyBorder="1" applyAlignment="1" applyProtection="1">
      <alignment horizontal="center" vertical="center" wrapText="1"/>
      <protection locked="0"/>
    </xf>
    <xf numFmtId="0" fontId="13" fillId="0" borderId="16" xfId="5" applyFont="1" applyBorder="1" applyAlignment="1" applyProtection="1">
      <alignment horizontal="center" vertical="center" wrapText="1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9" fontId="13" fillId="0" borderId="25" xfId="5" applyNumberFormat="1" applyFont="1" applyBorder="1" applyAlignment="1" applyProtection="1">
      <alignment horizontal="center" vertical="center" wrapText="1"/>
      <protection locked="0"/>
    </xf>
    <xf numFmtId="9" fontId="13" fillId="0" borderId="12" xfId="5" applyNumberFormat="1" applyFont="1" applyBorder="1" applyAlignment="1" applyProtection="1">
      <alignment horizontal="center" vertical="center" wrapText="1"/>
      <protection locked="0"/>
    </xf>
    <xf numFmtId="9" fontId="13" fillId="0" borderId="12" xfId="5" applyNumberFormat="1" applyFont="1" applyBorder="1" applyAlignment="1" applyProtection="1">
      <alignment horizontal="center" vertical="center"/>
      <protection locked="0"/>
    </xf>
    <xf numFmtId="9" fontId="13" fillId="0" borderId="26" xfId="5" applyNumberFormat="1" applyFont="1" applyBorder="1" applyAlignment="1" applyProtection="1">
      <alignment horizontal="center" vertical="center" wrapText="1"/>
      <protection locked="0"/>
    </xf>
    <xf numFmtId="9" fontId="13" fillId="0" borderId="25" xfId="1" applyFont="1" applyBorder="1" applyAlignment="1" applyProtection="1">
      <alignment horizontal="center" vertical="center"/>
      <protection locked="0"/>
    </xf>
    <xf numFmtId="9" fontId="13" fillId="0" borderId="12" xfId="1" applyFont="1" applyFill="1" applyBorder="1" applyAlignment="1" applyProtection="1">
      <alignment horizontal="center" vertical="center"/>
      <protection locked="0"/>
    </xf>
    <xf numFmtId="9" fontId="13" fillId="0" borderId="26" xfId="1" applyFont="1" applyBorder="1" applyAlignment="1" applyProtection="1">
      <alignment horizontal="center" vertical="center"/>
      <protection locked="0"/>
    </xf>
    <xf numFmtId="9" fontId="13" fillId="0" borderId="26" xfId="1" applyFont="1" applyFill="1" applyBorder="1" applyAlignment="1" applyProtection="1">
      <alignment horizontal="center" vertical="center"/>
      <protection locked="0"/>
    </xf>
    <xf numFmtId="0" fontId="13" fillId="0" borderId="32" xfId="0" applyFont="1" applyBorder="1" applyAlignment="1">
      <alignment horizontal="center" vertical="center"/>
    </xf>
    <xf numFmtId="0" fontId="13" fillId="0" borderId="13" xfId="5" applyFont="1" applyBorder="1" applyAlignment="1" applyProtection="1">
      <alignment horizontal="center" vertical="center"/>
      <protection locked="0"/>
    </xf>
    <xf numFmtId="0" fontId="5" fillId="0" borderId="0" xfId="5" applyFont="1" applyBorder="1" applyAlignment="1">
      <alignment horizontal="center" vertical="center"/>
    </xf>
    <xf numFmtId="0" fontId="13" fillId="0" borderId="12" xfId="5" applyFont="1" applyBorder="1" applyAlignment="1" applyProtection="1">
      <alignment horizontal="center" vertical="center"/>
      <protection locked="0"/>
    </xf>
    <xf numFmtId="0" fontId="10" fillId="2" borderId="3" xfId="5" applyFont="1" applyFill="1" applyBorder="1" applyAlignment="1" applyProtection="1">
      <alignment horizontal="center" vertical="center" wrapText="1"/>
      <protection hidden="1"/>
    </xf>
    <xf numFmtId="0" fontId="10" fillId="2" borderId="9" xfId="5" applyFont="1" applyFill="1" applyBorder="1" applyAlignment="1" applyProtection="1">
      <alignment horizontal="center" vertical="center"/>
    </xf>
    <xf numFmtId="0" fontId="10" fillId="2" borderId="10" xfId="5" applyFont="1" applyFill="1" applyBorder="1" applyAlignment="1" applyProtection="1">
      <alignment horizontal="center" vertical="center"/>
    </xf>
    <xf numFmtId="0" fontId="10" fillId="2" borderId="1" xfId="5" applyFont="1" applyFill="1" applyBorder="1" applyAlignment="1" applyProtection="1">
      <alignment horizontal="center" vertical="center"/>
    </xf>
    <xf numFmtId="0" fontId="10" fillId="2" borderId="2" xfId="5" applyFont="1" applyFill="1" applyBorder="1" applyAlignment="1" applyProtection="1">
      <alignment horizontal="center" vertical="center"/>
    </xf>
    <xf numFmtId="0" fontId="10" fillId="2" borderId="3" xfId="5" applyFont="1" applyFill="1" applyBorder="1" applyAlignment="1" applyProtection="1">
      <alignment horizontal="center" vertical="center"/>
    </xf>
    <xf numFmtId="0" fontId="5" fillId="0" borderId="2" xfId="0" applyFont="1" applyBorder="1" applyProtection="1"/>
    <xf numFmtId="0" fontId="0" fillId="0" borderId="0" xfId="0" applyProtection="1"/>
    <xf numFmtId="0" fontId="5" fillId="0" borderId="0" xfId="5" applyFont="1" applyBorder="1" applyProtection="1">
      <alignment horizontal="right" vertical="center" indent="1"/>
    </xf>
    <xf numFmtId="0" fontId="5" fillId="0" borderId="7" xfId="5" applyFont="1" applyBorder="1" applyAlignment="1">
      <alignment horizontal="center" vertical="center"/>
    </xf>
    <xf numFmtId="164" fontId="13" fillId="0" borderId="11" xfId="1" applyNumberFormat="1" applyFont="1" applyBorder="1" applyAlignment="1" applyProtection="1">
      <alignment horizontal="center" vertical="center"/>
      <protection locked="0"/>
    </xf>
    <xf numFmtId="164" fontId="13" fillId="0" borderId="17" xfId="1" applyNumberFormat="1" applyFont="1" applyBorder="1" applyAlignment="1" applyProtection="1">
      <alignment horizontal="center" vertical="center"/>
      <protection locked="0"/>
    </xf>
    <xf numFmtId="164" fontId="13" fillId="0" borderId="12" xfId="1" applyNumberFormat="1" applyFont="1" applyBorder="1" applyAlignment="1" applyProtection="1">
      <alignment horizontal="center" vertical="center"/>
      <protection locked="0"/>
    </xf>
    <xf numFmtId="164" fontId="13" fillId="0" borderId="14" xfId="1" applyNumberFormat="1" applyFont="1" applyBorder="1" applyAlignment="1" applyProtection="1">
      <alignment horizontal="center" vertical="center"/>
      <protection locked="0"/>
    </xf>
    <xf numFmtId="164" fontId="13" fillId="0" borderId="12" xfId="1" applyNumberFormat="1" applyFont="1" applyFill="1" applyBorder="1" applyAlignment="1" applyProtection="1">
      <alignment horizontal="center" vertical="center"/>
      <protection locked="0"/>
    </xf>
    <xf numFmtId="164" fontId="13" fillId="0" borderId="27" xfId="1" applyNumberFormat="1" applyFont="1" applyFill="1" applyBorder="1" applyAlignment="1" applyProtection="1">
      <alignment horizontal="center" vertical="center"/>
      <protection locked="0"/>
    </xf>
    <xf numFmtId="0" fontId="5" fillId="0" borderId="7" xfId="5" applyFont="1" applyBorder="1" applyAlignment="1" applyProtection="1">
      <alignment horizontal="center"/>
      <protection locked="0"/>
    </xf>
    <xf numFmtId="0" fontId="7" fillId="0" borderId="0" xfId="4" applyFont="1" applyBorder="1" applyAlignment="1" applyProtection="1">
      <alignment horizontal="right" wrapText="1"/>
    </xf>
    <xf numFmtId="164" fontId="18" fillId="0" borderId="0" xfId="6" applyNumberFormat="1" applyFont="1" applyBorder="1" applyAlignment="1" applyProtection="1">
      <alignment horizontal="center" wrapText="1"/>
    </xf>
    <xf numFmtId="14" fontId="18" fillId="0" borderId="5" xfId="6" applyNumberFormat="1" applyFont="1" applyBorder="1" applyAlignment="1" applyProtection="1">
      <alignment horizontal="center" wrapText="1"/>
    </xf>
    <xf numFmtId="0" fontId="13" fillId="0" borderId="12" xfId="5" applyFont="1" applyBorder="1" applyAlignment="1" applyProtection="1">
      <alignment horizontal="center" vertical="center"/>
      <protection locked="0"/>
    </xf>
    <xf numFmtId="0" fontId="13" fillId="0" borderId="18" xfId="5" applyFont="1" applyBorder="1" applyAlignment="1" applyProtection="1">
      <alignment horizontal="center" vertical="center"/>
      <protection locked="0"/>
    </xf>
    <xf numFmtId="0" fontId="10" fillId="2" borderId="3" xfId="5" applyFont="1" applyFill="1" applyBorder="1" applyAlignment="1" applyProtection="1">
      <alignment horizontal="center" vertical="center"/>
    </xf>
    <xf numFmtId="0" fontId="10" fillId="2" borderId="24" xfId="5" applyFont="1" applyFill="1" applyBorder="1" applyAlignment="1" applyProtection="1">
      <alignment horizontal="center" vertical="center"/>
    </xf>
    <xf numFmtId="0" fontId="13" fillId="0" borderId="11" xfId="5" applyFont="1" applyBorder="1" applyAlignment="1" applyProtection="1">
      <alignment horizontal="center" vertical="center"/>
      <protection locked="0"/>
    </xf>
    <xf numFmtId="0" fontId="13" fillId="0" borderId="31" xfId="5" applyFont="1" applyBorder="1" applyAlignment="1" applyProtection="1">
      <alignment horizontal="center" vertical="center"/>
      <protection locked="0"/>
    </xf>
    <xf numFmtId="164" fontId="5" fillId="0" borderId="7" xfId="6" applyNumberFormat="1" applyFont="1" applyBorder="1" applyAlignment="1" applyProtection="1">
      <alignment horizontal="center" wrapText="1"/>
    </xf>
    <xf numFmtId="0" fontId="5" fillId="0" borderId="7" xfId="5" applyFont="1" applyBorder="1" applyAlignment="1" applyProtection="1">
      <alignment horizontal="center"/>
      <protection locked="0"/>
    </xf>
    <xf numFmtId="0" fontId="5" fillId="0" borderId="8" xfId="5" applyFont="1" applyBorder="1" applyAlignment="1" applyProtection="1">
      <alignment horizontal="center"/>
      <protection locked="0"/>
    </xf>
    <xf numFmtId="0" fontId="5" fillId="0" borderId="20" xfId="6" applyFont="1" applyBorder="1" applyAlignment="1">
      <alignment vertical="center" wrapText="1"/>
    </xf>
    <xf numFmtId="0" fontId="13" fillId="0" borderId="14" xfId="5" applyFont="1" applyBorder="1" applyAlignment="1" applyProtection="1">
      <alignment horizontal="center" vertical="center"/>
      <protection locked="0"/>
    </xf>
    <xf numFmtId="0" fontId="13" fillId="0" borderId="15" xfId="5" applyFont="1" applyBorder="1" applyAlignment="1" applyProtection="1">
      <alignment horizontal="center" vertical="center"/>
      <protection locked="0"/>
    </xf>
    <xf numFmtId="0" fontId="5" fillId="0" borderId="5" xfId="6" applyFont="1" applyBorder="1" applyAlignment="1" applyProtection="1">
      <alignment horizontal="center" vertical="center" wrapText="1"/>
    </xf>
    <xf numFmtId="0" fontId="8" fillId="0" borderId="22" xfId="4" applyFont="1" applyBorder="1" applyAlignment="1">
      <alignment horizontal="center" vertical="center" wrapText="1"/>
    </xf>
    <xf numFmtId="0" fontId="10" fillId="0" borderId="4" xfId="3" applyFont="1" applyBorder="1" applyAlignment="1">
      <alignment horizontal="left"/>
    </xf>
    <xf numFmtId="0" fontId="10" fillId="0" borderId="0" xfId="3" applyFont="1" applyBorder="1" applyAlignment="1">
      <alignment horizontal="left"/>
    </xf>
    <xf numFmtId="0" fontId="13" fillId="0" borderId="27" xfId="5" applyFont="1" applyBorder="1" applyAlignment="1" applyProtection="1">
      <alignment horizontal="center" vertical="center"/>
      <protection locked="0"/>
    </xf>
    <xf numFmtId="0" fontId="13" fillId="0" borderId="28" xfId="5" applyFont="1" applyBorder="1" applyAlignment="1" applyProtection="1">
      <alignment horizontal="center" vertical="center"/>
      <protection locked="0"/>
    </xf>
    <xf numFmtId="0" fontId="5" fillId="0" borderId="7" xfId="6" applyFont="1" applyBorder="1" applyAlignment="1" applyProtection="1">
      <alignment horizontal="center" vertical="center" wrapText="1"/>
      <protection locked="0"/>
    </xf>
    <xf numFmtId="0" fontId="5" fillId="0" borderId="0" xfId="5" applyFont="1" applyBorder="1" applyAlignment="1">
      <alignment horizontal="center" vertical="center"/>
    </xf>
  </cellXfs>
  <cellStyles count="7">
    <cellStyle name="Encabezado 1" xfId="3" builtinId="16"/>
    <cellStyle name="Normal" xfId="0" builtinId="0"/>
    <cellStyle name="Porcentaje" xfId="1" builtinId="5"/>
    <cellStyle name="Texto de etiqueta" xfId="6"/>
    <cellStyle name="Título" xfId="2" builtinId="15"/>
    <cellStyle name="Título 2" xfId="4" builtinId="17"/>
    <cellStyle name="Título 3" xfId="5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504824</xdr:colOff>
      <xdr:row>2</xdr:row>
      <xdr:rowOff>295274</xdr:rowOff>
    </xdr:from>
    <xdr:to>
      <xdr:col>13</xdr:col>
      <xdr:colOff>3221793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28724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39</xdr:row>
          <xdr:rowOff>352425</xdr:rowOff>
        </xdr:from>
        <xdr:to>
          <xdr:col>2</xdr:col>
          <xdr:colOff>2105025</xdr:colOff>
          <xdr:row>41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2060"/>
    <pageSetUpPr autoPageBreaks="0" fitToPage="1"/>
  </sheetPr>
  <dimension ref="B1:X56"/>
  <sheetViews>
    <sheetView showGridLines="0" tabSelected="1" zoomScale="80" zoomScaleNormal="80" workbookViewId="0">
      <selection activeCell="M10" sqref="M10:N10"/>
    </sheetView>
  </sheetViews>
  <sheetFormatPr baseColWidth="10" defaultColWidth="9.140625" defaultRowHeight="30" customHeight="1"/>
  <cols>
    <col min="1" max="1" width="2.7109375" customWidth="1"/>
    <col min="2" max="2" width="4.42578125" customWidth="1"/>
    <col min="3" max="3" width="32.28515625" bestFit="1" customWidth="1"/>
    <col min="4" max="4" width="26.85546875" customWidth="1"/>
    <col min="5" max="5" width="7.140625" bestFit="1" customWidth="1"/>
    <col min="6" max="6" width="23.42578125" customWidth="1"/>
    <col min="7" max="7" width="9.5703125" bestFit="1" customWidth="1"/>
    <col min="8" max="8" width="24.140625" customWidth="1"/>
    <col min="9" max="9" width="7.5703125" customWidth="1"/>
    <col min="10" max="10" width="24" customWidth="1"/>
    <col min="11" max="11" width="4.5703125" customWidth="1"/>
    <col min="12" max="12" width="33.7109375" hidden="1" customWidth="1"/>
    <col min="13" max="13" width="13" customWidth="1"/>
    <col min="14" max="14" width="52.85546875" customWidth="1"/>
    <col min="15" max="15" width="2.7109375" customWidth="1"/>
    <col min="16" max="16" width="3" customWidth="1"/>
    <col min="17" max="17" width="21.5703125" customWidth="1"/>
  </cols>
  <sheetData>
    <row r="1" spans="2:24" ht="12" customHeight="1" thickBot="1"/>
    <row r="2" spans="2:24" ht="30" customHeight="1">
      <c r="B2" s="28" t="s">
        <v>9</v>
      </c>
      <c r="C2" s="29"/>
      <c r="D2" s="29"/>
      <c r="E2" s="1"/>
      <c r="F2" s="2"/>
      <c r="G2" s="2"/>
      <c r="H2" s="2"/>
      <c r="I2" s="2"/>
      <c r="J2" s="65"/>
      <c r="K2" s="2"/>
      <c r="L2" s="2"/>
      <c r="M2" s="2"/>
      <c r="N2" s="2"/>
      <c r="O2" s="32"/>
    </row>
    <row r="3" spans="2:24" ht="30" customHeight="1">
      <c r="B3" s="26"/>
      <c r="C3" s="4" t="s">
        <v>0</v>
      </c>
      <c r="D3" s="3" t="s">
        <v>10</v>
      </c>
      <c r="E3" s="20"/>
      <c r="F3" s="76" t="s">
        <v>1</v>
      </c>
      <c r="G3" s="78">
        <f ca="1">TODAY()</f>
        <v>46007</v>
      </c>
      <c r="H3" s="78"/>
      <c r="I3" s="22"/>
      <c r="J3" s="4" t="s">
        <v>60</v>
      </c>
      <c r="K3" s="85">
        <f>DolarBlueVenta()</f>
        <v>1435</v>
      </c>
      <c r="L3" s="85"/>
      <c r="M3" s="85"/>
      <c r="N3" s="30"/>
      <c r="O3" s="33"/>
    </row>
    <row r="4" spans="2:24" ht="30" customHeight="1">
      <c r="B4" s="93" t="s">
        <v>2</v>
      </c>
      <c r="C4" s="94"/>
      <c r="D4" s="94"/>
      <c r="E4" s="5"/>
      <c r="F4" s="6"/>
      <c r="G4" s="6"/>
      <c r="H4" s="6"/>
      <c r="I4" s="6"/>
      <c r="J4" s="66"/>
      <c r="M4" s="6"/>
      <c r="N4" s="6"/>
      <c r="O4" s="33"/>
    </row>
    <row r="5" spans="2:24" ht="30" customHeight="1">
      <c r="B5" s="26"/>
      <c r="C5" s="23" t="s">
        <v>3</v>
      </c>
      <c r="D5" s="75" t="s">
        <v>55</v>
      </c>
      <c r="E5" s="21"/>
      <c r="F5" s="7" t="s">
        <v>4</v>
      </c>
      <c r="G5" s="86" t="s">
        <v>57</v>
      </c>
      <c r="H5" s="86"/>
      <c r="I5" s="21"/>
      <c r="J5" s="66"/>
      <c r="M5" s="6"/>
      <c r="N5" s="10"/>
      <c r="O5" s="33"/>
    </row>
    <row r="6" spans="2:24" ht="30" customHeight="1">
      <c r="B6" s="26"/>
      <c r="C6" s="23" t="s">
        <v>5</v>
      </c>
      <c r="D6" s="75" t="s">
        <v>56</v>
      </c>
      <c r="E6" s="21"/>
      <c r="F6" s="7" t="s">
        <v>58</v>
      </c>
      <c r="G6" s="87" t="s">
        <v>59</v>
      </c>
      <c r="H6" s="87"/>
      <c r="I6" s="21"/>
      <c r="J6" s="66"/>
      <c r="M6" s="6"/>
      <c r="N6" s="10"/>
      <c r="O6" s="33"/>
    </row>
    <row r="7" spans="2:24" ht="30" customHeight="1" thickBot="1">
      <c r="B7" s="26"/>
      <c r="C7" s="8"/>
      <c r="D7" s="8"/>
      <c r="E7" s="8"/>
      <c r="F7" s="9"/>
      <c r="G7" s="9"/>
      <c r="H7" s="10"/>
      <c r="I7" s="10"/>
      <c r="J7" s="67"/>
      <c r="K7" s="10"/>
      <c r="L7" s="10"/>
      <c r="M7" s="11"/>
      <c r="N7" s="10"/>
      <c r="O7" s="33"/>
    </row>
    <row r="8" spans="2:24" ht="30" customHeight="1" thickBot="1">
      <c r="B8" s="60" t="s">
        <v>16</v>
      </c>
      <c r="C8" s="61" t="s">
        <v>11</v>
      </c>
      <c r="D8" s="62" t="s">
        <v>12</v>
      </c>
      <c r="E8" s="63" t="s">
        <v>7</v>
      </c>
      <c r="F8" s="60" t="s">
        <v>13</v>
      </c>
      <c r="G8" s="63" t="s">
        <v>7</v>
      </c>
      <c r="H8" s="60" t="s">
        <v>14</v>
      </c>
      <c r="I8" s="61" t="s">
        <v>7</v>
      </c>
      <c r="J8" s="62" t="s">
        <v>15</v>
      </c>
      <c r="K8" s="64" t="s">
        <v>7</v>
      </c>
      <c r="L8" s="59" t="s">
        <v>34</v>
      </c>
      <c r="M8" s="81" t="s">
        <v>6</v>
      </c>
      <c r="N8" s="82"/>
      <c r="O8" s="33"/>
      <c r="W8" s="76"/>
      <c r="X8" s="77"/>
    </row>
    <row r="9" spans="2:24" ht="30" customHeight="1">
      <c r="B9" s="36">
        <v>1</v>
      </c>
      <c r="C9" s="56" t="s">
        <v>17</v>
      </c>
      <c r="D9" s="44" t="s">
        <v>22</v>
      </c>
      <c r="E9" s="47">
        <v>1</v>
      </c>
      <c r="F9" s="45"/>
      <c r="G9" s="51">
        <v>0</v>
      </c>
      <c r="H9" s="45"/>
      <c r="I9" s="51">
        <v>0</v>
      </c>
      <c r="J9" s="37"/>
      <c r="K9" s="51">
        <v>0</v>
      </c>
      <c r="L9" s="69">
        <v>2169897.9300000002</v>
      </c>
      <c r="M9" s="83" t="s">
        <v>26</v>
      </c>
      <c r="N9" s="84"/>
      <c r="O9" s="33"/>
    </row>
    <row r="10" spans="2:24" ht="30" customHeight="1">
      <c r="B10" s="38">
        <v>2</v>
      </c>
      <c r="C10" s="40" t="s">
        <v>18</v>
      </c>
      <c r="D10" s="39" t="s">
        <v>22</v>
      </c>
      <c r="E10" s="48">
        <v>1</v>
      </c>
      <c r="F10" s="39"/>
      <c r="G10" s="46">
        <v>0</v>
      </c>
      <c r="H10" s="39"/>
      <c r="I10" s="46">
        <v>0</v>
      </c>
      <c r="J10" s="39"/>
      <c r="K10" s="46">
        <v>0</v>
      </c>
      <c r="L10" s="70">
        <v>1775914.57</v>
      </c>
      <c r="M10" s="79" t="s">
        <v>26</v>
      </c>
      <c r="N10" s="80"/>
      <c r="O10" s="33"/>
    </row>
    <row r="11" spans="2:24" ht="30" customHeight="1">
      <c r="B11" s="38">
        <v>3</v>
      </c>
      <c r="C11" s="40" t="s">
        <v>40</v>
      </c>
      <c r="D11" s="39" t="s">
        <v>22</v>
      </c>
      <c r="E11" s="48">
        <v>1</v>
      </c>
      <c r="F11" s="39"/>
      <c r="G11" s="46">
        <v>0</v>
      </c>
      <c r="H11" s="39"/>
      <c r="I11" s="46">
        <v>0</v>
      </c>
      <c r="J11" s="39"/>
      <c r="K11" s="46">
        <v>0</v>
      </c>
      <c r="L11" s="71">
        <v>2178653.7000000002</v>
      </c>
      <c r="M11" s="79" t="s">
        <v>27</v>
      </c>
      <c r="N11" s="80"/>
      <c r="O11" s="33"/>
    </row>
    <row r="12" spans="2:24" ht="30" customHeight="1">
      <c r="B12" s="38">
        <v>4</v>
      </c>
      <c r="C12" s="40" t="s">
        <v>19</v>
      </c>
      <c r="D12" s="39" t="s">
        <v>22</v>
      </c>
      <c r="E12" s="48">
        <v>1</v>
      </c>
      <c r="F12" s="39"/>
      <c r="G12" s="46">
        <v>0</v>
      </c>
      <c r="H12" s="39"/>
      <c r="I12" s="46">
        <v>0</v>
      </c>
      <c r="J12" s="39"/>
      <c r="K12" s="46">
        <v>0</v>
      </c>
      <c r="L12" s="71">
        <v>2666627.7599999998</v>
      </c>
      <c r="M12" s="79" t="s">
        <v>28</v>
      </c>
      <c r="N12" s="80"/>
      <c r="O12" s="33"/>
    </row>
    <row r="13" spans="2:24" ht="30" customHeight="1">
      <c r="B13" s="38">
        <v>5</v>
      </c>
      <c r="C13" s="40" t="s">
        <v>42</v>
      </c>
      <c r="D13" s="39" t="s">
        <v>22</v>
      </c>
      <c r="E13" s="48">
        <v>0.5</v>
      </c>
      <c r="F13" s="39" t="s">
        <v>23</v>
      </c>
      <c r="G13" s="46">
        <v>0.25</v>
      </c>
      <c r="H13" s="39" t="s">
        <v>24</v>
      </c>
      <c r="I13" s="46">
        <v>0.25</v>
      </c>
      <c r="J13" s="39"/>
      <c r="K13" s="46">
        <v>0</v>
      </c>
      <c r="L13" s="71">
        <v>3215679.86</v>
      </c>
      <c r="M13" s="79" t="s">
        <v>29</v>
      </c>
      <c r="N13" s="80"/>
      <c r="O13" s="33"/>
    </row>
    <row r="14" spans="2:24" ht="30" customHeight="1">
      <c r="B14" s="38">
        <v>6</v>
      </c>
      <c r="C14" s="40" t="s">
        <v>20</v>
      </c>
      <c r="D14" s="39" t="s">
        <v>22</v>
      </c>
      <c r="E14" s="49">
        <v>0.5</v>
      </c>
      <c r="F14" s="39" t="s">
        <v>23</v>
      </c>
      <c r="G14" s="46">
        <v>0.25</v>
      </c>
      <c r="H14" s="39" t="s">
        <v>24</v>
      </c>
      <c r="I14" s="46">
        <v>0.25</v>
      </c>
      <c r="J14" s="39"/>
      <c r="K14" s="46">
        <v>0</v>
      </c>
      <c r="L14" s="71">
        <v>3819417.6000000001</v>
      </c>
      <c r="M14" s="79" t="s">
        <v>30</v>
      </c>
      <c r="N14" s="80"/>
      <c r="O14" s="33"/>
    </row>
    <row r="15" spans="2:24" ht="30" customHeight="1">
      <c r="B15" s="38">
        <v>7</v>
      </c>
      <c r="C15" s="58" t="s">
        <v>39</v>
      </c>
      <c r="D15" s="39" t="s">
        <v>22</v>
      </c>
      <c r="E15" s="49">
        <v>1</v>
      </c>
      <c r="F15" s="39"/>
      <c r="G15" s="46">
        <v>0</v>
      </c>
      <c r="H15" s="39"/>
      <c r="I15" s="46">
        <v>0</v>
      </c>
      <c r="J15" s="39"/>
      <c r="K15" s="46">
        <v>0</v>
      </c>
      <c r="L15" s="71">
        <v>1154148.8500000001</v>
      </c>
      <c r="M15" s="79" t="s">
        <v>31</v>
      </c>
      <c r="N15" s="80"/>
      <c r="O15" s="33"/>
    </row>
    <row r="16" spans="2:24" ht="30" customHeight="1">
      <c r="B16" s="38">
        <v>8</v>
      </c>
      <c r="C16" s="58" t="s">
        <v>43</v>
      </c>
      <c r="D16" s="39" t="s">
        <v>22</v>
      </c>
      <c r="E16" s="49">
        <v>1</v>
      </c>
      <c r="F16" s="39"/>
      <c r="G16" s="46">
        <v>0</v>
      </c>
      <c r="H16" s="39"/>
      <c r="I16" s="46">
        <v>0</v>
      </c>
      <c r="J16" s="39"/>
      <c r="K16" s="46">
        <v>0</v>
      </c>
      <c r="L16" s="71">
        <v>1918609.57</v>
      </c>
      <c r="M16" s="89" t="s">
        <v>32</v>
      </c>
      <c r="N16" s="90"/>
      <c r="O16" s="33"/>
    </row>
    <row r="17" spans="2:15" ht="30" customHeight="1">
      <c r="B17" s="38">
        <v>9</v>
      </c>
      <c r="C17" s="58" t="s">
        <v>41</v>
      </c>
      <c r="D17" s="39" t="s">
        <v>23</v>
      </c>
      <c r="E17" s="49">
        <v>0.8</v>
      </c>
      <c r="F17" s="39" t="s">
        <v>22</v>
      </c>
      <c r="G17" s="46">
        <v>0.2</v>
      </c>
      <c r="H17" s="39"/>
      <c r="I17" s="46">
        <v>0</v>
      </c>
      <c r="J17" s="39"/>
      <c r="K17" s="46">
        <v>0</v>
      </c>
      <c r="L17" s="71">
        <v>2037210.29</v>
      </c>
      <c r="M17" s="89" t="s">
        <v>33</v>
      </c>
      <c r="N17" s="90"/>
      <c r="O17" s="33"/>
    </row>
    <row r="18" spans="2:15" ht="30" customHeight="1">
      <c r="B18" s="41">
        <v>10</v>
      </c>
      <c r="C18" s="58" t="s">
        <v>46</v>
      </c>
      <c r="D18" s="39" t="s">
        <v>24</v>
      </c>
      <c r="E18" s="49">
        <v>0.5</v>
      </c>
      <c r="F18" s="39" t="s">
        <v>25</v>
      </c>
      <c r="G18" s="46">
        <v>0.5</v>
      </c>
      <c r="H18" s="39"/>
      <c r="I18" s="46">
        <v>0</v>
      </c>
      <c r="J18" s="39"/>
      <c r="K18" s="46">
        <v>0</v>
      </c>
      <c r="L18" s="72">
        <v>2837593.55</v>
      </c>
      <c r="M18" s="79" t="s">
        <v>36</v>
      </c>
      <c r="N18" s="80"/>
      <c r="O18" s="33"/>
    </row>
    <row r="19" spans="2:15" ht="30" customHeight="1">
      <c r="B19" s="41">
        <v>11</v>
      </c>
      <c r="C19" s="58" t="s">
        <v>44</v>
      </c>
      <c r="D19" s="39" t="s">
        <v>24</v>
      </c>
      <c r="E19" s="49">
        <v>0.8</v>
      </c>
      <c r="F19" s="39" t="s">
        <v>25</v>
      </c>
      <c r="G19" s="46">
        <v>0.2</v>
      </c>
      <c r="H19" s="39"/>
      <c r="I19" s="46">
        <v>0</v>
      </c>
      <c r="J19" s="39"/>
      <c r="K19" s="46">
        <v>0</v>
      </c>
      <c r="L19" s="71">
        <v>2503204.12</v>
      </c>
      <c r="M19" s="79" t="s">
        <v>37</v>
      </c>
      <c r="N19" s="80"/>
      <c r="O19" s="33"/>
    </row>
    <row r="20" spans="2:15" ht="30" customHeight="1">
      <c r="B20" s="41">
        <v>12</v>
      </c>
      <c r="C20" s="58" t="s">
        <v>45</v>
      </c>
      <c r="D20" s="39" t="s">
        <v>24</v>
      </c>
      <c r="E20" s="48">
        <v>0.25</v>
      </c>
      <c r="F20" s="39" t="s">
        <v>25</v>
      </c>
      <c r="G20" s="46">
        <v>0.75</v>
      </c>
      <c r="H20" s="39"/>
      <c r="I20" s="46">
        <v>0</v>
      </c>
      <c r="J20" s="39"/>
      <c r="K20" s="46">
        <v>0</v>
      </c>
      <c r="L20" s="71">
        <v>2016905.67</v>
      </c>
      <c r="M20" s="79" t="s">
        <v>37</v>
      </c>
      <c r="N20" s="80"/>
      <c r="O20" s="33"/>
    </row>
    <row r="21" spans="2:15" ht="30" customHeight="1">
      <c r="B21" s="41">
        <v>13</v>
      </c>
      <c r="C21" s="58" t="s">
        <v>48</v>
      </c>
      <c r="D21" s="39" t="s">
        <v>24</v>
      </c>
      <c r="E21" s="48">
        <v>0.8</v>
      </c>
      <c r="F21" s="39" t="s">
        <v>25</v>
      </c>
      <c r="G21" s="46">
        <v>0.2</v>
      </c>
      <c r="H21" s="39"/>
      <c r="I21" s="46">
        <v>0</v>
      </c>
      <c r="J21" s="39"/>
      <c r="K21" s="46">
        <v>0</v>
      </c>
      <c r="L21" s="71">
        <v>1154148.8500000001</v>
      </c>
      <c r="M21" s="79" t="s">
        <v>37</v>
      </c>
      <c r="N21" s="80"/>
      <c r="O21" s="33"/>
    </row>
    <row r="22" spans="2:15" ht="30" customHeight="1">
      <c r="B22" s="41">
        <v>14</v>
      </c>
      <c r="C22" s="58" t="s">
        <v>47</v>
      </c>
      <c r="D22" s="39" t="s">
        <v>24</v>
      </c>
      <c r="E22" s="48">
        <v>0.8</v>
      </c>
      <c r="F22" s="39" t="s">
        <v>25</v>
      </c>
      <c r="G22" s="46">
        <v>0.2</v>
      </c>
      <c r="H22" s="39"/>
      <c r="I22" s="46">
        <v>0</v>
      </c>
      <c r="J22" s="39"/>
      <c r="K22" s="46">
        <v>0</v>
      </c>
      <c r="L22" s="71">
        <v>1154148.8500000001</v>
      </c>
      <c r="M22" s="79" t="s">
        <v>37</v>
      </c>
      <c r="N22" s="80"/>
      <c r="O22" s="33"/>
    </row>
    <row r="23" spans="2:15" ht="30" customHeight="1">
      <c r="B23" s="41">
        <v>15</v>
      </c>
      <c r="C23" s="58" t="s">
        <v>35</v>
      </c>
      <c r="D23" s="39" t="s">
        <v>24</v>
      </c>
      <c r="E23" s="48">
        <v>0.8</v>
      </c>
      <c r="F23" s="39" t="s">
        <v>25</v>
      </c>
      <c r="G23" s="46">
        <v>0.2</v>
      </c>
      <c r="H23" s="39"/>
      <c r="I23" s="46">
        <v>0</v>
      </c>
      <c r="J23" s="39"/>
      <c r="K23" s="46">
        <v>0</v>
      </c>
      <c r="L23" s="71">
        <v>1154148.8500000001</v>
      </c>
      <c r="M23" s="79" t="s">
        <v>37</v>
      </c>
      <c r="N23" s="80"/>
      <c r="O23" s="33"/>
    </row>
    <row r="24" spans="2:15" ht="30" customHeight="1">
      <c r="B24" s="41">
        <v>16</v>
      </c>
      <c r="C24" s="58" t="s">
        <v>51</v>
      </c>
      <c r="D24" s="39" t="s">
        <v>23</v>
      </c>
      <c r="E24" s="48">
        <v>0.5</v>
      </c>
      <c r="F24" s="39" t="s">
        <v>24</v>
      </c>
      <c r="G24" s="46">
        <v>0.5</v>
      </c>
      <c r="H24" s="39"/>
      <c r="I24" s="46">
        <v>0</v>
      </c>
      <c r="J24" s="39"/>
      <c r="K24" s="46">
        <v>0</v>
      </c>
      <c r="L24" s="71">
        <v>2549115.37</v>
      </c>
      <c r="M24" s="79" t="s">
        <v>54</v>
      </c>
      <c r="N24" s="80"/>
      <c r="O24" s="33"/>
    </row>
    <row r="25" spans="2:15" ht="30" customHeight="1">
      <c r="B25" s="41">
        <v>17</v>
      </c>
      <c r="C25" s="58" t="s">
        <v>52</v>
      </c>
      <c r="D25" s="39" t="s">
        <v>23</v>
      </c>
      <c r="E25" s="48">
        <v>0.2</v>
      </c>
      <c r="F25" s="39" t="s">
        <v>24</v>
      </c>
      <c r="G25" s="46">
        <v>0.8</v>
      </c>
      <c r="H25" s="39"/>
      <c r="I25" s="46">
        <v>0</v>
      </c>
      <c r="J25" s="39"/>
      <c r="K25" s="46">
        <v>0</v>
      </c>
      <c r="L25" s="71">
        <v>1741293.59</v>
      </c>
      <c r="M25" s="79" t="s">
        <v>53</v>
      </c>
      <c r="N25" s="80"/>
      <c r="O25" s="33"/>
    </row>
    <row r="26" spans="2:15" ht="30" customHeight="1">
      <c r="B26" s="41">
        <v>18</v>
      </c>
      <c r="C26" s="58" t="s">
        <v>38</v>
      </c>
      <c r="D26" s="39" t="s">
        <v>23</v>
      </c>
      <c r="E26" s="48">
        <v>0.2</v>
      </c>
      <c r="F26" s="39" t="s">
        <v>24</v>
      </c>
      <c r="G26" s="46">
        <v>0.8</v>
      </c>
      <c r="H26" s="39"/>
      <c r="I26" s="46">
        <v>0</v>
      </c>
      <c r="J26" s="39"/>
      <c r="K26" s="46">
        <v>0</v>
      </c>
      <c r="L26" s="71">
        <v>1741293.59</v>
      </c>
      <c r="M26" s="79" t="s">
        <v>53</v>
      </c>
      <c r="N26" s="80"/>
      <c r="O26" s="33"/>
    </row>
    <row r="27" spans="2:15" ht="30" customHeight="1">
      <c r="B27" s="41">
        <v>19</v>
      </c>
      <c r="C27" s="58" t="s">
        <v>50</v>
      </c>
      <c r="D27" s="39" t="s">
        <v>23</v>
      </c>
      <c r="E27" s="48">
        <v>0.8</v>
      </c>
      <c r="F27" s="39" t="s">
        <v>24</v>
      </c>
      <c r="G27" s="46">
        <v>0.2</v>
      </c>
      <c r="H27" s="39"/>
      <c r="I27" s="46">
        <v>0</v>
      </c>
      <c r="J27" s="39"/>
      <c r="K27" s="46">
        <v>0</v>
      </c>
      <c r="L27" s="71">
        <v>1621703.47</v>
      </c>
      <c r="M27" s="79" t="s">
        <v>53</v>
      </c>
      <c r="N27" s="80"/>
      <c r="O27" s="33"/>
    </row>
    <row r="28" spans="2:15" ht="30" customHeight="1">
      <c r="B28" s="41">
        <v>20</v>
      </c>
      <c r="C28" s="58"/>
      <c r="D28" s="39"/>
      <c r="E28" s="48"/>
      <c r="F28" s="39"/>
      <c r="G28" s="46"/>
      <c r="H28" s="39"/>
      <c r="I28" s="46"/>
      <c r="J28" s="39"/>
      <c r="K28" s="46"/>
      <c r="L28" s="71"/>
      <c r="M28" s="79"/>
      <c r="N28" s="80"/>
      <c r="O28" s="33"/>
    </row>
    <row r="29" spans="2:15" ht="30" customHeight="1">
      <c r="B29" s="41">
        <v>21</v>
      </c>
      <c r="C29" s="58"/>
      <c r="D29" s="39"/>
      <c r="E29" s="48"/>
      <c r="F29" s="39"/>
      <c r="G29" s="46"/>
      <c r="H29" s="39"/>
      <c r="I29" s="46"/>
      <c r="J29" s="39"/>
      <c r="K29" s="52"/>
      <c r="L29" s="73"/>
      <c r="M29" s="79"/>
      <c r="N29" s="80"/>
      <c r="O29" s="33"/>
    </row>
    <row r="30" spans="2:15" ht="30" customHeight="1">
      <c r="B30" s="41">
        <v>22</v>
      </c>
      <c r="C30" s="58"/>
      <c r="D30" s="39"/>
      <c r="E30" s="48"/>
      <c r="F30" s="39"/>
      <c r="G30" s="46"/>
      <c r="H30" s="39"/>
      <c r="I30" s="46"/>
      <c r="J30" s="39"/>
      <c r="K30" s="52"/>
      <c r="L30" s="73"/>
      <c r="M30" s="79"/>
      <c r="N30" s="80"/>
      <c r="O30" s="33"/>
    </row>
    <row r="31" spans="2:15" ht="30" customHeight="1">
      <c r="B31" s="41">
        <v>23</v>
      </c>
      <c r="C31" s="58"/>
      <c r="D31" s="39"/>
      <c r="E31" s="48"/>
      <c r="F31" s="39"/>
      <c r="G31" s="46"/>
      <c r="H31" s="39"/>
      <c r="I31" s="46"/>
      <c r="J31" s="39"/>
      <c r="K31" s="52"/>
      <c r="L31" s="73"/>
      <c r="M31" s="79"/>
      <c r="N31" s="80"/>
      <c r="O31" s="33"/>
    </row>
    <row r="32" spans="2:15" ht="30" customHeight="1">
      <c r="B32" s="41">
        <v>24</v>
      </c>
      <c r="C32" s="58"/>
      <c r="D32" s="39"/>
      <c r="E32" s="48"/>
      <c r="F32" s="39"/>
      <c r="G32" s="46"/>
      <c r="H32" s="39"/>
      <c r="I32" s="46"/>
      <c r="J32" s="39"/>
      <c r="K32" s="52"/>
      <c r="L32" s="73"/>
      <c r="M32" s="79"/>
      <c r="N32" s="80"/>
      <c r="O32" s="33"/>
    </row>
    <row r="33" spans="2:15" ht="30" customHeight="1">
      <c r="B33" s="41">
        <v>25</v>
      </c>
      <c r="C33" s="58"/>
      <c r="D33" s="39"/>
      <c r="E33" s="48"/>
      <c r="F33" s="39"/>
      <c r="G33" s="46"/>
      <c r="H33" s="39"/>
      <c r="I33" s="46"/>
      <c r="J33" s="39"/>
      <c r="K33" s="52"/>
      <c r="L33" s="73"/>
      <c r="M33" s="79"/>
      <c r="N33" s="80"/>
      <c r="O33" s="33"/>
    </row>
    <row r="34" spans="2:15" ht="30" customHeight="1">
      <c r="B34" s="41">
        <v>26</v>
      </c>
      <c r="C34" s="58"/>
      <c r="D34" s="39"/>
      <c r="E34" s="48"/>
      <c r="F34" s="39"/>
      <c r="G34" s="46"/>
      <c r="H34" s="39"/>
      <c r="I34" s="46"/>
      <c r="J34" s="39"/>
      <c r="K34" s="52"/>
      <c r="L34" s="73"/>
      <c r="M34" s="79"/>
      <c r="N34" s="80"/>
      <c r="O34" s="33"/>
    </row>
    <row r="35" spans="2:15" ht="30" customHeight="1">
      <c r="B35" s="41">
        <v>27</v>
      </c>
      <c r="C35" s="58"/>
      <c r="D35" s="39"/>
      <c r="E35" s="48"/>
      <c r="F35" s="39"/>
      <c r="G35" s="46"/>
      <c r="H35" s="39"/>
      <c r="I35" s="46"/>
      <c r="J35" s="39"/>
      <c r="K35" s="52"/>
      <c r="L35" s="73"/>
      <c r="M35" s="79"/>
      <c r="N35" s="80"/>
      <c r="O35" s="33"/>
    </row>
    <row r="36" spans="2:15" ht="30" customHeight="1">
      <c r="B36" s="41">
        <v>28</v>
      </c>
      <c r="C36" s="58"/>
      <c r="D36" s="39"/>
      <c r="E36" s="48"/>
      <c r="F36" s="39"/>
      <c r="G36" s="46"/>
      <c r="H36" s="39"/>
      <c r="I36" s="46"/>
      <c r="J36" s="39"/>
      <c r="K36" s="52"/>
      <c r="L36" s="73"/>
      <c r="M36" s="79"/>
      <c r="N36" s="80"/>
      <c r="O36" s="33"/>
    </row>
    <row r="37" spans="2:15" ht="30" customHeight="1">
      <c r="B37" s="41">
        <v>29</v>
      </c>
      <c r="C37" s="58"/>
      <c r="D37" s="39"/>
      <c r="E37" s="48"/>
      <c r="F37" s="39"/>
      <c r="G37" s="46"/>
      <c r="H37" s="39"/>
      <c r="I37" s="46"/>
      <c r="J37" s="39"/>
      <c r="K37" s="52"/>
      <c r="L37" s="73"/>
      <c r="M37" s="79"/>
      <c r="N37" s="80"/>
      <c r="O37" s="33"/>
    </row>
    <row r="38" spans="2:15" ht="30" customHeight="1" thickBot="1">
      <c r="B38" s="55">
        <v>30</v>
      </c>
      <c r="C38" s="42"/>
      <c r="D38" s="43"/>
      <c r="E38" s="50"/>
      <c r="F38" s="43"/>
      <c r="G38" s="53"/>
      <c r="H38" s="43"/>
      <c r="I38" s="53"/>
      <c r="J38" s="43"/>
      <c r="K38" s="54"/>
      <c r="L38" s="74"/>
      <c r="M38" s="95"/>
      <c r="N38" s="96"/>
      <c r="O38" s="33"/>
    </row>
    <row r="39" spans="2:15" ht="30" customHeight="1">
      <c r="B39" s="26"/>
      <c r="C39" s="12"/>
      <c r="D39" s="57"/>
      <c r="E39" s="12"/>
      <c r="F39" s="57"/>
      <c r="G39" s="12"/>
      <c r="H39" s="8"/>
      <c r="I39" s="8"/>
      <c r="J39" s="10"/>
      <c r="K39" s="10"/>
      <c r="L39" s="10"/>
      <c r="M39" s="12"/>
      <c r="N39" s="68"/>
      <c r="O39" s="33"/>
    </row>
    <row r="40" spans="2:15" ht="30" customHeight="1">
      <c r="B40" s="26"/>
      <c r="C40" s="8"/>
      <c r="D40" s="8"/>
      <c r="E40" s="8"/>
      <c r="F40" s="98"/>
      <c r="G40" s="98"/>
      <c r="H40" s="10"/>
      <c r="I40" s="10"/>
      <c r="J40" s="10"/>
      <c r="K40" s="10"/>
      <c r="L40" s="10"/>
      <c r="M40" s="92" t="s">
        <v>21</v>
      </c>
      <c r="N40" s="35" t="s">
        <v>22</v>
      </c>
      <c r="O40" s="33"/>
    </row>
    <row r="41" spans="2:15" ht="30" customHeight="1">
      <c r="B41" s="26"/>
      <c r="C41" s="13" t="s">
        <v>49</v>
      </c>
      <c r="D41" s="91" t="s">
        <v>61</v>
      </c>
      <c r="E41" s="91"/>
      <c r="F41" s="91"/>
      <c r="G41" s="13" t="s">
        <v>8</v>
      </c>
      <c r="H41" s="97"/>
      <c r="I41" s="97"/>
      <c r="J41" s="97"/>
      <c r="K41" s="11"/>
      <c r="L41" s="11"/>
      <c r="M41" s="92"/>
      <c r="N41" s="35" t="s">
        <v>23</v>
      </c>
      <c r="O41" s="33"/>
    </row>
    <row r="42" spans="2:15" ht="30" customHeight="1">
      <c r="B42" s="26"/>
      <c r="C42" s="24"/>
      <c r="D42" s="11"/>
      <c r="E42" s="11"/>
      <c r="F42" s="11"/>
      <c r="G42" s="13"/>
      <c r="H42" s="11"/>
      <c r="I42" s="11"/>
      <c r="J42" s="11"/>
      <c r="K42" s="11"/>
      <c r="L42" s="11"/>
      <c r="M42" s="92"/>
      <c r="N42" s="35" t="s">
        <v>24</v>
      </c>
      <c r="O42" s="33"/>
    </row>
    <row r="43" spans="2:15" ht="30" customHeight="1">
      <c r="B43" s="26"/>
      <c r="C43" s="24"/>
      <c r="D43" s="11"/>
      <c r="E43" s="11"/>
      <c r="F43" s="11"/>
      <c r="G43" s="13"/>
      <c r="H43" s="11"/>
      <c r="I43" s="11"/>
      <c r="J43" s="11"/>
      <c r="K43" s="11"/>
      <c r="L43" s="11"/>
      <c r="M43" s="92"/>
      <c r="N43" s="35" t="s">
        <v>25</v>
      </c>
      <c r="O43" s="33"/>
    </row>
    <row r="44" spans="2:15" ht="30" customHeight="1" thickBot="1">
      <c r="B44" s="27"/>
      <c r="C44" s="25"/>
      <c r="D44" s="14"/>
      <c r="E44" s="14"/>
      <c r="F44" s="14"/>
      <c r="G44" s="14"/>
      <c r="H44" s="88"/>
      <c r="I44" s="88"/>
      <c r="J44" s="88"/>
      <c r="K44" s="14"/>
      <c r="L44" s="14"/>
      <c r="M44" s="15"/>
      <c r="N44" s="31"/>
      <c r="O44" s="34"/>
    </row>
    <row r="45" spans="2:15" ht="30" customHeight="1">
      <c r="C45" s="16"/>
      <c r="D45" s="16"/>
      <c r="E45" s="16"/>
      <c r="F45" s="17"/>
      <c r="G45" s="17"/>
      <c r="H45" s="17"/>
      <c r="I45" s="17"/>
      <c r="J45" s="17"/>
      <c r="K45" s="17"/>
      <c r="L45" s="17"/>
      <c r="M45" s="17"/>
      <c r="N45" s="18"/>
    </row>
    <row r="46" spans="2:15" ht="30" customHeight="1">
      <c r="C46" s="16"/>
    </row>
    <row r="47" spans="2:15" ht="30" customHeight="1">
      <c r="C47" s="16"/>
    </row>
    <row r="48" spans="2:15" ht="30" customHeight="1">
      <c r="C48" s="16"/>
      <c r="D48" s="16"/>
      <c r="E48" s="16"/>
    </row>
    <row r="49" spans="3:5" ht="30" customHeight="1">
      <c r="C49" s="16"/>
      <c r="D49" s="16"/>
      <c r="E49" s="16"/>
    </row>
    <row r="50" spans="3:5" ht="30" customHeight="1">
      <c r="C50" s="16"/>
      <c r="D50" s="16"/>
      <c r="E50" s="16"/>
    </row>
    <row r="51" spans="3:5" ht="30" customHeight="1">
      <c r="C51" s="16"/>
      <c r="D51" s="16"/>
      <c r="E51" s="16"/>
    </row>
    <row r="52" spans="3:5" ht="30" customHeight="1">
      <c r="C52" s="16"/>
      <c r="D52" s="16"/>
      <c r="E52" s="16"/>
    </row>
    <row r="53" spans="3:5" ht="30" customHeight="1">
      <c r="C53" s="16"/>
      <c r="D53" s="16"/>
      <c r="E53" s="16"/>
    </row>
    <row r="54" spans="3:5" ht="15"/>
    <row r="56" spans="3:5" ht="30" customHeight="1">
      <c r="D56" s="19"/>
      <c r="E56" s="19"/>
    </row>
  </sheetData>
  <sheetProtection selectLockedCells="1"/>
  <mergeCells count="41">
    <mergeCell ref="D41:F41"/>
    <mergeCell ref="M40:M43"/>
    <mergeCell ref="B4:D4"/>
    <mergeCell ref="M38:N38"/>
    <mergeCell ref="H41:J41"/>
    <mergeCell ref="F40:G40"/>
    <mergeCell ref="M28:N28"/>
    <mergeCell ref="M29:N29"/>
    <mergeCell ref="M30:N30"/>
    <mergeCell ref="M31:N31"/>
    <mergeCell ref="M32:N32"/>
    <mergeCell ref="M33:N33"/>
    <mergeCell ref="M34:N34"/>
    <mergeCell ref="M35:N35"/>
    <mergeCell ref="M22:N22"/>
    <mergeCell ref="H44:J44"/>
    <mergeCell ref="M16:N16"/>
    <mergeCell ref="M17:N17"/>
    <mergeCell ref="M18:N18"/>
    <mergeCell ref="M21:N21"/>
    <mergeCell ref="M36:N36"/>
    <mergeCell ref="M37:N37"/>
    <mergeCell ref="M23:N23"/>
    <mergeCell ref="M24:N24"/>
    <mergeCell ref="M25:N25"/>
    <mergeCell ref="M26:N26"/>
    <mergeCell ref="M27:N27"/>
    <mergeCell ref="G3:H3"/>
    <mergeCell ref="M14:N14"/>
    <mergeCell ref="M15:N15"/>
    <mergeCell ref="M19:N19"/>
    <mergeCell ref="M20:N20"/>
    <mergeCell ref="M8:N8"/>
    <mergeCell ref="M9:N9"/>
    <mergeCell ref="M10:N10"/>
    <mergeCell ref="M11:N11"/>
    <mergeCell ref="M12:N12"/>
    <mergeCell ref="M13:N13"/>
    <mergeCell ref="K3:M3"/>
    <mergeCell ref="G5:H5"/>
    <mergeCell ref="G6:H6"/>
  </mergeCells>
  <dataValidations count="3">
    <dataValidation allowBlank="1" showInputMessage="1" showErrorMessage="1" prompt="Escriba comentarios en las celdas de la derecha." sqref="D56:E56"/>
    <dataValidation allowBlank="1" showInputMessage="1" showErrorMessage="1" prompt="Escriba el departamento del empleado en la celda de la derecha." sqref="C51:E53"/>
    <dataValidation type="list" allowBlank="1" showInputMessage="1" showErrorMessage="1" sqref="D9:D38 F9:F38 H9:H38 J9:J38">
      <formula1>Areas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9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rgarNombreUsuario">
                <anchor moveWithCells="1" sizeWithCells="1">
                  <from>
                    <xdr:col>2</xdr:col>
                    <xdr:colOff>866775</xdr:colOff>
                    <xdr:row>39</xdr:row>
                    <xdr:rowOff>352425</xdr:rowOff>
                  </from>
                  <to>
                    <xdr:col>2</xdr:col>
                    <xdr:colOff>2105025</xdr:colOff>
                    <xdr:row>41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Personal</vt:lpstr>
      <vt:lpstr>Areas</vt:lpstr>
      <vt:lpstr>Lubricantes</vt:lpstr>
      <vt:lpstr>Refrigerantes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lcontigiani</dc:creator>
  <cp:lastModifiedBy>Lorenzo Contigiani</cp:lastModifiedBy>
  <cp:lastPrinted>2025-11-27T13:21:14Z</cp:lastPrinted>
  <dcterms:created xsi:type="dcterms:W3CDTF">2025-11-12T13:29:25Z</dcterms:created>
  <dcterms:modified xsi:type="dcterms:W3CDTF">2025-12-16T13:18:00Z</dcterms:modified>
</cp:coreProperties>
</file>